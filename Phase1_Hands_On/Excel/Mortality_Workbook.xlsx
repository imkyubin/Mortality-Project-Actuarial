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3.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5.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6.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7.xml" ContentType="application/vnd.openxmlformats-officedocument.drawing+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77469ee109e00a86/Desktop/Mortality CDC Wonder/Phase1_Hands_On/Excel/"/>
    </mc:Choice>
  </mc:AlternateContent>
  <xr:revisionPtr revIDLastSave="37513" documentId="8_{3F0BC90F-D239-42DB-9251-9EC3D6264AE4}" xr6:coauthVersionLast="47" xr6:coauthVersionMax="47" xr10:uidLastSave="{81143C7E-E28B-450A-8015-3DFDDFA04C4B}"/>
  <bookViews>
    <workbookView xWindow="-108" yWindow="-108" windowWidth="23256" windowHeight="12456" firstSheet="2" activeTab="8" xr2:uid="{B50AC0E7-0765-4F77-84B0-27F92EF91778}"/>
  </bookViews>
  <sheets>
    <sheet name="LifeTable" sheetId="1" r:id="rId1"/>
    <sheet name="Analysis" sheetId="5" r:id="rId2"/>
    <sheet name="Visualizations" sheetId="6" r:id="rId3"/>
    <sheet name="Dashboard" sheetId="9" r:id="rId4"/>
    <sheet name="Improvement" sheetId="20" r:id="rId5"/>
    <sheet name="Gompertz" sheetId="10" r:id="rId6"/>
    <sheet name="Makeham" sheetId="21" r:id="rId7"/>
    <sheet name="MAGraduation" sheetId="11" r:id="rId8"/>
    <sheet name="Whittaker" sheetId="22" r:id="rId9"/>
    <sheet name="Sheet1" sheetId="23" r:id="rId10"/>
  </sheets>
  <definedNames>
    <definedName name="Slicer_Year">#N/A</definedName>
    <definedName name="solver_adj" localSheetId="6" hidden="1">Makeham!$Q$2:$Q$4</definedName>
    <definedName name="solver_adj" localSheetId="8" hidden="1">Whittaker!$D$2:$D$66</definedName>
    <definedName name="solver_cvg" localSheetId="6" hidden="1">0.0001</definedName>
    <definedName name="solver_cvg" localSheetId="8" hidden="1">0.0001</definedName>
    <definedName name="solver_drv" localSheetId="6" hidden="1">1</definedName>
    <definedName name="solver_drv" localSheetId="8" hidden="1">2</definedName>
    <definedName name="solver_eng" localSheetId="6" hidden="1">1</definedName>
    <definedName name="solver_eng" localSheetId="8" hidden="1">1</definedName>
    <definedName name="solver_est" localSheetId="6" hidden="1">1</definedName>
    <definedName name="solver_est" localSheetId="8" hidden="1">1</definedName>
    <definedName name="solver_itr" localSheetId="6" hidden="1">2147483647</definedName>
    <definedName name="solver_itr" localSheetId="8" hidden="1">2147483647</definedName>
    <definedName name="solver_lhs1" localSheetId="6" hidden="1">Makeham!$Q$2</definedName>
    <definedName name="solver_lhs1" localSheetId="8" hidden="1">Whittaker!$D$3:$D$66</definedName>
    <definedName name="solver_lhs2" localSheetId="6" hidden="1">Makeham!$Q$3</definedName>
    <definedName name="solver_lhs2" localSheetId="8" hidden="1">Whittaker!$D$3:$D$66</definedName>
    <definedName name="solver_lhs3" localSheetId="6" hidden="1">Makeham!$Q$4</definedName>
    <definedName name="solver_lhs4" localSheetId="6" hidden="1">Makeham!$Q$4</definedName>
    <definedName name="solver_mip" localSheetId="6" hidden="1">2147483647</definedName>
    <definedName name="solver_mip" localSheetId="8" hidden="1">2147483647</definedName>
    <definedName name="solver_mni" localSheetId="6" hidden="1">30</definedName>
    <definedName name="solver_mni" localSheetId="8" hidden="1">30</definedName>
    <definedName name="solver_mrt" localSheetId="6" hidden="1">0.075</definedName>
    <definedName name="solver_mrt" localSheetId="8" hidden="1">0.075</definedName>
    <definedName name="solver_msl" localSheetId="6" hidden="1">2</definedName>
    <definedName name="solver_msl" localSheetId="8" hidden="1">2</definedName>
    <definedName name="solver_neg" localSheetId="6" hidden="1">1</definedName>
    <definedName name="solver_neg" localSheetId="8" hidden="1">2</definedName>
    <definedName name="solver_nod" localSheetId="6" hidden="1">2147483647</definedName>
    <definedName name="solver_nod" localSheetId="8" hidden="1">2147483647</definedName>
    <definedName name="solver_num" localSheetId="6" hidden="1">3</definedName>
    <definedName name="solver_num" localSheetId="8" hidden="1">0</definedName>
    <definedName name="solver_nwt" localSheetId="6" hidden="1">1</definedName>
    <definedName name="solver_nwt" localSheetId="8" hidden="1">1</definedName>
    <definedName name="solver_opt" localSheetId="6" hidden="1">Makeham!$Q$5</definedName>
    <definedName name="solver_opt" localSheetId="8" hidden="1">Whittaker!$Q$5</definedName>
    <definedName name="solver_pre" localSheetId="6" hidden="1">0.000001</definedName>
    <definedName name="solver_pre" localSheetId="8" hidden="1">0.000001</definedName>
    <definedName name="solver_rbv" localSheetId="6" hidden="1">1</definedName>
    <definedName name="solver_rbv" localSheetId="8" hidden="1">2</definedName>
    <definedName name="solver_rel1" localSheetId="6" hidden="1">3</definedName>
    <definedName name="solver_rel1" localSheetId="8" hidden="1">3</definedName>
    <definedName name="solver_rel2" localSheetId="6" hidden="1">3</definedName>
    <definedName name="solver_rel2" localSheetId="8" hidden="1">3</definedName>
    <definedName name="solver_rel3" localSheetId="6" hidden="1">3</definedName>
    <definedName name="solver_rel4" localSheetId="6" hidden="1">3</definedName>
    <definedName name="solver_rhs1" localSheetId="6" hidden="1">0</definedName>
    <definedName name="solver_rhs1" localSheetId="8" hidden="1">Whittaker!$D$2:$D$65</definedName>
    <definedName name="solver_rhs2" localSheetId="6" hidden="1">0</definedName>
    <definedName name="solver_rhs2" localSheetId="8" hidden="1">Whittaker!$D$2:$D$65</definedName>
    <definedName name="solver_rhs3" localSheetId="6" hidden="1">1</definedName>
    <definedName name="solver_rhs4" localSheetId="6" hidden="1">1</definedName>
    <definedName name="solver_rlx" localSheetId="6" hidden="1">2</definedName>
    <definedName name="solver_rlx" localSheetId="8" hidden="1">2</definedName>
    <definedName name="solver_rsd" localSheetId="6" hidden="1">0</definedName>
    <definedName name="solver_rsd" localSheetId="8" hidden="1">0</definedName>
    <definedName name="solver_scl" localSheetId="6" hidden="1">1</definedName>
    <definedName name="solver_scl" localSheetId="8" hidden="1">2</definedName>
    <definedName name="solver_sho" localSheetId="6" hidden="1">2</definedName>
    <definedName name="solver_sho" localSheetId="8" hidden="1">2</definedName>
    <definedName name="solver_ssz" localSheetId="6" hidden="1">100</definedName>
    <definedName name="solver_ssz" localSheetId="8" hidden="1">100</definedName>
    <definedName name="solver_tim" localSheetId="6" hidden="1">2147483647</definedName>
    <definedName name="solver_tim" localSheetId="8" hidden="1">2147483647</definedName>
    <definedName name="solver_tol" localSheetId="6" hidden="1">0.01</definedName>
    <definedName name="solver_tol" localSheetId="8" hidden="1">0.01</definedName>
    <definedName name="solver_typ" localSheetId="6" hidden="1">2</definedName>
    <definedName name="solver_typ" localSheetId="8" hidden="1">2</definedName>
    <definedName name="solver_val" localSheetId="6" hidden="1">0</definedName>
    <definedName name="solver_val" localSheetId="8" hidden="1">0</definedName>
    <definedName name="solver_ver" localSheetId="6" hidden="1">3</definedName>
    <definedName name="solver_ver" localSheetId="8" hidden="1">3</definedName>
  </definedNames>
  <calcPr calcId="191029"/>
  <pivotCaches>
    <pivotCache cacheId="0"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66" i="21" l="1"/>
  <c r="M66" i="21"/>
  <c r="N65" i="21"/>
  <c r="M65" i="21"/>
  <c r="N64" i="21"/>
  <c r="M64" i="21"/>
  <c r="N63" i="21"/>
  <c r="M63" i="21"/>
  <c r="N62" i="21"/>
  <c r="M62" i="21"/>
  <c r="N61" i="21"/>
  <c r="M61" i="21"/>
  <c r="N60" i="21"/>
  <c r="M60" i="21"/>
  <c r="N59" i="21"/>
  <c r="M59" i="21"/>
  <c r="N58" i="21"/>
  <c r="M58" i="21"/>
  <c r="N57" i="21"/>
  <c r="M57" i="21"/>
  <c r="N56" i="21"/>
  <c r="M56" i="21"/>
  <c r="N55" i="21"/>
  <c r="M55" i="21"/>
  <c r="N54" i="21"/>
  <c r="M54" i="21"/>
  <c r="N53" i="21"/>
  <c r="M53" i="21"/>
  <c r="N52" i="21"/>
  <c r="M52" i="21"/>
  <c r="N51" i="21"/>
  <c r="M51" i="21"/>
  <c r="N50" i="21"/>
  <c r="M50" i="21"/>
  <c r="N49" i="21"/>
  <c r="M49" i="21"/>
  <c r="N48" i="21"/>
  <c r="M48" i="21"/>
  <c r="N47" i="21"/>
  <c r="M47" i="21"/>
  <c r="N46" i="21"/>
  <c r="M46" i="21"/>
  <c r="N45" i="21"/>
  <c r="M45" i="21"/>
  <c r="N44" i="21"/>
  <c r="M44" i="21"/>
  <c r="N43" i="21"/>
  <c r="M43" i="21"/>
  <c r="N42" i="21"/>
  <c r="M42" i="21"/>
  <c r="N41" i="21"/>
  <c r="M41" i="21"/>
  <c r="N40" i="21"/>
  <c r="M40" i="21"/>
  <c r="N39" i="21"/>
  <c r="M39" i="21"/>
  <c r="N38" i="21"/>
  <c r="M38" i="21"/>
  <c r="N37" i="21"/>
  <c r="M37" i="21"/>
  <c r="N36" i="21"/>
  <c r="M36" i="21"/>
  <c r="N35" i="21"/>
  <c r="M35" i="21"/>
  <c r="N34" i="21"/>
  <c r="M34" i="21"/>
  <c r="N33" i="21"/>
  <c r="M33" i="21"/>
  <c r="N32" i="21"/>
  <c r="M32" i="21"/>
  <c r="N31" i="21"/>
  <c r="M31" i="21"/>
  <c r="N30" i="21"/>
  <c r="M30" i="21"/>
  <c r="N29" i="21"/>
  <c r="M29" i="21"/>
  <c r="N28" i="21"/>
  <c r="M28" i="21"/>
  <c r="N27" i="21"/>
  <c r="M27" i="21"/>
  <c r="N26" i="21"/>
  <c r="M26" i="21"/>
  <c r="N25" i="21"/>
  <c r="M25" i="21"/>
  <c r="N24" i="21"/>
  <c r="M24" i="21"/>
  <c r="N23" i="21"/>
  <c r="M23" i="21"/>
  <c r="N22" i="21"/>
  <c r="M22" i="21"/>
  <c r="N21" i="21"/>
  <c r="M21" i="21"/>
  <c r="N20" i="21"/>
  <c r="M20" i="21"/>
  <c r="N19" i="21"/>
  <c r="M19" i="21"/>
  <c r="N18" i="21"/>
  <c r="M18" i="21"/>
  <c r="N17" i="21"/>
  <c r="M17" i="21"/>
  <c r="N16" i="21"/>
  <c r="M16" i="21"/>
  <c r="N15" i="21"/>
  <c r="M15" i="21"/>
  <c r="M66" i="22"/>
  <c r="M65" i="22"/>
  <c r="M64" i="22"/>
  <c r="M63" i="22"/>
  <c r="M62" i="22"/>
  <c r="M61" i="22"/>
  <c r="M60" i="22"/>
  <c r="M59" i="22"/>
  <c r="M58" i="22"/>
  <c r="M57" i="22"/>
  <c r="M56" i="22"/>
  <c r="M55" i="22"/>
  <c r="M54" i="22"/>
  <c r="M53" i="22"/>
  <c r="M52" i="22"/>
  <c r="M51" i="22"/>
  <c r="M50" i="22"/>
  <c r="M49" i="22"/>
  <c r="M48" i="22"/>
  <c r="M47" i="22"/>
  <c r="M46" i="22"/>
  <c r="M45" i="22"/>
  <c r="M44" i="22"/>
  <c r="M43" i="22"/>
  <c r="M42" i="22"/>
  <c r="M41" i="22"/>
  <c r="M40" i="22"/>
  <c r="M39" i="22"/>
  <c r="M38" i="22"/>
  <c r="M37" i="22"/>
  <c r="M36" i="22"/>
  <c r="M35" i="22"/>
  <c r="M34" i="22"/>
  <c r="M33" i="22"/>
  <c r="M32" i="22"/>
  <c r="M31" i="22"/>
  <c r="M30" i="22"/>
  <c r="M29" i="22"/>
  <c r="M28" i="22"/>
  <c r="M27" i="22"/>
  <c r="M26" i="22"/>
  <c r="M25" i="22"/>
  <c r="M24" i="22"/>
  <c r="M23" i="22"/>
  <c r="M22" i="22"/>
  <c r="M21" i="22"/>
  <c r="M20" i="22"/>
  <c r="M19" i="22"/>
  <c r="M18" i="22"/>
  <c r="M17" i="22"/>
  <c r="M16" i="22"/>
  <c r="M15" i="22"/>
  <c r="M14" i="22"/>
  <c r="M13" i="22"/>
  <c r="M12" i="22"/>
  <c r="M11" i="22"/>
  <c r="M10" i="22"/>
  <c r="M9" i="22"/>
  <c r="M8" i="22"/>
  <c r="M7" i="22"/>
  <c r="M6" i="22"/>
  <c r="M5" i="22"/>
  <c r="M4" i="22"/>
  <c r="M3" i="22"/>
  <c r="M2" i="22"/>
  <c r="H66" i="22"/>
  <c r="H65" i="22"/>
  <c r="H64" i="22"/>
  <c r="H63" i="22"/>
  <c r="H62" i="22"/>
  <c r="H61" i="22"/>
  <c r="H60" i="22"/>
  <c r="H59" i="22"/>
  <c r="H58" i="22"/>
  <c r="H57" i="22"/>
  <c r="H56" i="22"/>
  <c r="H55" i="22"/>
  <c r="H54" i="22"/>
  <c r="H53" i="22"/>
  <c r="H52" i="22"/>
  <c r="H51" i="22"/>
  <c r="H50" i="22"/>
  <c r="H49" i="22"/>
  <c r="H48" i="22"/>
  <c r="H47" i="22"/>
  <c r="H46" i="22"/>
  <c r="H45" i="22"/>
  <c r="H44" i="22"/>
  <c r="H43" i="22"/>
  <c r="H42" i="22"/>
  <c r="H41" i="22"/>
  <c r="H40" i="22"/>
  <c r="H39" i="22"/>
  <c r="H38" i="22"/>
  <c r="H37" i="22"/>
  <c r="H36" i="22"/>
  <c r="H35" i="22"/>
  <c r="H34" i="22"/>
  <c r="H33" i="22"/>
  <c r="H32" i="22"/>
  <c r="H31" i="22"/>
  <c r="H30" i="22"/>
  <c r="H29" i="22"/>
  <c r="H28" i="22"/>
  <c r="H27" i="22"/>
  <c r="H26" i="22"/>
  <c r="H25" i="22"/>
  <c r="H24" i="22"/>
  <c r="H23" i="22"/>
  <c r="H22" i="22"/>
  <c r="H21" i="22"/>
  <c r="H20" i="22"/>
  <c r="H19" i="22"/>
  <c r="H18" i="22"/>
  <c r="H17" i="22"/>
  <c r="H16" i="22"/>
  <c r="H15" i="22"/>
  <c r="H14" i="22"/>
  <c r="H13" i="22"/>
  <c r="H12" i="22"/>
  <c r="H11" i="22"/>
  <c r="H10" i="22"/>
  <c r="H9" i="22"/>
  <c r="H8" i="22"/>
  <c r="H7" i="22"/>
  <c r="H6" i="22"/>
  <c r="H5" i="22"/>
  <c r="H4" i="22"/>
  <c r="H3" i="22"/>
  <c r="H2" i="22"/>
  <c r="F66" i="22"/>
  <c r="G66" i="22" s="1"/>
  <c r="F65" i="22"/>
  <c r="G65" i="22" s="1"/>
  <c r="F64" i="22"/>
  <c r="G64" i="22" s="1"/>
  <c r="F63" i="22"/>
  <c r="G63" i="22" s="1"/>
  <c r="F62" i="22"/>
  <c r="G62" i="22" s="1"/>
  <c r="F61" i="22"/>
  <c r="G61" i="22" s="1"/>
  <c r="F60" i="22"/>
  <c r="G60" i="22" s="1"/>
  <c r="F59" i="22"/>
  <c r="G59" i="22" s="1"/>
  <c r="F58" i="22"/>
  <c r="G58" i="22" s="1"/>
  <c r="F57" i="22"/>
  <c r="G57" i="22" s="1"/>
  <c r="F56" i="22"/>
  <c r="G56" i="22" s="1"/>
  <c r="F55" i="22"/>
  <c r="G55" i="22" s="1"/>
  <c r="F54" i="22"/>
  <c r="G54" i="22" s="1"/>
  <c r="F53" i="22"/>
  <c r="G53" i="22" s="1"/>
  <c r="F52" i="22"/>
  <c r="G52" i="22" s="1"/>
  <c r="F51" i="22"/>
  <c r="G51" i="22" s="1"/>
  <c r="F50" i="22"/>
  <c r="G50" i="22" s="1"/>
  <c r="F49" i="22"/>
  <c r="G49" i="22" s="1"/>
  <c r="F48" i="22"/>
  <c r="G48" i="22" s="1"/>
  <c r="F47" i="22"/>
  <c r="G47" i="22" s="1"/>
  <c r="F46" i="22"/>
  <c r="G46" i="22" s="1"/>
  <c r="F45" i="22"/>
  <c r="G45" i="22" s="1"/>
  <c r="F44" i="22"/>
  <c r="G44" i="22" s="1"/>
  <c r="F43" i="22"/>
  <c r="G43" i="22" s="1"/>
  <c r="F42" i="22"/>
  <c r="G42" i="22" s="1"/>
  <c r="F41" i="22"/>
  <c r="G41" i="22" s="1"/>
  <c r="F40" i="22"/>
  <c r="G40" i="22" s="1"/>
  <c r="F39" i="22"/>
  <c r="G39" i="22" s="1"/>
  <c r="F38" i="22"/>
  <c r="G38" i="22" s="1"/>
  <c r="F37" i="22"/>
  <c r="G37" i="22" s="1"/>
  <c r="F36" i="22"/>
  <c r="G36" i="22" s="1"/>
  <c r="F35" i="22"/>
  <c r="G35" i="22" s="1"/>
  <c r="F34" i="22"/>
  <c r="G34" i="22" s="1"/>
  <c r="F33" i="22"/>
  <c r="G33" i="22" s="1"/>
  <c r="F32" i="22"/>
  <c r="G32" i="22" s="1"/>
  <c r="F31" i="22"/>
  <c r="G31" i="22" s="1"/>
  <c r="F30" i="22"/>
  <c r="G30" i="22" s="1"/>
  <c r="F29" i="22"/>
  <c r="G29" i="22" s="1"/>
  <c r="F28" i="22"/>
  <c r="G28" i="22" s="1"/>
  <c r="F27" i="22"/>
  <c r="G27" i="22" s="1"/>
  <c r="F26" i="22"/>
  <c r="G26" i="22" s="1"/>
  <c r="F25" i="22"/>
  <c r="G25" i="22" s="1"/>
  <c r="F24" i="22"/>
  <c r="G24" i="22" s="1"/>
  <c r="F23" i="22"/>
  <c r="G23" i="22" s="1"/>
  <c r="F22" i="22"/>
  <c r="G22" i="22" s="1"/>
  <c r="F21" i="22"/>
  <c r="G21" i="22" s="1"/>
  <c r="F20" i="22"/>
  <c r="G20" i="22" s="1"/>
  <c r="F19" i="22"/>
  <c r="G19" i="22" s="1"/>
  <c r="F18" i="22"/>
  <c r="G18" i="22" s="1"/>
  <c r="F17" i="22"/>
  <c r="G17" i="22" s="1"/>
  <c r="F16" i="22"/>
  <c r="G16" i="22" s="1"/>
  <c r="F15" i="22"/>
  <c r="G15" i="22" s="1"/>
  <c r="F14" i="22"/>
  <c r="G14" i="22" s="1"/>
  <c r="F13" i="22"/>
  <c r="G13" i="22" s="1"/>
  <c r="F12" i="22"/>
  <c r="G12" i="22" s="1"/>
  <c r="F11" i="22"/>
  <c r="G11" i="22" s="1"/>
  <c r="F10" i="22"/>
  <c r="G10" i="22" s="1"/>
  <c r="F9" i="22"/>
  <c r="G9" i="22" s="1"/>
  <c r="F8" i="22"/>
  <c r="G8" i="22" s="1"/>
  <c r="F7" i="22"/>
  <c r="G7" i="22" s="1"/>
  <c r="F6" i="22"/>
  <c r="G6" i="22" s="1"/>
  <c r="F5" i="22"/>
  <c r="G5" i="22" s="1"/>
  <c r="F4" i="22"/>
  <c r="G4" i="22" s="1"/>
  <c r="F3" i="22"/>
  <c r="G3" i="22" s="1"/>
  <c r="F2" i="22"/>
  <c r="G2" i="22" s="1"/>
  <c r="E2" i="22"/>
  <c r="E66" i="22"/>
  <c r="E65" i="22"/>
  <c r="E64" i="22"/>
  <c r="E63" i="22"/>
  <c r="E62" i="22"/>
  <c r="E61" i="22"/>
  <c r="E60" i="22"/>
  <c r="E59" i="22"/>
  <c r="E58" i="22"/>
  <c r="E57" i="22"/>
  <c r="E56" i="22"/>
  <c r="E55" i="22"/>
  <c r="E54" i="22"/>
  <c r="E53" i="22"/>
  <c r="E52" i="22"/>
  <c r="E51" i="22"/>
  <c r="E50" i="22"/>
  <c r="E49" i="22"/>
  <c r="E48" i="22"/>
  <c r="E47" i="22"/>
  <c r="E46" i="22"/>
  <c r="E45" i="22"/>
  <c r="E44" i="22"/>
  <c r="E43" i="22"/>
  <c r="E42" i="22"/>
  <c r="E41" i="22"/>
  <c r="E40" i="22"/>
  <c r="E39" i="22"/>
  <c r="E38" i="22"/>
  <c r="E37" i="22"/>
  <c r="E36" i="22"/>
  <c r="E35" i="22"/>
  <c r="E34" i="22"/>
  <c r="E33" i="22"/>
  <c r="E32" i="22"/>
  <c r="E31" i="22"/>
  <c r="E30" i="22"/>
  <c r="E29" i="22"/>
  <c r="E28" i="22"/>
  <c r="E27" i="22"/>
  <c r="E26" i="22"/>
  <c r="E25" i="22"/>
  <c r="E24" i="22"/>
  <c r="E23" i="22"/>
  <c r="E22" i="22"/>
  <c r="E21" i="22"/>
  <c r="E20" i="22"/>
  <c r="E19" i="22"/>
  <c r="E18" i="22"/>
  <c r="E17" i="22"/>
  <c r="E16" i="22"/>
  <c r="E15" i="22"/>
  <c r="E14" i="22"/>
  <c r="E13" i="22"/>
  <c r="E12" i="22"/>
  <c r="E11" i="22"/>
  <c r="E10" i="22"/>
  <c r="E9" i="22"/>
  <c r="E8" i="22"/>
  <c r="E7" i="22"/>
  <c r="E6" i="22"/>
  <c r="E5" i="22"/>
  <c r="E4" i="22"/>
  <c r="E3" i="22"/>
  <c r="N2" i="21"/>
  <c r="N14" i="21"/>
  <c r="N13" i="21"/>
  <c r="N12" i="21"/>
  <c r="N11" i="21"/>
  <c r="N10" i="21"/>
  <c r="N9" i="21"/>
  <c r="N8" i="21"/>
  <c r="N7" i="21"/>
  <c r="N6" i="21"/>
  <c r="N5" i="21"/>
  <c r="N4" i="21"/>
  <c r="N3" i="21"/>
  <c r="M2" i="21"/>
  <c r="M14" i="21"/>
  <c r="M13" i="21"/>
  <c r="M12" i="21"/>
  <c r="M11" i="21"/>
  <c r="M10" i="21"/>
  <c r="M9" i="21"/>
  <c r="M8" i="21"/>
  <c r="M7" i="21"/>
  <c r="M6" i="21"/>
  <c r="M5" i="21"/>
  <c r="M4" i="21"/>
  <c r="M3" i="21"/>
  <c r="F2" i="21"/>
  <c r="G2" i="21" s="1"/>
  <c r="H2" i="21" s="1"/>
  <c r="I2" i="21" s="1"/>
  <c r="J66" i="21"/>
  <c r="J65" i="21"/>
  <c r="J64" i="21"/>
  <c r="J63" i="21"/>
  <c r="J62" i="21"/>
  <c r="J61" i="21"/>
  <c r="J60" i="21"/>
  <c r="J59" i="21"/>
  <c r="J58" i="21"/>
  <c r="J57" i="21"/>
  <c r="J56" i="21"/>
  <c r="J55" i="21"/>
  <c r="J54" i="21"/>
  <c r="J53" i="21"/>
  <c r="J52" i="21"/>
  <c r="J51" i="21"/>
  <c r="J50" i="21"/>
  <c r="J49" i="21"/>
  <c r="J48" i="21"/>
  <c r="J47" i="21"/>
  <c r="J46" i="21"/>
  <c r="J45" i="21"/>
  <c r="J44" i="21"/>
  <c r="J43" i="21"/>
  <c r="J42" i="21"/>
  <c r="J41" i="21"/>
  <c r="J40" i="21"/>
  <c r="J39" i="21"/>
  <c r="J38" i="21"/>
  <c r="J37" i="21"/>
  <c r="J36" i="21"/>
  <c r="J35" i="21"/>
  <c r="J34" i="21"/>
  <c r="J33" i="21"/>
  <c r="J32" i="21"/>
  <c r="J31" i="21"/>
  <c r="J30" i="21"/>
  <c r="J29" i="21"/>
  <c r="J28" i="21"/>
  <c r="J27" i="21"/>
  <c r="J26" i="21"/>
  <c r="J25" i="21"/>
  <c r="J24" i="21"/>
  <c r="J23" i="21"/>
  <c r="J22" i="21"/>
  <c r="J21" i="21"/>
  <c r="J20" i="21"/>
  <c r="J19" i="21"/>
  <c r="J18" i="21"/>
  <c r="J17" i="21"/>
  <c r="J16" i="21"/>
  <c r="J15" i="21"/>
  <c r="J14" i="21"/>
  <c r="J13" i="21"/>
  <c r="J12" i="21"/>
  <c r="J11" i="21"/>
  <c r="J10" i="21"/>
  <c r="J9" i="21"/>
  <c r="J8" i="21"/>
  <c r="J7" i="21"/>
  <c r="J6" i="21"/>
  <c r="J5" i="21"/>
  <c r="J4" i="21"/>
  <c r="J3" i="21"/>
  <c r="J2" i="21"/>
  <c r="F66" i="21"/>
  <c r="G66" i="21" s="1"/>
  <c r="H66" i="21" s="1"/>
  <c r="I66" i="21" s="1"/>
  <c r="F65" i="21"/>
  <c r="G65" i="21" s="1"/>
  <c r="H65" i="21" s="1"/>
  <c r="I65" i="21" s="1"/>
  <c r="F64" i="21"/>
  <c r="G64" i="21" s="1"/>
  <c r="H64" i="21" s="1"/>
  <c r="I64" i="21" s="1"/>
  <c r="F63" i="21"/>
  <c r="G63" i="21" s="1"/>
  <c r="H63" i="21" s="1"/>
  <c r="I63" i="21" s="1"/>
  <c r="F62" i="21"/>
  <c r="G62" i="21" s="1"/>
  <c r="H62" i="21" s="1"/>
  <c r="I62" i="21" s="1"/>
  <c r="F61" i="21"/>
  <c r="G61" i="21" s="1"/>
  <c r="H61" i="21" s="1"/>
  <c r="I61" i="21" s="1"/>
  <c r="F60" i="21"/>
  <c r="G60" i="21" s="1"/>
  <c r="H60" i="21" s="1"/>
  <c r="I60" i="21" s="1"/>
  <c r="F59" i="21"/>
  <c r="G59" i="21" s="1"/>
  <c r="H59" i="21" s="1"/>
  <c r="I59" i="21" s="1"/>
  <c r="F58" i="21"/>
  <c r="G58" i="21" s="1"/>
  <c r="H58" i="21" s="1"/>
  <c r="I58" i="21" s="1"/>
  <c r="F57" i="21"/>
  <c r="G57" i="21" s="1"/>
  <c r="H57" i="21" s="1"/>
  <c r="I57" i="21" s="1"/>
  <c r="F56" i="21"/>
  <c r="G56" i="21" s="1"/>
  <c r="H56" i="21" s="1"/>
  <c r="I56" i="21" s="1"/>
  <c r="F55" i="21"/>
  <c r="G55" i="21" s="1"/>
  <c r="H55" i="21" s="1"/>
  <c r="I55" i="21" s="1"/>
  <c r="F54" i="21"/>
  <c r="G54" i="21" s="1"/>
  <c r="H54" i="21" s="1"/>
  <c r="I54" i="21" s="1"/>
  <c r="F53" i="21"/>
  <c r="G53" i="21" s="1"/>
  <c r="H53" i="21" s="1"/>
  <c r="I53" i="21" s="1"/>
  <c r="F52" i="21"/>
  <c r="G52" i="21" s="1"/>
  <c r="H52" i="21" s="1"/>
  <c r="I52" i="21" s="1"/>
  <c r="F51" i="21"/>
  <c r="G51" i="21" s="1"/>
  <c r="H51" i="21" s="1"/>
  <c r="I51" i="21" s="1"/>
  <c r="F50" i="21"/>
  <c r="G50" i="21" s="1"/>
  <c r="H50" i="21" s="1"/>
  <c r="I50" i="21" s="1"/>
  <c r="F49" i="21"/>
  <c r="G49" i="21" s="1"/>
  <c r="H49" i="21" s="1"/>
  <c r="I49" i="21" s="1"/>
  <c r="F48" i="21"/>
  <c r="G48" i="21" s="1"/>
  <c r="H48" i="21" s="1"/>
  <c r="I48" i="21" s="1"/>
  <c r="F47" i="21"/>
  <c r="G47" i="21" s="1"/>
  <c r="H47" i="21" s="1"/>
  <c r="I47" i="21" s="1"/>
  <c r="F46" i="21"/>
  <c r="G46" i="21" s="1"/>
  <c r="H46" i="21" s="1"/>
  <c r="I46" i="21" s="1"/>
  <c r="F45" i="21"/>
  <c r="G45" i="21" s="1"/>
  <c r="H45" i="21" s="1"/>
  <c r="I45" i="21" s="1"/>
  <c r="F44" i="21"/>
  <c r="G44" i="21" s="1"/>
  <c r="H44" i="21" s="1"/>
  <c r="I44" i="21" s="1"/>
  <c r="F43" i="21"/>
  <c r="G43" i="21" s="1"/>
  <c r="H43" i="21" s="1"/>
  <c r="I43" i="21" s="1"/>
  <c r="F42" i="21"/>
  <c r="G42" i="21" s="1"/>
  <c r="H42" i="21" s="1"/>
  <c r="I42" i="21" s="1"/>
  <c r="F41" i="21"/>
  <c r="G41" i="21" s="1"/>
  <c r="H41" i="21" s="1"/>
  <c r="I41" i="21" s="1"/>
  <c r="F40" i="21"/>
  <c r="G40" i="21" s="1"/>
  <c r="H40" i="21" s="1"/>
  <c r="I40" i="21" s="1"/>
  <c r="F39" i="21"/>
  <c r="G39" i="21" s="1"/>
  <c r="H39" i="21" s="1"/>
  <c r="I39" i="21" s="1"/>
  <c r="F38" i="21"/>
  <c r="G38" i="21" s="1"/>
  <c r="H38" i="21" s="1"/>
  <c r="I38" i="21" s="1"/>
  <c r="F37" i="21"/>
  <c r="G37" i="21" s="1"/>
  <c r="H37" i="21" s="1"/>
  <c r="I37" i="21" s="1"/>
  <c r="F36" i="21"/>
  <c r="G36" i="21" s="1"/>
  <c r="H36" i="21" s="1"/>
  <c r="I36" i="21" s="1"/>
  <c r="F35" i="21"/>
  <c r="G35" i="21" s="1"/>
  <c r="H35" i="21" s="1"/>
  <c r="I35" i="21" s="1"/>
  <c r="F34" i="21"/>
  <c r="G34" i="21" s="1"/>
  <c r="H34" i="21" s="1"/>
  <c r="I34" i="21" s="1"/>
  <c r="F33" i="21"/>
  <c r="G33" i="21" s="1"/>
  <c r="H33" i="21" s="1"/>
  <c r="I33" i="21" s="1"/>
  <c r="F32" i="21"/>
  <c r="G32" i="21" s="1"/>
  <c r="H32" i="21" s="1"/>
  <c r="I32" i="21" s="1"/>
  <c r="F31" i="21"/>
  <c r="G31" i="21" s="1"/>
  <c r="H31" i="21" s="1"/>
  <c r="I31" i="21" s="1"/>
  <c r="F30" i="21"/>
  <c r="G30" i="21" s="1"/>
  <c r="H30" i="21" s="1"/>
  <c r="I30" i="21" s="1"/>
  <c r="F29" i="21"/>
  <c r="G29" i="21" s="1"/>
  <c r="H29" i="21" s="1"/>
  <c r="I29" i="21" s="1"/>
  <c r="F28" i="21"/>
  <c r="G28" i="21" s="1"/>
  <c r="H28" i="21" s="1"/>
  <c r="I28" i="21" s="1"/>
  <c r="F27" i="21"/>
  <c r="G27" i="21" s="1"/>
  <c r="H27" i="21" s="1"/>
  <c r="I27" i="21" s="1"/>
  <c r="F26" i="21"/>
  <c r="G26" i="21" s="1"/>
  <c r="H26" i="21" s="1"/>
  <c r="I26" i="21" s="1"/>
  <c r="F25" i="21"/>
  <c r="G25" i="21" s="1"/>
  <c r="H25" i="21" s="1"/>
  <c r="I25" i="21" s="1"/>
  <c r="F24" i="21"/>
  <c r="G24" i="21" s="1"/>
  <c r="H24" i="21" s="1"/>
  <c r="I24" i="21" s="1"/>
  <c r="F23" i="21"/>
  <c r="G23" i="21" s="1"/>
  <c r="H23" i="21" s="1"/>
  <c r="I23" i="21" s="1"/>
  <c r="F22" i="21"/>
  <c r="G22" i="21" s="1"/>
  <c r="H22" i="21" s="1"/>
  <c r="I22" i="21" s="1"/>
  <c r="F21" i="21"/>
  <c r="G21" i="21" s="1"/>
  <c r="H21" i="21" s="1"/>
  <c r="I21" i="21" s="1"/>
  <c r="F20" i="21"/>
  <c r="G20" i="21" s="1"/>
  <c r="H20" i="21" s="1"/>
  <c r="I20" i="21" s="1"/>
  <c r="F19" i="21"/>
  <c r="G19" i="21" s="1"/>
  <c r="H19" i="21" s="1"/>
  <c r="I19" i="21" s="1"/>
  <c r="F18" i="21"/>
  <c r="G18" i="21" s="1"/>
  <c r="H18" i="21" s="1"/>
  <c r="I18" i="21" s="1"/>
  <c r="F17" i="21"/>
  <c r="G17" i="21" s="1"/>
  <c r="H17" i="21" s="1"/>
  <c r="I17" i="21" s="1"/>
  <c r="F16" i="21"/>
  <c r="G16" i="21" s="1"/>
  <c r="H16" i="21" s="1"/>
  <c r="I16" i="21" s="1"/>
  <c r="F15" i="21"/>
  <c r="G15" i="21" s="1"/>
  <c r="H15" i="21" s="1"/>
  <c r="I15" i="21" s="1"/>
  <c r="F14" i="21"/>
  <c r="G14" i="21" s="1"/>
  <c r="H14" i="21" s="1"/>
  <c r="I14" i="21" s="1"/>
  <c r="F13" i="21"/>
  <c r="G13" i="21" s="1"/>
  <c r="H13" i="21" s="1"/>
  <c r="I13" i="21" s="1"/>
  <c r="F12" i="21"/>
  <c r="G12" i="21" s="1"/>
  <c r="H12" i="21" s="1"/>
  <c r="I12" i="21" s="1"/>
  <c r="F11" i="21"/>
  <c r="G11" i="21" s="1"/>
  <c r="H11" i="21" s="1"/>
  <c r="I11" i="21" s="1"/>
  <c r="F10" i="21"/>
  <c r="G10" i="21" s="1"/>
  <c r="H10" i="21" s="1"/>
  <c r="I10" i="21" s="1"/>
  <c r="F9" i="21"/>
  <c r="G9" i="21" s="1"/>
  <c r="H9" i="21" s="1"/>
  <c r="I9" i="21" s="1"/>
  <c r="F8" i="21"/>
  <c r="G8" i="21" s="1"/>
  <c r="H8" i="21" s="1"/>
  <c r="I8" i="21" s="1"/>
  <c r="F7" i="21"/>
  <c r="G7" i="21" s="1"/>
  <c r="H7" i="21" s="1"/>
  <c r="I7" i="21" s="1"/>
  <c r="F6" i="21"/>
  <c r="G6" i="21" s="1"/>
  <c r="H6" i="21" s="1"/>
  <c r="I6" i="21" s="1"/>
  <c r="F5" i="21"/>
  <c r="G5" i="21" s="1"/>
  <c r="H5" i="21" s="1"/>
  <c r="I5" i="21" s="1"/>
  <c r="F4" i="21"/>
  <c r="G4" i="21" s="1"/>
  <c r="H4" i="21" s="1"/>
  <c r="I4" i="21" s="1"/>
  <c r="F3" i="21"/>
  <c r="G3" i="21" s="1"/>
  <c r="H3" i="21" s="1"/>
  <c r="I3" i="21" s="1"/>
  <c r="AD3" i="9"/>
  <c r="AC3" i="9"/>
  <c r="AB3" i="9"/>
  <c r="AD2" i="9"/>
  <c r="AC2" i="9"/>
  <c r="AB2" i="9"/>
  <c r="AA2" i="9"/>
  <c r="AA3" i="9"/>
  <c r="Q3" i="22" l="1"/>
  <c r="Q4" i="22"/>
  <c r="Q5" i="21"/>
  <c r="Q5" i="22" l="1"/>
</calcChain>
</file>

<file path=xl/sharedStrings.xml><?xml version="1.0" encoding="utf-8"?>
<sst xmlns="http://schemas.openxmlformats.org/spreadsheetml/2006/main" count="1437" uniqueCount="75">
  <si>
    <t>Year</t>
  </si>
  <si>
    <t>Single-Year Ages Code</t>
  </si>
  <si>
    <t>Sex Code</t>
  </si>
  <si>
    <t>Deaths</t>
  </si>
  <si>
    <t>Population</t>
  </si>
  <si>
    <t>px</t>
  </si>
  <si>
    <t>lx</t>
  </si>
  <si>
    <t>dx</t>
  </si>
  <si>
    <t>Tx</t>
  </si>
  <si>
    <t>ex</t>
  </si>
  <si>
    <t>Cumulative Survival</t>
  </si>
  <si>
    <t>F</t>
  </si>
  <si>
    <t>M</t>
  </si>
  <si>
    <t>T</t>
  </si>
  <si>
    <t>Lx2</t>
  </si>
  <si>
    <t>log_qx</t>
  </si>
  <si>
    <t>Age</t>
  </si>
  <si>
    <t>Sex</t>
  </si>
  <si>
    <t>LN Mortality qx by Age and Sex</t>
  </si>
  <si>
    <t>Survival Curve by Age and Sex</t>
  </si>
  <si>
    <t>Life Expectancy (ex) by Age and Sex</t>
  </si>
  <si>
    <t>Distriubtion of Death Rate (dx)</t>
  </si>
  <si>
    <t>(All)</t>
  </si>
  <si>
    <t>Selected Age</t>
  </si>
  <si>
    <t>approx_qx</t>
  </si>
  <si>
    <t>cohort_mx</t>
  </si>
  <si>
    <t>obs_mx</t>
  </si>
  <si>
    <t>ln_mx</t>
  </si>
  <si>
    <t>Parameter</t>
  </si>
  <si>
    <t>Value</t>
  </si>
  <si>
    <t>ln(B)</t>
  </si>
  <si>
    <t>ln(c)</t>
  </si>
  <si>
    <t>B</t>
  </si>
  <si>
    <t>c</t>
  </si>
  <si>
    <t>fitted_mx</t>
  </si>
  <si>
    <t>fitted_ln_mx</t>
  </si>
  <si>
    <t>ln_residual</t>
  </si>
  <si>
    <t>gomp_mx</t>
  </si>
  <si>
    <t>MA3_mx</t>
  </si>
  <si>
    <t>MA5_mx</t>
  </si>
  <si>
    <t>res_gomp</t>
  </si>
  <si>
    <t>res_MA3</t>
  </si>
  <si>
    <t>res_MA5</t>
  </si>
  <si>
    <t>%res_gomp</t>
  </si>
  <si>
    <t>%MA3_mx</t>
  </si>
  <si>
    <t>%MA5_mx</t>
  </si>
  <si>
    <t>Average of obs_mx</t>
  </si>
  <si>
    <t>Average of obs_qx</t>
  </si>
  <si>
    <t>A</t>
  </si>
  <si>
    <t>mx_hat</t>
  </si>
  <si>
    <t>ln_mx_hat</t>
  </si>
  <si>
    <t>ei_ln</t>
  </si>
  <si>
    <t>ei^2_ln</t>
  </si>
  <si>
    <t>RSS</t>
  </si>
  <si>
    <t>ln_mx-A</t>
  </si>
  <si>
    <t>gomp_ln_mx</t>
  </si>
  <si>
    <t>gomp_r_ei</t>
  </si>
  <si>
    <t>make_r_ei</t>
  </si>
  <si>
    <t>Makeham</t>
  </si>
  <si>
    <t>Gompertz</t>
  </si>
  <si>
    <t>WH_ln_mx</t>
  </si>
  <si>
    <t>2nd_diff</t>
  </si>
  <si>
    <t>2nd_diff^2</t>
  </si>
  <si>
    <t>Lambda</t>
  </si>
  <si>
    <t>Roughness</t>
  </si>
  <si>
    <t>Objective</t>
  </si>
  <si>
    <t>WH_mx</t>
  </si>
  <si>
    <t>WH_ln_mx_100</t>
  </si>
  <si>
    <t>WH_ln_mx_10</t>
  </si>
  <si>
    <t>WH_ln_mx_1</t>
  </si>
  <si>
    <t>2+Make</t>
  </si>
  <si>
    <t>WH1_resid</t>
  </si>
  <si>
    <t>Row Labels</t>
  </si>
  <si>
    <t>Column Labels</t>
  </si>
  <si>
    <t>Estimated Mortality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</si>
</sst>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2"/>
      <color theme="1" tint="0.499984740745262"/>
      <name val="Aptos Narrow"/>
      <family val="2"/>
      <scheme val="minor"/>
    </font>
    <font>
      <sz val="12"/>
      <color theme="1" tint="0.34998626667073579"/>
      <name val="Aptos Narrow"/>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0" tint="-4.9989318521683403E-2"/>
        <bgColor indexed="64"/>
      </patternFill>
    </fill>
    <fill>
      <patternFill patternType="solid">
        <fgColor theme="4"/>
        <bgColor theme="4"/>
      </patternFill>
    </fill>
    <fill>
      <patternFill patternType="solid">
        <fgColor theme="4" tint="0.79998168889431442"/>
        <bgColor theme="4" tint="0.79998168889431442"/>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top/>
      <bottom style="thin">
        <color theme="4" tint="0.39997558519241921"/>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25">
    <xf numFmtId="0" fontId="0" fillId="0" borderId="0" xfId="0"/>
    <xf numFmtId="0" fontId="0" fillId="0" borderId="0" xfId="0" pivotButton="1"/>
    <xf numFmtId="0" fontId="0" fillId="0" borderId="0" xfId="0" applyAlignment="1">
      <alignment horizontal="left"/>
    </xf>
    <xf numFmtId="0" fontId="0" fillId="0" borderId="0" xfId="0" quotePrefix="1"/>
    <xf numFmtId="0" fontId="18" fillId="33" borderId="0" xfId="0" applyFont="1" applyFill="1"/>
    <xf numFmtId="0" fontId="19" fillId="34" borderId="10" xfId="0" applyFont="1" applyFill="1" applyBorder="1"/>
    <xf numFmtId="0" fontId="19" fillId="34" borderId="11" xfId="0" applyFont="1" applyFill="1" applyBorder="1" applyAlignment="1">
      <alignment horizontal="center" vertical="center"/>
    </xf>
    <xf numFmtId="0" fontId="13" fillId="35" borderId="12" xfId="0" applyFont="1" applyFill="1" applyBorder="1"/>
    <xf numFmtId="0" fontId="13" fillId="35" borderId="13" xfId="0" applyFont="1" applyFill="1" applyBorder="1"/>
    <xf numFmtId="0" fontId="0" fillId="36" borderId="12" xfId="0" applyFill="1" applyBorder="1"/>
    <xf numFmtId="0" fontId="0" fillId="36" borderId="13" xfId="0" applyFill="1" applyBorder="1"/>
    <xf numFmtId="0" fontId="0" fillId="0" borderId="12" xfId="0" applyBorder="1"/>
    <xf numFmtId="0" fontId="0" fillId="0" borderId="13" xfId="0" applyBorder="1"/>
    <xf numFmtId="0" fontId="13" fillId="35" borderId="13" xfId="0" applyFont="1" applyFill="1" applyBorder="1" applyAlignment="1">
      <alignment horizontal="center"/>
    </xf>
    <xf numFmtId="0" fontId="13" fillId="35" borderId="0" xfId="0" applyFont="1" applyFill="1"/>
    <xf numFmtId="0" fontId="1" fillId="22" borderId="0" xfId="31"/>
    <xf numFmtId="0" fontId="1" fillId="10" borderId="0" xfId="19"/>
    <xf numFmtId="10" fontId="13" fillId="35" borderId="0" xfId="42" applyNumberFormat="1" applyFont="1" applyFill="1"/>
    <xf numFmtId="10" fontId="1" fillId="10" borderId="0" xfId="42" applyNumberFormat="1" applyFill="1"/>
    <xf numFmtId="10" fontId="0" fillId="0" borderId="0" xfId="42" applyNumberFormat="1" applyFont="1"/>
    <xf numFmtId="0" fontId="16" fillId="36" borderId="14" xfId="0" applyFont="1" applyFill="1" applyBorder="1"/>
    <xf numFmtId="0" fontId="16" fillId="36" borderId="0" xfId="0" applyFont="1" applyFill="1"/>
    <xf numFmtId="10" fontId="0" fillId="0" borderId="0" xfId="0" applyNumberFormat="1"/>
    <xf numFmtId="10" fontId="1" fillId="10" borderId="0" xfId="19" applyNumberFormat="1"/>
    <xf numFmtId="0" fontId="17" fillId="9" borderId="0" xfId="18"/>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2">
    <dxf>
      <numFmt numFmtId="0" formatCode="General"/>
    </dxf>
    <dxf>
      <numFmt numFmtId="0" formatCode="General"/>
    </dxf>
  </dxfs>
  <tableStyles count="0" defaultTableStyle="TableStyleMedium2" defaultPivotStyle="PivotStyleLight16"/>
  <colors>
    <mruColors>
      <color rgb="FF2F8DFF"/>
      <color rgb="FF03DB89"/>
      <color rgb="FFFE00A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[Mortality_Workbook.xlsx]Analysis!PivotTable4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Log</a:t>
            </a:r>
            <a:r>
              <a:rPr lang="en-US" baseline="0"/>
              <a:t> </a:t>
            </a:r>
            <a:r>
              <a:rPr lang="en-US"/>
              <a:t>Mortality</a:t>
            </a:r>
            <a:r>
              <a:rPr lang="en-US" baseline="0"/>
              <a:t> Rate (ln(approx_qx)) by Age and Sex</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Analysis!$F$3:$F$4</c:f>
              <c:strCache>
                <c:ptCount val="1"/>
                <c:pt idx="0">
                  <c:v>F</c:v>
                </c:pt>
              </c:strCache>
            </c:strRef>
          </c:tx>
          <c:spPr>
            <a:ln w="28575" cap="rnd">
              <a:solidFill>
                <a:schemeClr val="accent1"/>
              </a:solidFill>
              <a:round/>
            </a:ln>
            <a:effectLst/>
          </c:spPr>
          <c:marker>
            <c:symbol val="none"/>
          </c:marker>
          <c:cat>
            <c:strRef>
              <c:f>Analysis!$E$5:$E$69</c:f>
              <c:strCache>
                <c:ptCount val="65"/>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pt idx="49">
                  <c:v>69</c:v>
                </c:pt>
                <c:pt idx="50">
                  <c:v>70</c:v>
                </c:pt>
                <c:pt idx="51">
                  <c:v>71</c:v>
                </c:pt>
                <c:pt idx="52">
                  <c:v>72</c:v>
                </c:pt>
                <c:pt idx="53">
                  <c:v>73</c:v>
                </c:pt>
                <c:pt idx="54">
                  <c:v>74</c:v>
                </c:pt>
                <c:pt idx="55">
                  <c:v>75</c:v>
                </c:pt>
                <c:pt idx="56">
                  <c:v>76</c:v>
                </c:pt>
                <c:pt idx="57">
                  <c:v>77</c:v>
                </c:pt>
                <c:pt idx="58">
                  <c:v>78</c:v>
                </c:pt>
                <c:pt idx="59">
                  <c:v>79</c:v>
                </c:pt>
                <c:pt idx="60">
                  <c:v>80</c:v>
                </c:pt>
                <c:pt idx="61">
                  <c:v>81</c:v>
                </c:pt>
                <c:pt idx="62">
                  <c:v>82</c:v>
                </c:pt>
                <c:pt idx="63">
                  <c:v>83</c:v>
                </c:pt>
                <c:pt idx="64">
                  <c:v>84</c:v>
                </c:pt>
              </c:strCache>
            </c:strRef>
          </c:cat>
          <c:val>
            <c:numRef>
              <c:f>Analysis!$F$5:$F$69</c:f>
              <c:numCache>
                <c:formatCode>General</c:formatCode>
                <c:ptCount val="65"/>
                <c:pt idx="0">
                  <c:v>-7.7563355343307157</c:v>
                </c:pt>
                <c:pt idx="1">
                  <c:v>-7.6405356860315825</c:v>
                </c:pt>
                <c:pt idx="2">
                  <c:v>-7.6113133307526963</c:v>
                </c:pt>
                <c:pt idx="3">
                  <c:v>-7.5186019812916136</c:v>
                </c:pt>
                <c:pt idx="4">
                  <c:v>-7.4985075022001197</c:v>
                </c:pt>
                <c:pt idx="5">
                  <c:v>-7.4137068203971515</c:v>
                </c:pt>
                <c:pt idx="6">
                  <c:v>-7.3742962363203448</c:v>
                </c:pt>
                <c:pt idx="7">
                  <c:v>-7.2842710252323251</c:v>
                </c:pt>
                <c:pt idx="8">
                  <c:v>-7.227878894740086</c:v>
                </c:pt>
                <c:pt idx="9">
                  <c:v>-7.1761019742783319</c:v>
                </c:pt>
                <c:pt idx="10">
                  <c:v>-7.0905139280820384</c:v>
                </c:pt>
                <c:pt idx="11">
                  <c:v>-7.0417344372783548</c:v>
                </c:pt>
                <c:pt idx="12">
                  <c:v>-6.9638460219361074</c:v>
                </c:pt>
                <c:pt idx="13">
                  <c:v>-6.9039086021294276</c:v>
                </c:pt>
                <c:pt idx="14">
                  <c:v>-6.8750574631565682</c:v>
                </c:pt>
                <c:pt idx="15">
                  <c:v>-6.8175901990179719</c:v>
                </c:pt>
                <c:pt idx="16">
                  <c:v>-6.7527908925679379</c:v>
                </c:pt>
                <c:pt idx="17">
                  <c:v>-6.7028048437793615</c:v>
                </c:pt>
                <c:pt idx="18">
                  <c:v>-6.6466566003087211</c:v>
                </c:pt>
                <c:pt idx="19">
                  <c:v>-6.5826477513909181</c:v>
                </c:pt>
                <c:pt idx="20">
                  <c:v>-6.5356663061987819</c:v>
                </c:pt>
                <c:pt idx="21">
                  <c:v>-6.4707265495949855</c:v>
                </c:pt>
                <c:pt idx="22">
                  <c:v>-6.4063601600380364</c:v>
                </c:pt>
                <c:pt idx="23">
                  <c:v>-6.3287312083415328</c:v>
                </c:pt>
                <c:pt idx="24">
                  <c:v>-6.2668763212484251</c:v>
                </c:pt>
                <c:pt idx="25">
                  <c:v>-6.1772908286413815</c:v>
                </c:pt>
                <c:pt idx="26">
                  <c:v>-6.0882597912630674</c:v>
                </c:pt>
                <c:pt idx="27">
                  <c:v>-6.0208966102531116</c:v>
                </c:pt>
                <c:pt idx="28">
                  <c:v>-5.9313410764927577</c:v>
                </c:pt>
                <c:pt idx="29">
                  <c:v>-5.8463932073739953</c:v>
                </c:pt>
                <c:pt idx="30">
                  <c:v>-5.7565968231479125</c:v>
                </c:pt>
                <c:pt idx="31">
                  <c:v>-5.6662029814904082</c:v>
                </c:pt>
                <c:pt idx="32">
                  <c:v>-5.5824131840503961</c:v>
                </c:pt>
                <c:pt idx="33">
                  <c:v>-5.4968908692565677</c:v>
                </c:pt>
                <c:pt idx="34">
                  <c:v>-5.4128882985252913</c:v>
                </c:pt>
                <c:pt idx="35">
                  <c:v>-5.3347138241646865</c:v>
                </c:pt>
                <c:pt idx="36">
                  <c:v>-5.2506856298260489</c:v>
                </c:pt>
                <c:pt idx="37">
                  <c:v>-5.1661703006261526</c:v>
                </c:pt>
                <c:pt idx="38">
                  <c:v>-5.0998012632786294</c:v>
                </c:pt>
                <c:pt idx="39">
                  <c:v>-5.0279569336045862</c:v>
                </c:pt>
                <c:pt idx="40">
                  <c:v>-4.9537483407137008</c:v>
                </c:pt>
                <c:pt idx="41">
                  <c:v>-4.8857697332502319</c:v>
                </c:pt>
                <c:pt idx="42">
                  <c:v>-4.8142667752395418</c:v>
                </c:pt>
                <c:pt idx="43">
                  <c:v>-4.7426617703975866</c:v>
                </c:pt>
                <c:pt idx="44">
                  <c:v>-4.6757915501146883</c:v>
                </c:pt>
                <c:pt idx="45">
                  <c:v>-4.6087296126762176</c:v>
                </c:pt>
                <c:pt idx="46">
                  <c:v>-4.5369511738158144</c:v>
                </c:pt>
                <c:pt idx="47">
                  <c:v>-4.4536322609121646</c:v>
                </c:pt>
                <c:pt idx="48">
                  <c:v>-4.3743059503118378</c:v>
                </c:pt>
                <c:pt idx="49">
                  <c:v>-4.2813656783032981</c:v>
                </c:pt>
                <c:pt idx="50">
                  <c:v>-4.187184212417173</c:v>
                </c:pt>
                <c:pt idx="51">
                  <c:v>-4.0899402490870962</c:v>
                </c:pt>
                <c:pt idx="52">
                  <c:v>-3.9885820316131397</c:v>
                </c:pt>
                <c:pt idx="53">
                  <c:v>-3.8954617055636689</c:v>
                </c:pt>
                <c:pt idx="54">
                  <c:v>-3.7936781313403891</c:v>
                </c:pt>
                <c:pt idx="55">
                  <c:v>-3.6987322316153599</c:v>
                </c:pt>
                <c:pt idx="56">
                  <c:v>-3.6048475560072375</c:v>
                </c:pt>
                <c:pt idx="57">
                  <c:v>-3.5034609211081378</c:v>
                </c:pt>
                <c:pt idx="58">
                  <c:v>-3.3992186454943201</c:v>
                </c:pt>
                <c:pt idx="59">
                  <c:v>-3.2909747228488553</c:v>
                </c:pt>
                <c:pt idx="60">
                  <c:v>-3.1807774214093372</c:v>
                </c:pt>
                <c:pt idx="61">
                  <c:v>-3.07368784536204</c:v>
                </c:pt>
                <c:pt idx="62">
                  <c:v>-2.9543806580568268</c:v>
                </c:pt>
                <c:pt idx="63">
                  <c:v>-2.8441876100060495</c:v>
                </c:pt>
                <c:pt idx="64">
                  <c:v>-2.7330890586156342</c:v>
                </c:pt>
              </c:numCache>
            </c:numRef>
          </c:val>
          <c:smooth val="0"/>
          <c:extLst>
            <c:ext xmlns:c16="http://schemas.microsoft.com/office/drawing/2014/chart" uri="{C3380CC4-5D6E-409C-BE32-E72D297353CC}">
              <c16:uniqueId val="{00000000-A520-4F85-8C8C-C897EF432C70}"/>
            </c:ext>
          </c:extLst>
        </c:ser>
        <c:ser>
          <c:idx val="1"/>
          <c:order val="1"/>
          <c:tx>
            <c:strRef>
              <c:f>Analysis!$G$3:$G$4</c:f>
              <c:strCache>
                <c:ptCount val="1"/>
                <c:pt idx="0">
                  <c:v>M</c:v>
                </c:pt>
              </c:strCache>
            </c:strRef>
          </c:tx>
          <c:spPr>
            <a:ln w="28575" cap="rnd">
              <a:solidFill>
                <a:schemeClr val="accent2"/>
              </a:solidFill>
              <a:round/>
            </a:ln>
            <a:effectLst/>
          </c:spPr>
          <c:marker>
            <c:symbol val="none"/>
          </c:marker>
          <c:cat>
            <c:strRef>
              <c:f>Analysis!$E$5:$E$69</c:f>
              <c:strCache>
                <c:ptCount val="65"/>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pt idx="49">
                  <c:v>69</c:v>
                </c:pt>
                <c:pt idx="50">
                  <c:v>70</c:v>
                </c:pt>
                <c:pt idx="51">
                  <c:v>71</c:v>
                </c:pt>
                <c:pt idx="52">
                  <c:v>72</c:v>
                </c:pt>
                <c:pt idx="53">
                  <c:v>73</c:v>
                </c:pt>
                <c:pt idx="54">
                  <c:v>74</c:v>
                </c:pt>
                <c:pt idx="55">
                  <c:v>75</c:v>
                </c:pt>
                <c:pt idx="56">
                  <c:v>76</c:v>
                </c:pt>
                <c:pt idx="57">
                  <c:v>77</c:v>
                </c:pt>
                <c:pt idx="58">
                  <c:v>78</c:v>
                </c:pt>
                <c:pt idx="59">
                  <c:v>79</c:v>
                </c:pt>
                <c:pt idx="60">
                  <c:v>80</c:v>
                </c:pt>
                <c:pt idx="61">
                  <c:v>81</c:v>
                </c:pt>
                <c:pt idx="62">
                  <c:v>82</c:v>
                </c:pt>
                <c:pt idx="63">
                  <c:v>83</c:v>
                </c:pt>
                <c:pt idx="64">
                  <c:v>84</c:v>
                </c:pt>
              </c:strCache>
            </c:strRef>
          </c:cat>
          <c:val>
            <c:numRef>
              <c:f>Analysis!$G$5:$G$69</c:f>
              <c:numCache>
                <c:formatCode>General</c:formatCode>
                <c:ptCount val="65"/>
                <c:pt idx="0">
                  <c:v>-6.7460416833760393</c:v>
                </c:pt>
                <c:pt idx="1">
                  <c:v>-6.6138639994183412</c:v>
                </c:pt>
                <c:pt idx="2">
                  <c:v>-6.5739174724611402</c:v>
                </c:pt>
                <c:pt idx="3">
                  <c:v>-6.5363268134022698</c:v>
                </c:pt>
                <c:pt idx="4">
                  <c:v>-6.4912831478777564</c:v>
                </c:pt>
                <c:pt idx="5">
                  <c:v>-6.4546689401858757</c:v>
                </c:pt>
                <c:pt idx="6">
                  <c:v>-6.4347400113029556</c:v>
                </c:pt>
                <c:pt idx="7">
                  <c:v>-6.3830457917147854</c:v>
                </c:pt>
                <c:pt idx="8">
                  <c:v>-6.3487268780307256</c:v>
                </c:pt>
                <c:pt idx="9">
                  <c:v>-6.3224396572351749</c:v>
                </c:pt>
                <c:pt idx="10">
                  <c:v>-6.2980899111928972</c:v>
                </c:pt>
                <c:pt idx="11">
                  <c:v>-6.2679023832935528</c:v>
                </c:pt>
                <c:pt idx="12">
                  <c:v>-6.2355117635431823</c:v>
                </c:pt>
                <c:pt idx="13">
                  <c:v>-6.2065393273608995</c:v>
                </c:pt>
                <c:pt idx="14">
                  <c:v>-6.1672019065515338</c:v>
                </c:pt>
                <c:pt idx="15">
                  <c:v>-6.1426478645610496</c:v>
                </c:pt>
                <c:pt idx="16">
                  <c:v>-6.111578608785905</c:v>
                </c:pt>
                <c:pt idx="17">
                  <c:v>-6.0675803989196417</c:v>
                </c:pt>
                <c:pt idx="18">
                  <c:v>-6.0354836097715605</c:v>
                </c:pt>
                <c:pt idx="19">
                  <c:v>-5.9903505009988756</c:v>
                </c:pt>
                <c:pt idx="20">
                  <c:v>-5.9573127844781508</c:v>
                </c:pt>
                <c:pt idx="21">
                  <c:v>-5.9167935691179574</c:v>
                </c:pt>
                <c:pt idx="22">
                  <c:v>-5.8789572484672092</c:v>
                </c:pt>
                <c:pt idx="23">
                  <c:v>-5.8216031602647602</c:v>
                </c:pt>
                <c:pt idx="24">
                  <c:v>-5.7544001834366618</c:v>
                </c:pt>
                <c:pt idx="25">
                  <c:v>-5.6864791341868122</c:v>
                </c:pt>
                <c:pt idx="26">
                  <c:v>-5.6033447341703955</c:v>
                </c:pt>
                <c:pt idx="27">
                  <c:v>-5.532023398307409</c:v>
                </c:pt>
                <c:pt idx="28">
                  <c:v>-5.450883379415747</c:v>
                </c:pt>
                <c:pt idx="29">
                  <c:v>-5.3623331670249952</c:v>
                </c:pt>
                <c:pt idx="30">
                  <c:v>-5.2782257425761729</c:v>
                </c:pt>
                <c:pt idx="31">
                  <c:v>-5.1850013182618806</c:v>
                </c:pt>
                <c:pt idx="32">
                  <c:v>-5.0941623607978164</c:v>
                </c:pt>
                <c:pt idx="33">
                  <c:v>-5.0091342732149604</c:v>
                </c:pt>
                <c:pt idx="34">
                  <c:v>-4.9113932360052788</c:v>
                </c:pt>
                <c:pt idx="35">
                  <c:v>-4.8271514367541686</c:v>
                </c:pt>
                <c:pt idx="36">
                  <c:v>-4.7479291342496213</c:v>
                </c:pt>
                <c:pt idx="37">
                  <c:v>-4.6626557267958608</c:v>
                </c:pt>
                <c:pt idx="38">
                  <c:v>-4.5915464731930937</c:v>
                </c:pt>
                <c:pt idx="39">
                  <c:v>-4.5094471340431346</c:v>
                </c:pt>
                <c:pt idx="40">
                  <c:v>-4.4439086935405339</c:v>
                </c:pt>
                <c:pt idx="41">
                  <c:v>-4.3607700445266735</c:v>
                </c:pt>
                <c:pt idx="42">
                  <c:v>-4.2915346088528148</c:v>
                </c:pt>
                <c:pt idx="43">
                  <c:v>-4.2132476715623266</c:v>
                </c:pt>
                <c:pt idx="44">
                  <c:v>-4.1555344145947499</c:v>
                </c:pt>
                <c:pt idx="45">
                  <c:v>-4.0962593366112854</c:v>
                </c:pt>
                <c:pt idx="46">
                  <c:v>-4.032456369752361</c:v>
                </c:pt>
                <c:pt idx="47">
                  <c:v>-3.972564204140737</c:v>
                </c:pt>
                <c:pt idx="48">
                  <c:v>-3.9149792623763364</c:v>
                </c:pt>
                <c:pt idx="49">
                  <c:v>-3.8368664533621253</c:v>
                </c:pt>
                <c:pt idx="50">
                  <c:v>-3.7640129211195945</c:v>
                </c:pt>
                <c:pt idx="51">
                  <c:v>-3.6754342237972737</c:v>
                </c:pt>
                <c:pt idx="52">
                  <c:v>-3.5973272090941379</c:v>
                </c:pt>
                <c:pt idx="53">
                  <c:v>-3.5095993810359034</c:v>
                </c:pt>
                <c:pt idx="54">
                  <c:v>-3.4104693431318722</c:v>
                </c:pt>
                <c:pt idx="55">
                  <c:v>-3.3283027062546</c:v>
                </c:pt>
                <c:pt idx="56">
                  <c:v>-3.2365331622787998</c:v>
                </c:pt>
                <c:pt idx="57">
                  <c:v>-3.143624214823177</c:v>
                </c:pt>
                <c:pt idx="58">
                  <c:v>-3.0542257900406717</c:v>
                </c:pt>
                <c:pt idx="59">
                  <c:v>-2.956033798800576</c:v>
                </c:pt>
                <c:pt idx="60">
                  <c:v>-2.8582160942430108</c:v>
                </c:pt>
                <c:pt idx="61">
                  <c:v>-2.7554311677185233</c:v>
                </c:pt>
                <c:pt idx="62">
                  <c:v>-2.6545434602433646</c:v>
                </c:pt>
                <c:pt idx="63">
                  <c:v>-2.5494606396790966</c:v>
                </c:pt>
                <c:pt idx="64">
                  <c:v>-2.4404718983805735</c:v>
                </c:pt>
              </c:numCache>
            </c:numRef>
          </c:val>
          <c:smooth val="0"/>
          <c:extLst>
            <c:ext xmlns:c16="http://schemas.microsoft.com/office/drawing/2014/chart" uri="{C3380CC4-5D6E-409C-BE32-E72D297353CC}">
              <c16:uniqueId val="{00000001-A520-4F85-8C8C-C897EF432C70}"/>
            </c:ext>
          </c:extLst>
        </c:ser>
        <c:dLbls>
          <c:showLegendKey val="0"/>
          <c:showVal val="0"/>
          <c:showCatName val="0"/>
          <c:showSerName val="0"/>
          <c:showPercent val="0"/>
          <c:showBubbleSize val="0"/>
        </c:dLbls>
        <c:smooth val="0"/>
        <c:axId val="44503295"/>
        <c:axId val="44507135"/>
      </c:lineChart>
      <c:catAx>
        <c:axId val="44503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507135"/>
        <c:crosses val="autoZero"/>
        <c:auto val="1"/>
        <c:lblAlgn val="ctr"/>
        <c:lblOffset val="100"/>
        <c:tickLblSkip val="5"/>
        <c:noMultiLvlLbl val="0"/>
      </c:catAx>
      <c:valAx>
        <c:axId val="44507135"/>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503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[Mortality_Workbook.xlsx]Analysis!PivotTable1</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Survival Curve by</a:t>
            </a:r>
            <a:r>
              <a:rPr lang="en-US" baseline="0"/>
              <a:t> Age and Sex</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Analysis!$J$3:$J$4</c:f>
              <c:strCache>
                <c:ptCount val="1"/>
                <c:pt idx="0">
                  <c:v>F</c:v>
                </c:pt>
              </c:strCache>
            </c:strRef>
          </c:tx>
          <c:spPr>
            <a:ln w="28575" cap="rnd">
              <a:solidFill>
                <a:schemeClr val="accent1"/>
              </a:solidFill>
              <a:round/>
            </a:ln>
            <a:effectLst/>
          </c:spPr>
          <c:marker>
            <c:symbol val="none"/>
          </c:marker>
          <c:cat>
            <c:strRef>
              <c:f>Analysis!$I$5:$I$69</c:f>
              <c:strCache>
                <c:ptCount val="65"/>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pt idx="49">
                  <c:v>69</c:v>
                </c:pt>
                <c:pt idx="50">
                  <c:v>70</c:v>
                </c:pt>
                <c:pt idx="51">
                  <c:v>71</c:v>
                </c:pt>
                <c:pt idx="52">
                  <c:v>72</c:v>
                </c:pt>
                <c:pt idx="53">
                  <c:v>73</c:v>
                </c:pt>
                <c:pt idx="54">
                  <c:v>74</c:v>
                </c:pt>
                <c:pt idx="55">
                  <c:v>75</c:v>
                </c:pt>
                <c:pt idx="56">
                  <c:v>76</c:v>
                </c:pt>
                <c:pt idx="57">
                  <c:v>77</c:v>
                </c:pt>
                <c:pt idx="58">
                  <c:v>78</c:v>
                </c:pt>
                <c:pt idx="59">
                  <c:v>79</c:v>
                </c:pt>
                <c:pt idx="60">
                  <c:v>80</c:v>
                </c:pt>
                <c:pt idx="61">
                  <c:v>81</c:v>
                </c:pt>
                <c:pt idx="62">
                  <c:v>82</c:v>
                </c:pt>
                <c:pt idx="63">
                  <c:v>83</c:v>
                </c:pt>
                <c:pt idx="64">
                  <c:v>84</c:v>
                </c:pt>
              </c:strCache>
            </c:strRef>
          </c:cat>
          <c:val>
            <c:numRef>
              <c:f>Analysis!$J$5:$J$69</c:f>
              <c:numCache>
                <c:formatCode>General</c:formatCode>
                <c:ptCount val="65"/>
                <c:pt idx="0">
                  <c:v>1</c:v>
                </c:pt>
                <c:pt idx="1">
                  <c:v>0.99957171416666668</c:v>
                </c:pt>
                <c:pt idx="2">
                  <c:v>0.99909013150000003</c:v>
                </c:pt>
                <c:pt idx="3">
                  <c:v>0.99859486566666666</c:v>
                </c:pt>
                <c:pt idx="4">
                  <c:v>0.99805083899999991</c:v>
                </c:pt>
                <c:pt idx="5">
                  <c:v>0.99749656666666675</c:v>
                </c:pt>
                <c:pt idx="6">
                  <c:v>0.99689284600000005</c:v>
                </c:pt>
                <c:pt idx="7">
                  <c:v>0.99626578333333338</c:v>
                </c:pt>
                <c:pt idx="8">
                  <c:v>0.99557954316666664</c:v>
                </c:pt>
                <c:pt idx="9">
                  <c:v>0.99485418183333341</c:v>
                </c:pt>
                <c:pt idx="10">
                  <c:v>0.99408987400000004</c:v>
                </c:pt>
                <c:pt idx="11">
                  <c:v>0.99325847099999998</c:v>
                </c:pt>
                <c:pt idx="12">
                  <c:v>0.99238710616666659</c:v>
                </c:pt>
                <c:pt idx="13">
                  <c:v>0.99144533449999994</c:v>
                </c:pt>
                <c:pt idx="14">
                  <c:v>0.99044519299999989</c:v>
                </c:pt>
                <c:pt idx="15">
                  <c:v>0.9894185405</c:v>
                </c:pt>
                <c:pt idx="16">
                  <c:v>0.98833150333333331</c:v>
                </c:pt>
                <c:pt idx="17">
                  <c:v>0.98717372599999997</c:v>
                </c:pt>
                <c:pt idx="18">
                  <c:v>0.98595610716666682</c:v>
                </c:pt>
                <c:pt idx="19">
                  <c:v>0.98467172866666663</c:v>
                </c:pt>
                <c:pt idx="20">
                  <c:v>0.98330288366666663</c:v>
                </c:pt>
                <c:pt idx="21">
                  <c:v>0.9818719079999999</c:v>
                </c:pt>
                <c:pt idx="22">
                  <c:v>0.98034451283333335</c:v>
                </c:pt>
                <c:pt idx="23">
                  <c:v>0.97872213699999999</c:v>
                </c:pt>
                <c:pt idx="24">
                  <c:v>0.97697152333333337</c:v>
                </c:pt>
                <c:pt idx="25">
                  <c:v>0.97511221166666673</c:v>
                </c:pt>
                <c:pt idx="26">
                  <c:v>0.97308391750000001</c:v>
                </c:pt>
                <c:pt idx="27">
                  <c:v>0.97087201249999999</c:v>
                </c:pt>
                <c:pt idx="28">
                  <c:v>0.96851046666666651</c:v>
                </c:pt>
                <c:pt idx="29">
                  <c:v>0.96593498383333343</c:v>
                </c:pt>
                <c:pt idx="30">
                  <c:v>0.96313926449999998</c:v>
                </c:pt>
                <c:pt idx="31">
                  <c:v>0.96009106400000011</c:v>
                </c:pt>
                <c:pt idx="32">
                  <c:v>0.95676452683333324</c:v>
                </c:pt>
                <c:pt idx="33">
                  <c:v>0.95315961683333328</c:v>
                </c:pt>
                <c:pt idx="34">
                  <c:v>0.94924736666666654</c:v>
                </c:pt>
                <c:pt idx="35">
                  <c:v>0.94501022900000009</c:v>
                </c:pt>
                <c:pt idx="36">
                  <c:v>0.94045071999999996</c:v>
                </c:pt>
                <c:pt idx="37">
                  <c:v>0.93551596616666666</c:v>
                </c:pt>
                <c:pt idx="38">
                  <c:v>0.93017261566666665</c:v>
                </c:pt>
                <c:pt idx="39">
                  <c:v>0.92449580766666672</c:v>
                </c:pt>
                <c:pt idx="40">
                  <c:v>0.9184308756666667</c:v>
                </c:pt>
                <c:pt idx="41">
                  <c:v>0.91194075783333328</c:v>
                </c:pt>
                <c:pt idx="42">
                  <c:v>0.90504172516666659</c:v>
                </c:pt>
                <c:pt idx="43">
                  <c:v>0.89768970233333345</c:v>
                </c:pt>
                <c:pt idx="44">
                  <c:v>0.88985479233333342</c:v>
                </c:pt>
                <c:pt idx="45">
                  <c:v>0.8815523331666667</c:v>
                </c:pt>
                <c:pt idx="46">
                  <c:v>0.87275812916666673</c:v>
                </c:pt>
                <c:pt idx="47">
                  <c:v>0.86340441183333327</c:v>
                </c:pt>
                <c:pt idx="48">
                  <c:v>0.85334744866666645</c:v>
                </c:pt>
                <c:pt idx="49">
                  <c:v>0.84258716283333335</c:v>
                </c:pt>
                <c:pt idx="50">
                  <c:v>0.83092998150000008</c:v>
                </c:pt>
                <c:pt idx="51">
                  <c:v>0.81830326966666667</c:v>
                </c:pt>
                <c:pt idx="52">
                  <c:v>0.80459492083333328</c:v>
                </c:pt>
                <c:pt idx="53">
                  <c:v>0.7896790423333333</c:v>
                </c:pt>
                <c:pt idx="54">
                  <c:v>0.77362036483333341</c:v>
                </c:pt>
                <c:pt idx="55">
                  <c:v>0.75618670366666674</c:v>
                </c:pt>
                <c:pt idx="56">
                  <c:v>0.73746395333333348</c:v>
                </c:pt>
                <c:pt idx="57">
                  <c:v>0.71740190266666659</c:v>
                </c:pt>
                <c:pt idx="58">
                  <c:v>0.69580922499999998</c:v>
                </c:pt>
                <c:pt idx="59">
                  <c:v>0.67256204516666662</c:v>
                </c:pt>
                <c:pt idx="60">
                  <c:v>0.64752613866666664</c:v>
                </c:pt>
                <c:pt idx="61">
                  <c:v>0.62061897133333332</c:v>
                </c:pt>
                <c:pt idx="62">
                  <c:v>0.59191441766666675</c:v>
                </c:pt>
                <c:pt idx="63">
                  <c:v>0.56107444650000005</c:v>
                </c:pt>
                <c:pt idx="64">
                  <c:v>0.52843887016666669</c:v>
                </c:pt>
              </c:numCache>
            </c:numRef>
          </c:val>
          <c:smooth val="0"/>
          <c:extLst>
            <c:ext xmlns:c16="http://schemas.microsoft.com/office/drawing/2014/chart" uri="{C3380CC4-5D6E-409C-BE32-E72D297353CC}">
              <c16:uniqueId val="{00000000-248D-4535-B67D-2E1DE2724EB4}"/>
            </c:ext>
          </c:extLst>
        </c:ser>
        <c:ser>
          <c:idx val="1"/>
          <c:order val="1"/>
          <c:tx>
            <c:strRef>
              <c:f>Analysis!$K$3:$K$4</c:f>
              <c:strCache>
                <c:ptCount val="1"/>
                <c:pt idx="0">
                  <c:v>M</c:v>
                </c:pt>
              </c:strCache>
            </c:strRef>
          </c:tx>
          <c:spPr>
            <a:ln w="28575" cap="rnd">
              <a:solidFill>
                <a:schemeClr val="accent2"/>
              </a:solidFill>
              <a:round/>
            </a:ln>
            <a:effectLst/>
          </c:spPr>
          <c:marker>
            <c:symbol val="none"/>
          </c:marker>
          <c:cat>
            <c:strRef>
              <c:f>Analysis!$I$5:$I$69</c:f>
              <c:strCache>
                <c:ptCount val="65"/>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pt idx="49">
                  <c:v>69</c:v>
                </c:pt>
                <c:pt idx="50">
                  <c:v>70</c:v>
                </c:pt>
                <c:pt idx="51">
                  <c:v>71</c:v>
                </c:pt>
                <c:pt idx="52">
                  <c:v>72</c:v>
                </c:pt>
                <c:pt idx="53">
                  <c:v>73</c:v>
                </c:pt>
                <c:pt idx="54">
                  <c:v>74</c:v>
                </c:pt>
                <c:pt idx="55">
                  <c:v>75</c:v>
                </c:pt>
                <c:pt idx="56">
                  <c:v>76</c:v>
                </c:pt>
                <c:pt idx="57">
                  <c:v>77</c:v>
                </c:pt>
                <c:pt idx="58">
                  <c:v>78</c:v>
                </c:pt>
                <c:pt idx="59">
                  <c:v>79</c:v>
                </c:pt>
                <c:pt idx="60">
                  <c:v>80</c:v>
                </c:pt>
                <c:pt idx="61">
                  <c:v>81</c:v>
                </c:pt>
                <c:pt idx="62">
                  <c:v>82</c:v>
                </c:pt>
                <c:pt idx="63">
                  <c:v>83</c:v>
                </c:pt>
                <c:pt idx="64">
                  <c:v>84</c:v>
                </c:pt>
              </c:strCache>
            </c:strRef>
          </c:cat>
          <c:val>
            <c:numRef>
              <c:f>Analysis!$K$5:$K$69</c:f>
              <c:numCache>
                <c:formatCode>General</c:formatCode>
                <c:ptCount val="65"/>
                <c:pt idx="0">
                  <c:v>1</c:v>
                </c:pt>
                <c:pt idx="1">
                  <c:v>0.99882146066666666</c:v>
                </c:pt>
                <c:pt idx="2">
                  <c:v>0.99747743483333329</c:v>
                </c:pt>
                <c:pt idx="3">
                  <c:v>0.99608151033333325</c:v>
                </c:pt>
                <c:pt idx="4">
                  <c:v>0.99463297049999999</c:v>
                </c:pt>
                <c:pt idx="5">
                  <c:v>0.9931199666666668</c:v>
                </c:pt>
                <c:pt idx="6">
                  <c:v>0.99155336616666656</c:v>
                </c:pt>
                <c:pt idx="7">
                  <c:v>0.98995650350000008</c:v>
                </c:pt>
                <c:pt idx="8">
                  <c:v>0.98827773583333334</c:v>
                </c:pt>
                <c:pt idx="9">
                  <c:v>0.98654206966666658</c:v>
                </c:pt>
                <c:pt idx="10">
                  <c:v>0.9847634913333333</c:v>
                </c:pt>
                <c:pt idx="11">
                  <c:v>0.98294053400000003</c:v>
                </c:pt>
                <c:pt idx="12">
                  <c:v>0.98106442900000002</c:v>
                </c:pt>
                <c:pt idx="13">
                  <c:v>0.97913262616666674</c:v>
                </c:pt>
                <c:pt idx="14">
                  <c:v>0.97714576450000001</c:v>
                </c:pt>
                <c:pt idx="15">
                  <c:v>0.97508529766666674</c:v>
                </c:pt>
                <c:pt idx="16">
                  <c:v>0.97297792783333337</c:v>
                </c:pt>
                <c:pt idx="17">
                  <c:v>0.97080629899999993</c:v>
                </c:pt>
                <c:pt idx="18">
                  <c:v>0.96854131066666671</c:v>
                </c:pt>
                <c:pt idx="19">
                  <c:v>0.96620939133333328</c:v>
                </c:pt>
                <c:pt idx="20">
                  <c:v>0.9637705316666666</c:v>
                </c:pt>
                <c:pt idx="21">
                  <c:v>0.96125654383333325</c:v>
                </c:pt>
                <c:pt idx="22">
                  <c:v>0.95864681483333325</c:v>
                </c:pt>
                <c:pt idx="23">
                  <c:v>0.95594747800000002</c:v>
                </c:pt>
                <c:pt idx="24">
                  <c:v>0.95309818283333347</c:v>
                </c:pt>
                <c:pt idx="25">
                  <c:v>0.95006408500000006</c:v>
                </c:pt>
                <c:pt idx="26">
                  <c:v>0.94683022650000004</c:v>
                </c:pt>
                <c:pt idx="27">
                  <c:v>0.94332832016666668</c:v>
                </c:pt>
                <c:pt idx="28">
                  <c:v>0.93958054516666678</c:v>
                </c:pt>
                <c:pt idx="29">
                  <c:v>0.93553093766666684</c:v>
                </c:pt>
                <c:pt idx="30">
                  <c:v>0.93112964466666659</c:v>
                </c:pt>
                <c:pt idx="31">
                  <c:v>0.92637054466666668</c:v>
                </c:pt>
                <c:pt idx="32">
                  <c:v>0.92117300516666667</c:v>
                </c:pt>
                <c:pt idx="33">
                  <c:v>0.9155131276666667</c:v>
                </c:pt>
                <c:pt idx="34">
                  <c:v>0.90938927333333319</c:v>
                </c:pt>
                <c:pt idx="35">
                  <c:v>0.90268334999999988</c:v>
                </c:pt>
                <c:pt idx="36">
                  <c:v>0.89544483800000008</c:v>
                </c:pt>
                <c:pt idx="37">
                  <c:v>0.88767024249999993</c:v>
                </c:pt>
                <c:pt idx="38">
                  <c:v>0.87928070450000007</c:v>
                </c:pt>
                <c:pt idx="39">
                  <c:v>0.87035525866666674</c:v>
                </c:pt>
                <c:pt idx="40">
                  <c:v>0.86076517283333331</c:v>
                </c:pt>
                <c:pt idx="41">
                  <c:v>0.85064071716666678</c:v>
                </c:pt>
                <c:pt idx="42">
                  <c:v>0.8397635828333333</c:v>
                </c:pt>
                <c:pt idx="43">
                  <c:v>0.82825929349999994</c:v>
                </c:pt>
                <c:pt idx="44">
                  <c:v>0.81598808749999996</c:v>
                </c:pt>
                <c:pt idx="45">
                  <c:v>0.80317961516666669</c:v>
                </c:pt>
                <c:pt idx="46">
                  <c:v>0.78980872350000009</c:v>
                </c:pt>
                <c:pt idx="47">
                  <c:v>0.77578750466666657</c:v>
                </c:pt>
                <c:pt idx="48">
                  <c:v>0.76116852700000004</c:v>
                </c:pt>
                <c:pt idx="49">
                  <c:v>0.74597253083333337</c:v>
                </c:pt>
                <c:pt idx="50">
                  <c:v>0.72987568849999995</c:v>
                </c:pt>
                <c:pt idx="51">
                  <c:v>0.71294194150000001</c:v>
                </c:pt>
                <c:pt idx="52">
                  <c:v>0.69487005049999995</c:v>
                </c:pt>
                <c:pt idx="53">
                  <c:v>0.67582625799999996</c:v>
                </c:pt>
                <c:pt idx="54">
                  <c:v>0.65561880733333344</c:v>
                </c:pt>
                <c:pt idx="55">
                  <c:v>0.63395903816666666</c:v>
                </c:pt>
                <c:pt idx="56">
                  <c:v>0.61123753483333332</c:v>
                </c:pt>
                <c:pt idx="57">
                  <c:v>0.58722056550000001</c:v>
                </c:pt>
                <c:pt idx="58">
                  <c:v>0.56190829016666666</c:v>
                </c:pt>
                <c:pt idx="59">
                  <c:v>0.535418332</c:v>
                </c:pt>
                <c:pt idx="60">
                  <c:v>0.50758191983333334</c:v>
                </c:pt>
                <c:pt idx="61">
                  <c:v>0.47848741600000005</c:v>
                </c:pt>
                <c:pt idx="62">
                  <c:v>0.4480927395</c:v>
                </c:pt>
                <c:pt idx="63">
                  <c:v>0.416615397</c:v>
                </c:pt>
                <c:pt idx="64">
                  <c:v>0.38411113449999995</c:v>
                </c:pt>
              </c:numCache>
            </c:numRef>
          </c:val>
          <c:smooth val="0"/>
          <c:extLst>
            <c:ext xmlns:c16="http://schemas.microsoft.com/office/drawing/2014/chart" uri="{C3380CC4-5D6E-409C-BE32-E72D297353CC}">
              <c16:uniqueId val="{00000001-248D-4535-B67D-2E1DE2724EB4}"/>
            </c:ext>
          </c:extLst>
        </c:ser>
        <c:dLbls>
          <c:showLegendKey val="0"/>
          <c:showVal val="0"/>
          <c:showCatName val="0"/>
          <c:showSerName val="0"/>
          <c:showPercent val="0"/>
          <c:showBubbleSize val="0"/>
        </c:dLbls>
        <c:smooth val="0"/>
        <c:axId val="1731140911"/>
        <c:axId val="1731086191"/>
      </c:lineChart>
      <c:catAx>
        <c:axId val="1731140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1086191"/>
        <c:crosses val="autoZero"/>
        <c:auto val="1"/>
        <c:lblAlgn val="ctr"/>
        <c:lblOffset val="100"/>
        <c:tickLblSkip val="5"/>
        <c:noMultiLvlLbl val="0"/>
      </c:catAx>
      <c:valAx>
        <c:axId val="1731086191"/>
        <c:scaling>
          <c:orientation val="minMax"/>
          <c:max val="1"/>
          <c:min val="0.30000000000000004"/>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1140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[Mortality_Workbook.xlsx]Analysis!PivotTable3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Life Expectancy (ex)</a:t>
            </a:r>
            <a:r>
              <a:rPr lang="en-US" baseline="0"/>
              <a:t> by Age and Sex</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Analysis!$N$3:$N$4</c:f>
              <c:strCache>
                <c:ptCount val="1"/>
                <c:pt idx="0">
                  <c:v>F</c:v>
                </c:pt>
              </c:strCache>
            </c:strRef>
          </c:tx>
          <c:spPr>
            <a:ln w="28575" cap="rnd">
              <a:solidFill>
                <a:schemeClr val="accent1"/>
              </a:solidFill>
              <a:round/>
            </a:ln>
            <a:effectLst/>
          </c:spPr>
          <c:marker>
            <c:symbol val="none"/>
          </c:marker>
          <c:cat>
            <c:strRef>
              <c:f>Analysis!$M$5:$M$69</c:f>
              <c:strCache>
                <c:ptCount val="65"/>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pt idx="49">
                  <c:v>69</c:v>
                </c:pt>
                <c:pt idx="50">
                  <c:v>70</c:v>
                </c:pt>
                <c:pt idx="51">
                  <c:v>71</c:v>
                </c:pt>
                <c:pt idx="52">
                  <c:v>72</c:v>
                </c:pt>
                <c:pt idx="53">
                  <c:v>73</c:v>
                </c:pt>
                <c:pt idx="54">
                  <c:v>74</c:v>
                </c:pt>
                <c:pt idx="55">
                  <c:v>75</c:v>
                </c:pt>
                <c:pt idx="56">
                  <c:v>76</c:v>
                </c:pt>
                <c:pt idx="57">
                  <c:v>77</c:v>
                </c:pt>
                <c:pt idx="58">
                  <c:v>78</c:v>
                </c:pt>
                <c:pt idx="59">
                  <c:v>79</c:v>
                </c:pt>
                <c:pt idx="60">
                  <c:v>80</c:v>
                </c:pt>
                <c:pt idx="61">
                  <c:v>81</c:v>
                </c:pt>
                <c:pt idx="62">
                  <c:v>82</c:v>
                </c:pt>
                <c:pt idx="63">
                  <c:v>83</c:v>
                </c:pt>
                <c:pt idx="64">
                  <c:v>84</c:v>
                </c:pt>
              </c:strCache>
            </c:strRef>
          </c:cat>
          <c:val>
            <c:numRef>
              <c:f>Analysis!$N$5:$N$69</c:f>
              <c:numCache>
                <c:formatCode>General</c:formatCode>
                <c:ptCount val="65"/>
                <c:pt idx="0">
                  <c:v>58.216124830000005</c:v>
                </c:pt>
                <c:pt idx="1">
                  <c:v>57.240849956666665</c:v>
                </c:pt>
                <c:pt idx="2">
                  <c:v>56.268189628333339</c:v>
                </c:pt>
                <c:pt idx="3">
                  <c:v>55.295839766666667</c:v>
                </c:pt>
                <c:pt idx="4">
                  <c:v>54.325696633333337</c:v>
                </c:pt>
                <c:pt idx="5">
                  <c:v>53.355594443333331</c:v>
                </c:pt>
                <c:pt idx="6">
                  <c:v>52.387588878333332</c:v>
                </c:pt>
                <c:pt idx="7">
                  <c:v>51.420235504999994</c:v>
                </c:pt>
                <c:pt idx="8">
                  <c:v>50.455319043333333</c:v>
                </c:pt>
                <c:pt idx="9">
                  <c:v>49.491728016666663</c:v>
                </c:pt>
                <c:pt idx="10">
                  <c:v>48.529376848333335</c:v>
                </c:pt>
                <c:pt idx="11">
                  <c:v>47.569563196666671</c:v>
                </c:pt>
                <c:pt idx="12">
                  <c:v>46.610877733333332</c:v>
                </c:pt>
                <c:pt idx="13">
                  <c:v>45.654657903333337</c:v>
                </c:pt>
                <c:pt idx="14">
                  <c:v>44.700233946666664</c:v>
                </c:pt>
                <c:pt idx="15">
                  <c:v>43.746078044999997</c:v>
                </c:pt>
                <c:pt idx="16">
                  <c:v>42.793624784999999</c:v>
                </c:pt>
                <c:pt idx="17">
                  <c:v>41.843206379999998</c:v>
                </c:pt>
                <c:pt idx="18">
                  <c:v>40.89423861833334</c:v>
                </c:pt>
                <c:pt idx="19">
                  <c:v>39.946908228333335</c:v>
                </c:pt>
                <c:pt idx="20">
                  <c:v>39.001802428333335</c:v>
                </c:pt>
                <c:pt idx="21">
                  <c:v>38.057896071666661</c:v>
                </c:pt>
                <c:pt idx="22">
                  <c:v>37.116382701666666</c:v>
                </c:pt>
                <c:pt idx="23">
                  <c:v>36.177057353333332</c:v>
                </c:pt>
                <c:pt idx="24">
                  <c:v>35.240964438333336</c:v>
                </c:pt>
                <c:pt idx="25">
                  <c:v>34.307181426666666</c:v>
                </c:pt>
                <c:pt idx="26">
                  <c:v>33.377627781666668</c:v>
                </c:pt>
                <c:pt idx="27">
                  <c:v>32.452509765000002</c:v>
                </c:pt>
                <c:pt idx="28">
                  <c:v>31.530394845</c:v>
                </c:pt>
                <c:pt idx="29">
                  <c:v>30.613107561666666</c:v>
                </c:pt>
                <c:pt idx="30">
                  <c:v>29.700494251666665</c:v>
                </c:pt>
                <c:pt idx="31">
                  <c:v>28.79318326666667</c:v>
                </c:pt>
                <c:pt idx="32">
                  <c:v>27.891531679999996</c:v>
                </c:pt>
                <c:pt idx="33">
                  <c:v>26.995103573333335</c:v>
                </c:pt>
                <c:pt idx="34">
                  <c:v>26.104276476666666</c:v>
                </c:pt>
                <c:pt idx="35">
                  <c:v>25.219053423333332</c:v>
                </c:pt>
                <c:pt idx="36">
                  <c:v>24.338877154999995</c:v>
                </c:pt>
                <c:pt idx="37">
                  <c:v>23.464603956666668</c:v>
                </c:pt>
                <c:pt idx="38">
                  <c:v>22.596497934999999</c:v>
                </c:pt>
                <c:pt idx="39">
                  <c:v>21.732156836666665</c:v>
                </c:pt>
                <c:pt idx="40">
                  <c:v>20.872337968333333</c:v>
                </c:pt>
                <c:pt idx="41">
                  <c:v>20.017302638333337</c:v>
                </c:pt>
                <c:pt idx="42">
                  <c:v>19.166059233333332</c:v>
                </c:pt>
                <c:pt idx="43">
                  <c:v>18.318915551666667</c:v>
                </c:pt>
                <c:pt idx="44">
                  <c:v>17.475791015000002</c:v>
                </c:pt>
                <c:pt idx="45">
                  <c:v>16.635660453333333</c:v>
                </c:pt>
                <c:pt idx="46">
                  <c:v>15.798246098333335</c:v>
                </c:pt>
                <c:pt idx="47">
                  <c:v>14.963980906666668</c:v>
                </c:pt>
                <c:pt idx="48">
                  <c:v>14.134448449999999</c:v>
                </c:pt>
                <c:pt idx="49">
                  <c:v>13.308584695</c:v>
                </c:pt>
                <c:pt idx="50">
                  <c:v>12.488285839999998</c:v>
                </c:pt>
                <c:pt idx="51">
                  <c:v>11.673286568333333</c:v>
                </c:pt>
                <c:pt idx="52">
                  <c:v>10.863680994999998</c:v>
                </c:pt>
                <c:pt idx="53">
                  <c:v>10.059471689833332</c:v>
                </c:pt>
                <c:pt idx="54">
                  <c:v>9.2579317068333342</c:v>
                </c:pt>
                <c:pt idx="55">
                  <c:v>8.459918562166667</c:v>
                </c:pt>
                <c:pt idx="56">
                  <c:v>7.6620657405000001</c:v>
                </c:pt>
                <c:pt idx="57">
                  <c:v>6.8624411366666669</c:v>
                </c:pt>
                <c:pt idx="58">
                  <c:v>6.0599728186666662</c:v>
                </c:pt>
                <c:pt idx="59">
                  <c:v>5.2522770763333329</c:v>
                </c:pt>
                <c:pt idx="60">
                  <c:v>4.436152563666667</c:v>
                </c:pt>
                <c:pt idx="61">
                  <c:v>3.6069407176666672</c:v>
                </c:pt>
                <c:pt idx="62">
                  <c:v>2.7577643164999999</c:v>
                </c:pt>
                <c:pt idx="63">
                  <c:v>1.8819981929999996</c:v>
                </c:pt>
                <c:pt idx="64">
                  <c:v>0.96745408333333327</c:v>
                </c:pt>
              </c:numCache>
            </c:numRef>
          </c:val>
          <c:smooth val="0"/>
          <c:extLst>
            <c:ext xmlns:c16="http://schemas.microsoft.com/office/drawing/2014/chart" uri="{C3380CC4-5D6E-409C-BE32-E72D297353CC}">
              <c16:uniqueId val="{00000000-7810-4B9B-B3E4-CCE4DDB33B25}"/>
            </c:ext>
          </c:extLst>
        </c:ser>
        <c:ser>
          <c:idx val="1"/>
          <c:order val="1"/>
          <c:tx>
            <c:strRef>
              <c:f>Analysis!$O$3:$O$4</c:f>
              <c:strCache>
                <c:ptCount val="1"/>
                <c:pt idx="0">
                  <c:v>M</c:v>
                </c:pt>
              </c:strCache>
            </c:strRef>
          </c:tx>
          <c:spPr>
            <a:ln w="28575" cap="rnd">
              <a:solidFill>
                <a:schemeClr val="accent2"/>
              </a:solidFill>
              <a:round/>
            </a:ln>
            <a:effectLst/>
          </c:spPr>
          <c:marker>
            <c:symbol val="none"/>
          </c:marker>
          <c:cat>
            <c:strRef>
              <c:f>Analysis!$M$5:$M$69</c:f>
              <c:strCache>
                <c:ptCount val="65"/>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pt idx="49">
                  <c:v>69</c:v>
                </c:pt>
                <c:pt idx="50">
                  <c:v>70</c:v>
                </c:pt>
                <c:pt idx="51">
                  <c:v>71</c:v>
                </c:pt>
                <c:pt idx="52">
                  <c:v>72</c:v>
                </c:pt>
                <c:pt idx="53">
                  <c:v>73</c:v>
                </c:pt>
                <c:pt idx="54">
                  <c:v>74</c:v>
                </c:pt>
                <c:pt idx="55">
                  <c:v>75</c:v>
                </c:pt>
                <c:pt idx="56">
                  <c:v>76</c:v>
                </c:pt>
                <c:pt idx="57">
                  <c:v>77</c:v>
                </c:pt>
                <c:pt idx="58">
                  <c:v>78</c:v>
                </c:pt>
                <c:pt idx="59">
                  <c:v>79</c:v>
                </c:pt>
                <c:pt idx="60">
                  <c:v>80</c:v>
                </c:pt>
                <c:pt idx="61">
                  <c:v>81</c:v>
                </c:pt>
                <c:pt idx="62">
                  <c:v>82</c:v>
                </c:pt>
                <c:pt idx="63">
                  <c:v>83</c:v>
                </c:pt>
                <c:pt idx="64">
                  <c:v>84</c:v>
                </c:pt>
              </c:strCache>
            </c:strRef>
          </c:cat>
          <c:val>
            <c:numRef>
              <c:f>Analysis!$O$5:$O$69</c:f>
              <c:numCache>
                <c:formatCode>General</c:formatCode>
                <c:ptCount val="65"/>
                <c:pt idx="0">
                  <c:v>54.622642074999987</c:v>
                </c:pt>
                <c:pt idx="1">
                  <c:v>53.686454873333332</c:v>
                </c:pt>
                <c:pt idx="2">
                  <c:v>52.758062256666669</c:v>
                </c:pt>
                <c:pt idx="3">
                  <c:v>51.831244171666668</c:v>
                </c:pt>
                <c:pt idx="4">
                  <c:v>50.905942199999998</c:v>
                </c:pt>
                <c:pt idx="5">
                  <c:v>49.98267576333334</c:v>
                </c:pt>
                <c:pt idx="6">
                  <c:v>49.060795643333329</c:v>
                </c:pt>
                <c:pt idx="7">
                  <c:v>48.139062943333329</c:v>
                </c:pt>
                <c:pt idx="8">
                  <c:v>47.219915471666667</c:v>
                </c:pt>
                <c:pt idx="9">
                  <c:v>46.302037666666671</c:v>
                </c:pt>
                <c:pt idx="10">
                  <c:v>45.384676764999995</c:v>
                </c:pt>
                <c:pt idx="11">
                  <c:v>44.467823923333334</c:v>
                </c:pt>
                <c:pt idx="12">
                  <c:v>43.551798055000006</c:v>
                </c:pt>
                <c:pt idx="13">
                  <c:v>42.636645766666668</c:v>
                </c:pt>
                <c:pt idx="14">
                  <c:v>41.722222453333337</c:v>
                </c:pt>
                <c:pt idx="15">
                  <c:v>40.809234566666674</c:v>
                </c:pt>
                <c:pt idx="16">
                  <c:v>39.896453968333326</c:v>
                </c:pt>
                <c:pt idx="17">
                  <c:v>38.984481306666659</c:v>
                </c:pt>
                <c:pt idx="18">
                  <c:v>38.07437435166667</c:v>
                </c:pt>
                <c:pt idx="19">
                  <c:v>37.164967130000001</c:v>
                </c:pt>
                <c:pt idx="20">
                  <c:v>36.257634913333334</c:v>
                </c:pt>
                <c:pt idx="21">
                  <c:v>35.351059691666663</c:v>
                </c:pt>
                <c:pt idx="22">
                  <c:v>34.445829980000006</c:v>
                </c:pt>
                <c:pt idx="23">
                  <c:v>33.54159095</c:v>
                </c:pt>
                <c:pt idx="24">
                  <c:v>32.640278113333338</c:v>
                </c:pt>
                <c:pt idx="25">
                  <c:v>31.742835113333332</c:v>
                </c:pt>
                <c:pt idx="26">
                  <c:v>30.849477323333332</c:v>
                </c:pt>
                <c:pt idx="27">
                  <c:v>29.962068228333333</c:v>
                </c:pt>
                <c:pt idx="28">
                  <c:v>29.079506640000002</c:v>
                </c:pt>
                <c:pt idx="29">
                  <c:v>28.203131556666666</c:v>
                </c:pt>
                <c:pt idx="30">
                  <c:v>27.333997438333338</c:v>
                </c:pt>
                <c:pt idx="31">
                  <c:v>26.471789181666669</c:v>
                </c:pt>
                <c:pt idx="32">
                  <c:v>25.618263265</c:v>
                </c:pt>
                <c:pt idx="33">
                  <c:v>24.773479976666664</c:v>
                </c:pt>
                <c:pt idx="34">
                  <c:v>23.936869570000002</c:v>
                </c:pt>
                <c:pt idx="35">
                  <c:v>23.110914073333333</c:v>
                </c:pt>
                <c:pt idx="36">
                  <c:v>22.293642758333334</c:v>
                </c:pt>
                <c:pt idx="37">
                  <c:v>21.484461539999998</c:v>
                </c:pt>
                <c:pt idx="38">
                  <c:v>20.684632728333337</c:v>
                </c:pt>
                <c:pt idx="39">
                  <c:v>19.891577191666666</c:v>
                </c:pt>
                <c:pt idx="40">
                  <c:v>19.107583195</c:v>
                </c:pt>
                <c:pt idx="41">
                  <c:v>18.329025343333335</c:v>
                </c:pt>
                <c:pt idx="42">
                  <c:v>17.559936493333332</c:v>
                </c:pt>
                <c:pt idx="43">
                  <c:v>16.796888603333333</c:v>
                </c:pt>
                <c:pt idx="44">
                  <c:v>16.041976348333336</c:v>
                </c:pt>
                <c:pt idx="45">
                  <c:v>15.289861378333333</c:v>
                </c:pt>
                <c:pt idx="46">
                  <c:v>14.540297356666668</c:v>
                </c:pt>
                <c:pt idx="47">
                  <c:v>13.794141181666667</c:v>
                </c:pt>
                <c:pt idx="48">
                  <c:v>13.049582805</c:v>
                </c:pt>
                <c:pt idx="49">
                  <c:v>12.30539143</c:v>
                </c:pt>
                <c:pt idx="50">
                  <c:v>11.565892755</c:v>
                </c:pt>
                <c:pt idx="51">
                  <c:v>10.828904013333334</c:v>
                </c:pt>
                <c:pt idx="52">
                  <c:v>10.09770309</c:v>
                </c:pt>
                <c:pt idx="53">
                  <c:v>9.3683635379999988</c:v>
                </c:pt>
                <c:pt idx="54">
                  <c:v>8.6418481779999983</c:v>
                </c:pt>
                <c:pt idx="55">
                  <c:v>7.9203521950000004</c:v>
                </c:pt>
                <c:pt idx="56">
                  <c:v>7.1964303933333333</c:v>
                </c:pt>
                <c:pt idx="57">
                  <c:v>6.4706783236666672</c:v>
                </c:pt>
                <c:pt idx="58">
                  <c:v>5.7400037450000001</c:v>
                </c:pt>
                <c:pt idx="59">
                  <c:v>4.9997493926666667</c:v>
                </c:pt>
                <c:pt idx="60">
                  <c:v>4.2470114823333338</c:v>
                </c:pt>
                <c:pt idx="61">
                  <c:v>3.4753026158333338</c:v>
                </c:pt>
                <c:pt idx="62">
                  <c:v>2.6775552321666667</c:v>
                </c:pt>
                <c:pt idx="63">
                  <c:v>1.8424487771666669</c:v>
                </c:pt>
                <c:pt idx="64">
                  <c:v>0.95638716666666657</c:v>
                </c:pt>
              </c:numCache>
            </c:numRef>
          </c:val>
          <c:smooth val="0"/>
          <c:extLst>
            <c:ext xmlns:c16="http://schemas.microsoft.com/office/drawing/2014/chart" uri="{C3380CC4-5D6E-409C-BE32-E72D297353CC}">
              <c16:uniqueId val="{00000001-7810-4B9B-B3E4-CCE4DDB33B25}"/>
            </c:ext>
          </c:extLst>
        </c:ser>
        <c:dLbls>
          <c:showLegendKey val="0"/>
          <c:showVal val="0"/>
          <c:showCatName val="0"/>
          <c:showSerName val="0"/>
          <c:showPercent val="0"/>
          <c:showBubbleSize val="0"/>
        </c:dLbls>
        <c:smooth val="0"/>
        <c:axId val="222885007"/>
        <c:axId val="222894127"/>
      </c:lineChart>
      <c:catAx>
        <c:axId val="222885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2894127"/>
        <c:crosses val="autoZero"/>
        <c:auto val="1"/>
        <c:lblAlgn val="ctr"/>
        <c:lblOffset val="100"/>
        <c:tickLblSkip val="5"/>
        <c:noMultiLvlLbl val="0"/>
      </c:catAx>
      <c:valAx>
        <c:axId val="222894127"/>
        <c:scaling>
          <c:orientation val="minMax"/>
          <c:max val="6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2885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[Mortality_Workbook.xlsx]Analysis!PivotTable5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Distribution of Death Rate (dx)</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Analysis!$R$3:$R$4</c:f>
              <c:strCache>
                <c:ptCount val="1"/>
                <c:pt idx="0">
                  <c:v>F</c:v>
                </c:pt>
              </c:strCache>
            </c:strRef>
          </c:tx>
          <c:spPr>
            <a:ln w="28575" cap="rnd">
              <a:solidFill>
                <a:schemeClr val="accent1"/>
              </a:solidFill>
              <a:round/>
            </a:ln>
            <a:effectLst/>
          </c:spPr>
          <c:marker>
            <c:symbol val="none"/>
          </c:marker>
          <c:cat>
            <c:strRef>
              <c:f>Analysis!$Q$5:$Q$69</c:f>
              <c:strCache>
                <c:ptCount val="65"/>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pt idx="49">
                  <c:v>69</c:v>
                </c:pt>
                <c:pt idx="50">
                  <c:v>70</c:v>
                </c:pt>
                <c:pt idx="51">
                  <c:v>71</c:v>
                </c:pt>
                <c:pt idx="52">
                  <c:v>72</c:v>
                </c:pt>
                <c:pt idx="53">
                  <c:v>73</c:v>
                </c:pt>
                <c:pt idx="54">
                  <c:v>74</c:v>
                </c:pt>
                <c:pt idx="55">
                  <c:v>75</c:v>
                </c:pt>
                <c:pt idx="56">
                  <c:v>76</c:v>
                </c:pt>
                <c:pt idx="57">
                  <c:v>77</c:v>
                </c:pt>
                <c:pt idx="58">
                  <c:v>78</c:v>
                </c:pt>
                <c:pt idx="59">
                  <c:v>79</c:v>
                </c:pt>
                <c:pt idx="60">
                  <c:v>80</c:v>
                </c:pt>
                <c:pt idx="61">
                  <c:v>81</c:v>
                </c:pt>
                <c:pt idx="62">
                  <c:v>82</c:v>
                </c:pt>
                <c:pt idx="63">
                  <c:v>83</c:v>
                </c:pt>
                <c:pt idx="64">
                  <c:v>84</c:v>
                </c:pt>
              </c:strCache>
            </c:strRef>
          </c:cat>
          <c:val>
            <c:numRef>
              <c:f>Analysis!$R$5:$R$69</c:f>
              <c:numCache>
                <c:formatCode>General</c:formatCode>
                <c:ptCount val="65"/>
                <c:pt idx="0">
                  <c:v>42.833333333333336</c:v>
                </c:pt>
                <c:pt idx="1">
                  <c:v>48.161666666666662</c:v>
                </c:pt>
                <c:pt idx="2">
                  <c:v>49.536666666666662</c:v>
                </c:pt>
                <c:pt idx="3">
                  <c:v>54.406666666666673</c:v>
                </c:pt>
                <c:pt idx="4">
                  <c:v>55.425000000000004</c:v>
                </c:pt>
                <c:pt idx="5">
                  <c:v>60.363333333333337</c:v>
                </c:pt>
                <c:pt idx="6">
                  <c:v>62.701666666666661</c:v>
                </c:pt>
                <c:pt idx="7">
                  <c:v>68.624999999999986</c:v>
                </c:pt>
                <c:pt idx="8">
                  <c:v>72.543333333333337</c:v>
                </c:pt>
                <c:pt idx="9">
                  <c:v>76.433333333333337</c:v>
                </c:pt>
                <c:pt idx="10">
                  <c:v>83.135000000000005</c:v>
                </c:pt>
                <c:pt idx="11">
                  <c:v>87.136666666666656</c:v>
                </c:pt>
                <c:pt idx="12">
                  <c:v>94.188333333333333</c:v>
                </c:pt>
                <c:pt idx="13">
                  <c:v>100.01333333333332</c:v>
                </c:pt>
                <c:pt idx="14">
                  <c:v>102.70333333333333</c:v>
                </c:pt>
                <c:pt idx="15">
                  <c:v>108.71333333333332</c:v>
                </c:pt>
                <c:pt idx="16">
                  <c:v>115.75666666666666</c:v>
                </c:pt>
                <c:pt idx="17">
                  <c:v>121.755</c:v>
                </c:pt>
                <c:pt idx="18">
                  <c:v>128.45833333333334</c:v>
                </c:pt>
                <c:pt idx="19">
                  <c:v>136.90166666666667</c:v>
                </c:pt>
                <c:pt idx="20">
                  <c:v>143.10166666666666</c:v>
                </c:pt>
                <c:pt idx="21">
                  <c:v>152.75666666666666</c:v>
                </c:pt>
                <c:pt idx="22">
                  <c:v>162.22833333333332</c:v>
                </c:pt>
                <c:pt idx="23">
                  <c:v>175.0383333333333</c:v>
                </c:pt>
                <c:pt idx="24">
                  <c:v>185.92666666666665</c:v>
                </c:pt>
                <c:pt idx="25">
                  <c:v>202.81333333333336</c:v>
                </c:pt>
                <c:pt idx="26">
                  <c:v>221.18833333333336</c:v>
                </c:pt>
                <c:pt idx="27">
                  <c:v>236.16166666666666</c:v>
                </c:pt>
                <c:pt idx="28">
                  <c:v>257.54333333333335</c:v>
                </c:pt>
                <c:pt idx="29">
                  <c:v>279.58833333333337</c:v>
                </c:pt>
                <c:pt idx="30">
                  <c:v>304.83166666666665</c:v>
                </c:pt>
                <c:pt idx="31">
                  <c:v>332.65999999999997</c:v>
                </c:pt>
                <c:pt idx="32">
                  <c:v>360.49166666666673</c:v>
                </c:pt>
                <c:pt idx="33">
                  <c:v>391.21833333333331</c:v>
                </c:pt>
                <c:pt idx="34">
                  <c:v>423.70833333333326</c:v>
                </c:pt>
                <c:pt idx="35">
                  <c:v>455.96333333333337</c:v>
                </c:pt>
                <c:pt idx="36">
                  <c:v>493.47666666666663</c:v>
                </c:pt>
                <c:pt idx="37">
                  <c:v>534.34</c:v>
                </c:pt>
                <c:pt idx="38">
                  <c:v>567.66833333333329</c:v>
                </c:pt>
                <c:pt idx="39">
                  <c:v>606.5</c:v>
                </c:pt>
                <c:pt idx="40">
                  <c:v>649.01333333333332</c:v>
                </c:pt>
                <c:pt idx="41">
                  <c:v>689.89166666666677</c:v>
                </c:pt>
                <c:pt idx="42">
                  <c:v>735.21</c:v>
                </c:pt>
                <c:pt idx="43">
                  <c:v>783.46333333333325</c:v>
                </c:pt>
                <c:pt idx="44">
                  <c:v>830.25333333333344</c:v>
                </c:pt>
                <c:pt idx="45">
                  <c:v>879.4083333333333</c:v>
                </c:pt>
                <c:pt idx="46">
                  <c:v>935.36666666666667</c:v>
                </c:pt>
                <c:pt idx="47">
                  <c:v>1005.6866666666668</c:v>
                </c:pt>
                <c:pt idx="48">
                  <c:v>1076.0266666666666</c:v>
                </c:pt>
                <c:pt idx="49">
                  <c:v>1165.7283333333332</c:v>
                </c:pt>
                <c:pt idx="50">
                  <c:v>1262.6866666666667</c:v>
                </c:pt>
                <c:pt idx="51">
                  <c:v>1370.825</c:v>
                </c:pt>
                <c:pt idx="52">
                  <c:v>1491.59</c:v>
                </c:pt>
                <c:pt idx="53">
                  <c:v>1605.8533333333332</c:v>
                </c:pt>
                <c:pt idx="54">
                  <c:v>1743.3500000000001</c:v>
                </c:pt>
                <c:pt idx="55">
                  <c:v>1872.2666666666667</c:v>
                </c:pt>
                <c:pt idx="56">
                  <c:v>2006.2116666666668</c:v>
                </c:pt>
                <c:pt idx="57">
                  <c:v>2159.2800000000002</c:v>
                </c:pt>
                <c:pt idx="58">
                  <c:v>2324.73</c:v>
                </c:pt>
                <c:pt idx="59">
                  <c:v>2503.6016666666669</c:v>
                </c:pt>
                <c:pt idx="60">
                  <c:v>2690.7116666666666</c:v>
                </c:pt>
                <c:pt idx="61">
                  <c:v>2870.4533333333334</c:v>
                </c:pt>
                <c:pt idx="62">
                  <c:v>3084.0033333333336</c:v>
                </c:pt>
                <c:pt idx="63">
                  <c:v>3263.5583333333329</c:v>
                </c:pt>
                <c:pt idx="64">
                  <c:v>3434.7249999999999</c:v>
                </c:pt>
              </c:numCache>
            </c:numRef>
          </c:val>
          <c:smooth val="0"/>
          <c:extLst>
            <c:ext xmlns:c16="http://schemas.microsoft.com/office/drawing/2014/chart" uri="{C3380CC4-5D6E-409C-BE32-E72D297353CC}">
              <c16:uniqueId val="{00000000-F1D4-4FA3-A42F-AC77A96C964F}"/>
            </c:ext>
          </c:extLst>
        </c:ser>
        <c:ser>
          <c:idx val="1"/>
          <c:order val="1"/>
          <c:tx>
            <c:strRef>
              <c:f>Analysis!$S$3:$S$4</c:f>
              <c:strCache>
                <c:ptCount val="1"/>
                <c:pt idx="0">
                  <c:v>M</c:v>
                </c:pt>
              </c:strCache>
            </c:strRef>
          </c:tx>
          <c:spPr>
            <a:ln w="28575" cap="rnd">
              <a:solidFill>
                <a:schemeClr val="accent2"/>
              </a:solidFill>
              <a:round/>
            </a:ln>
            <a:effectLst/>
          </c:spPr>
          <c:marker>
            <c:symbol val="none"/>
          </c:marker>
          <c:cat>
            <c:strRef>
              <c:f>Analysis!$Q$5:$Q$69</c:f>
              <c:strCache>
                <c:ptCount val="65"/>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pt idx="49">
                  <c:v>69</c:v>
                </c:pt>
                <c:pt idx="50">
                  <c:v>70</c:v>
                </c:pt>
                <c:pt idx="51">
                  <c:v>71</c:v>
                </c:pt>
                <c:pt idx="52">
                  <c:v>72</c:v>
                </c:pt>
                <c:pt idx="53">
                  <c:v>73</c:v>
                </c:pt>
                <c:pt idx="54">
                  <c:v>74</c:v>
                </c:pt>
                <c:pt idx="55">
                  <c:v>75</c:v>
                </c:pt>
                <c:pt idx="56">
                  <c:v>76</c:v>
                </c:pt>
                <c:pt idx="57">
                  <c:v>77</c:v>
                </c:pt>
                <c:pt idx="58">
                  <c:v>78</c:v>
                </c:pt>
                <c:pt idx="59">
                  <c:v>79</c:v>
                </c:pt>
                <c:pt idx="60">
                  <c:v>80</c:v>
                </c:pt>
                <c:pt idx="61">
                  <c:v>81</c:v>
                </c:pt>
                <c:pt idx="62">
                  <c:v>82</c:v>
                </c:pt>
                <c:pt idx="63">
                  <c:v>83</c:v>
                </c:pt>
                <c:pt idx="64">
                  <c:v>84</c:v>
                </c:pt>
              </c:strCache>
            </c:strRef>
          </c:cat>
          <c:val>
            <c:numRef>
              <c:f>Analysis!$S$5:$S$69</c:f>
              <c:numCache>
                <c:formatCode>General</c:formatCode>
                <c:ptCount val="65"/>
                <c:pt idx="0">
                  <c:v>117.86666666666666</c:v>
                </c:pt>
                <c:pt idx="1">
                  <c:v>134.405</c:v>
                </c:pt>
                <c:pt idx="2">
                  <c:v>139.595</c:v>
                </c:pt>
                <c:pt idx="3">
                  <c:v>144.845</c:v>
                </c:pt>
                <c:pt idx="4">
                  <c:v>151.29666666666665</c:v>
                </c:pt>
                <c:pt idx="5">
                  <c:v>156.67666666666665</c:v>
                </c:pt>
                <c:pt idx="6">
                  <c:v>159.66666666666666</c:v>
                </c:pt>
                <c:pt idx="7">
                  <c:v>167.88666666666666</c:v>
                </c:pt>
                <c:pt idx="8">
                  <c:v>173.57666666666668</c:v>
                </c:pt>
                <c:pt idx="9">
                  <c:v>177.85833333333335</c:v>
                </c:pt>
                <c:pt idx="10">
                  <c:v>182.27166666666665</c:v>
                </c:pt>
                <c:pt idx="11">
                  <c:v>187.62999999999997</c:v>
                </c:pt>
                <c:pt idx="12">
                  <c:v>193.1866666666667</c:v>
                </c:pt>
                <c:pt idx="13">
                  <c:v>198.67</c:v>
                </c:pt>
                <c:pt idx="14">
                  <c:v>206.06499999999997</c:v>
                </c:pt>
                <c:pt idx="15">
                  <c:v>210.73</c:v>
                </c:pt>
                <c:pt idx="16">
                  <c:v>217.15166666666667</c:v>
                </c:pt>
                <c:pt idx="17">
                  <c:v>226.52166666666668</c:v>
                </c:pt>
                <c:pt idx="18">
                  <c:v>233.20333333333335</c:v>
                </c:pt>
                <c:pt idx="19">
                  <c:v>243.88499999999999</c:v>
                </c:pt>
                <c:pt idx="20">
                  <c:v>251.40666666666667</c:v>
                </c:pt>
                <c:pt idx="21">
                  <c:v>260.96499999999997</c:v>
                </c:pt>
                <c:pt idx="22">
                  <c:v>269.94</c:v>
                </c:pt>
                <c:pt idx="23">
                  <c:v>284.93333333333334</c:v>
                </c:pt>
                <c:pt idx="24">
                  <c:v>303.40000000000003</c:v>
                </c:pt>
                <c:pt idx="25">
                  <c:v>323.39333333333337</c:v>
                </c:pt>
                <c:pt idx="26">
                  <c:v>350.17333333333335</c:v>
                </c:pt>
                <c:pt idx="27">
                  <c:v>374.79500000000002</c:v>
                </c:pt>
                <c:pt idx="28">
                  <c:v>404.95166666666665</c:v>
                </c:pt>
                <c:pt idx="29">
                  <c:v>440.13333333333338</c:v>
                </c:pt>
                <c:pt idx="30">
                  <c:v>475.92500000000001</c:v>
                </c:pt>
                <c:pt idx="31">
                  <c:v>519.76499999999999</c:v>
                </c:pt>
                <c:pt idx="32">
                  <c:v>565.995</c:v>
                </c:pt>
                <c:pt idx="33">
                  <c:v>612.38833333333332</c:v>
                </c:pt>
                <c:pt idx="34">
                  <c:v>670.58166666666659</c:v>
                </c:pt>
                <c:pt idx="35">
                  <c:v>723.8416666666667</c:v>
                </c:pt>
                <c:pt idx="36">
                  <c:v>777.47666666666657</c:v>
                </c:pt>
                <c:pt idx="37">
                  <c:v>838.96</c:v>
                </c:pt>
                <c:pt idx="38">
                  <c:v>892.52</c:v>
                </c:pt>
                <c:pt idx="39">
                  <c:v>959.00833333333333</c:v>
                </c:pt>
                <c:pt idx="40">
                  <c:v>1012.4499999999999</c:v>
                </c:pt>
                <c:pt idx="41">
                  <c:v>1087.7116666666668</c:v>
                </c:pt>
                <c:pt idx="42">
                  <c:v>1150.4183333333333</c:v>
                </c:pt>
                <c:pt idx="43">
                  <c:v>1227.1333333333332</c:v>
                </c:pt>
                <c:pt idx="44">
                  <c:v>1280.8383333333334</c:v>
                </c:pt>
                <c:pt idx="45">
                  <c:v>1337.0883333333334</c:v>
                </c:pt>
                <c:pt idx="46">
                  <c:v>1402.1266666666668</c:v>
                </c:pt>
                <c:pt idx="47">
                  <c:v>1461.8950000000002</c:v>
                </c:pt>
                <c:pt idx="48">
                  <c:v>1519.5999999999997</c:v>
                </c:pt>
                <c:pt idx="49">
                  <c:v>1609.6899999999998</c:v>
                </c:pt>
                <c:pt idx="50">
                  <c:v>1693.3783333333333</c:v>
                </c:pt>
                <c:pt idx="51">
                  <c:v>1807.1933333333334</c:v>
                </c:pt>
                <c:pt idx="52">
                  <c:v>1904.375</c:v>
                </c:pt>
                <c:pt idx="53">
                  <c:v>2020.7433333333336</c:v>
                </c:pt>
                <c:pt idx="54">
                  <c:v>2165.978333333333</c:v>
                </c:pt>
                <c:pt idx="55">
                  <c:v>2272.1600000000003</c:v>
                </c:pt>
                <c:pt idx="56">
                  <c:v>2401.7066666666669</c:v>
                </c:pt>
                <c:pt idx="57">
                  <c:v>2531.2383333333337</c:v>
                </c:pt>
                <c:pt idx="58">
                  <c:v>2649</c:v>
                </c:pt>
                <c:pt idx="59">
                  <c:v>2783.6450000000004</c:v>
                </c:pt>
                <c:pt idx="60">
                  <c:v>2909.4500000000003</c:v>
                </c:pt>
                <c:pt idx="61">
                  <c:v>3039.4683333333328</c:v>
                </c:pt>
                <c:pt idx="62">
                  <c:v>3147.7316666666666</c:v>
                </c:pt>
                <c:pt idx="63">
                  <c:v>3250.4233333333327</c:v>
                </c:pt>
                <c:pt idx="64">
                  <c:v>3341.1433333333339</c:v>
                </c:pt>
              </c:numCache>
            </c:numRef>
          </c:val>
          <c:smooth val="0"/>
          <c:extLst>
            <c:ext xmlns:c16="http://schemas.microsoft.com/office/drawing/2014/chart" uri="{C3380CC4-5D6E-409C-BE32-E72D297353CC}">
              <c16:uniqueId val="{00000001-F1D4-4FA3-A42F-AC77A96C964F}"/>
            </c:ext>
          </c:extLst>
        </c:ser>
        <c:dLbls>
          <c:showLegendKey val="0"/>
          <c:showVal val="0"/>
          <c:showCatName val="0"/>
          <c:showSerName val="0"/>
          <c:showPercent val="0"/>
          <c:showBubbleSize val="0"/>
        </c:dLbls>
        <c:smooth val="0"/>
        <c:axId val="175974415"/>
        <c:axId val="175975375"/>
      </c:lineChart>
      <c:catAx>
        <c:axId val="175974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975375"/>
        <c:crosses val="autoZero"/>
        <c:auto val="1"/>
        <c:lblAlgn val="ctr"/>
        <c:lblOffset val="100"/>
        <c:tickLblSkip val="5"/>
        <c:noMultiLvlLbl val="0"/>
      </c:catAx>
      <c:valAx>
        <c:axId val="175975375"/>
        <c:scaling>
          <c:orientation val="minMax"/>
          <c:max val="35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974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[Mortality_Workbook.xlsx]Analysis!PivotTable2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Estimated</a:t>
            </a:r>
            <a:r>
              <a:rPr lang="en-US" baseline="0"/>
              <a:t> Mortality Rate by Age and Sex</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Analysis!$B$3:$B$4</c:f>
              <c:strCache>
                <c:ptCount val="1"/>
                <c:pt idx="0">
                  <c:v>F</c:v>
                </c:pt>
              </c:strCache>
            </c:strRef>
          </c:tx>
          <c:spPr>
            <a:ln w="28575" cap="rnd">
              <a:solidFill>
                <a:schemeClr val="accent1"/>
              </a:solidFill>
              <a:round/>
            </a:ln>
            <a:effectLst/>
          </c:spPr>
          <c:marker>
            <c:symbol val="none"/>
          </c:marker>
          <c:cat>
            <c:strRef>
              <c:f>Analysis!$A$5:$A$69</c:f>
              <c:strCache>
                <c:ptCount val="65"/>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pt idx="49">
                  <c:v>69</c:v>
                </c:pt>
                <c:pt idx="50">
                  <c:v>70</c:v>
                </c:pt>
                <c:pt idx="51">
                  <c:v>71</c:v>
                </c:pt>
                <c:pt idx="52">
                  <c:v>72</c:v>
                </c:pt>
                <c:pt idx="53">
                  <c:v>73</c:v>
                </c:pt>
                <c:pt idx="54">
                  <c:v>74</c:v>
                </c:pt>
                <c:pt idx="55">
                  <c:v>75</c:v>
                </c:pt>
                <c:pt idx="56">
                  <c:v>76</c:v>
                </c:pt>
                <c:pt idx="57">
                  <c:v>77</c:v>
                </c:pt>
                <c:pt idx="58">
                  <c:v>78</c:v>
                </c:pt>
                <c:pt idx="59">
                  <c:v>79</c:v>
                </c:pt>
                <c:pt idx="60">
                  <c:v>80</c:v>
                </c:pt>
                <c:pt idx="61">
                  <c:v>81</c:v>
                </c:pt>
                <c:pt idx="62">
                  <c:v>82</c:v>
                </c:pt>
                <c:pt idx="63">
                  <c:v>83</c:v>
                </c:pt>
                <c:pt idx="64">
                  <c:v>84</c:v>
                </c:pt>
              </c:strCache>
            </c:strRef>
          </c:cat>
          <c:val>
            <c:numRef>
              <c:f>Analysis!$B$5:$B$69</c:f>
              <c:numCache>
                <c:formatCode>General</c:formatCode>
                <c:ptCount val="65"/>
                <c:pt idx="0">
                  <c:v>4.2833333333333335E-4</c:v>
                </c:pt>
                <c:pt idx="1">
                  <c:v>4.818333333333333E-4</c:v>
                </c:pt>
                <c:pt idx="2">
                  <c:v>4.9583333333333337E-4</c:v>
                </c:pt>
                <c:pt idx="3">
                  <c:v>5.4483333333333326E-4</c:v>
                </c:pt>
                <c:pt idx="4">
                  <c:v>5.5533333333333335E-4</c:v>
                </c:pt>
                <c:pt idx="5">
                  <c:v>6.0516666666666672E-4</c:v>
                </c:pt>
                <c:pt idx="6">
                  <c:v>6.2899999999999989E-4</c:v>
                </c:pt>
                <c:pt idx="7">
                  <c:v>6.8883333333333329E-4</c:v>
                </c:pt>
                <c:pt idx="8">
                  <c:v>7.2866666666666663E-4</c:v>
                </c:pt>
                <c:pt idx="9">
                  <c:v>7.6833333333333343E-4</c:v>
                </c:pt>
                <c:pt idx="10">
                  <c:v>8.3633333333333335E-4</c:v>
                </c:pt>
                <c:pt idx="11">
                  <c:v>8.7733333333333337E-4</c:v>
                </c:pt>
                <c:pt idx="12">
                  <c:v>9.4916666666666673E-4</c:v>
                </c:pt>
                <c:pt idx="13">
                  <c:v>1.0088333333333334E-3</c:v>
                </c:pt>
                <c:pt idx="14">
                  <c:v>1.0369999999999999E-3</c:v>
                </c:pt>
                <c:pt idx="15">
                  <c:v>1.0988333333333334E-3</c:v>
                </c:pt>
                <c:pt idx="16">
                  <c:v>1.1713333333333333E-3</c:v>
                </c:pt>
                <c:pt idx="17">
                  <c:v>1.2335E-3</c:v>
                </c:pt>
                <c:pt idx="18">
                  <c:v>1.3030000000000001E-3</c:v>
                </c:pt>
                <c:pt idx="19">
                  <c:v>1.3905E-3</c:v>
                </c:pt>
                <c:pt idx="20">
                  <c:v>1.4555E-3</c:v>
                </c:pt>
                <c:pt idx="21">
                  <c:v>1.5560000000000001E-3</c:v>
                </c:pt>
                <c:pt idx="22">
                  <c:v>1.655E-3</c:v>
                </c:pt>
                <c:pt idx="23">
                  <c:v>1.7886666666666667E-3</c:v>
                </c:pt>
                <c:pt idx="24">
                  <c:v>1.9033333333333333E-3</c:v>
                </c:pt>
                <c:pt idx="25">
                  <c:v>2.0801666666666668E-3</c:v>
                </c:pt>
                <c:pt idx="26">
                  <c:v>2.2733333333333334E-3</c:v>
                </c:pt>
                <c:pt idx="27">
                  <c:v>2.4328333333333333E-3</c:v>
                </c:pt>
                <c:pt idx="28">
                  <c:v>2.6595E-3</c:v>
                </c:pt>
                <c:pt idx="29">
                  <c:v>2.894833333333333E-3</c:v>
                </c:pt>
                <c:pt idx="30">
                  <c:v>3.1653333333333338E-3</c:v>
                </c:pt>
                <c:pt idx="31">
                  <c:v>3.4653333333333329E-3</c:v>
                </c:pt>
                <c:pt idx="32">
                  <c:v>3.7683333333333336E-3</c:v>
                </c:pt>
                <c:pt idx="33">
                  <c:v>4.1050000000000001E-3</c:v>
                </c:pt>
                <c:pt idx="34">
                  <c:v>4.4643333333333332E-3</c:v>
                </c:pt>
                <c:pt idx="35">
                  <c:v>4.8256666666666665E-3</c:v>
                </c:pt>
                <c:pt idx="36">
                  <c:v>5.2480000000000001E-3</c:v>
                </c:pt>
                <c:pt idx="37">
                  <c:v>5.7128333333333337E-3</c:v>
                </c:pt>
                <c:pt idx="38">
                  <c:v>6.1039999999999992E-3</c:v>
                </c:pt>
                <c:pt idx="39">
                  <c:v>6.562000000000001E-3</c:v>
                </c:pt>
                <c:pt idx="40">
                  <c:v>7.068500000000001E-3</c:v>
                </c:pt>
                <c:pt idx="41">
                  <c:v>7.5674999999999987E-3</c:v>
                </c:pt>
                <c:pt idx="42">
                  <c:v>8.126166666666667E-3</c:v>
                </c:pt>
                <c:pt idx="43">
                  <c:v>8.7308333333333335E-3</c:v>
                </c:pt>
                <c:pt idx="44">
                  <c:v>9.3340000000000003E-3</c:v>
                </c:pt>
                <c:pt idx="45">
                  <c:v>9.9798333333333336E-3</c:v>
                </c:pt>
                <c:pt idx="46">
                  <c:v>1.0722000000000001E-2</c:v>
                </c:pt>
                <c:pt idx="47">
                  <c:v>1.1653166666666666E-2</c:v>
                </c:pt>
                <c:pt idx="48">
                  <c:v>1.2615833333333335E-2</c:v>
                </c:pt>
                <c:pt idx="49">
                  <c:v>1.3840666666666668E-2</c:v>
                </c:pt>
                <c:pt idx="50">
                  <c:v>1.5202E-2</c:v>
                </c:pt>
                <c:pt idx="51">
                  <c:v>1.6760500000000001E-2</c:v>
                </c:pt>
                <c:pt idx="52">
                  <c:v>1.8548166666666668E-2</c:v>
                </c:pt>
                <c:pt idx="53">
                  <c:v>2.0342166666666665E-2</c:v>
                </c:pt>
                <c:pt idx="54">
                  <c:v>2.2552666666666665E-2</c:v>
                </c:pt>
                <c:pt idx="55">
                  <c:v>2.4773166666666669E-2</c:v>
                </c:pt>
                <c:pt idx="56">
                  <c:v>2.7224666666666671E-2</c:v>
                </c:pt>
                <c:pt idx="57">
                  <c:v>3.0119666666666666E-2</c:v>
                </c:pt>
                <c:pt idx="58">
                  <c:v>3.3440499999999998E-2</c:v>
                </c:pt>
                <c:pt idx="59">
                  <c:v>3.725966666666667E-2</c:v>
                </c:pt>
                <c:pt idx="60">
                  <c:v>4.1592833333333329E-2</c:v>
                </c:pt>
                <c:pt idx="61">
                  <c:v>4.6303833333333329E-2</c:v>
                </c:pt>
                <c:pt idx="62">
                  <c:v>5.2160333333333329E-2</c:v>
                </c:pt>
                <c:pt idx="63">
                  <c:v>5.8236833333333328E-2</c:v>
                </c:pt>
                <c:pt idx="64">
                  <c:v>6.5091833333333335E-2</c:v>
                </c:pt>
              </c:numCache>
            </c:numRef>
          </c:val>
          <c:smooth val="0"/>
          <c:extLst>
            <c:ext xmlns:c16="http://schemas.microsoft.com/office/drawing/2014/chart" uri="{C3380CC4-5D6E-409C-BE32-E72D297353CC}">
              <c16:uniqueId val="{00000000-527E-4E74-AB07-E484AC5091ED}"/>
            </c:ext>
          </c:extLst>
        </c:ser>
        <c:ser>
          <c:idx val="1"/>
          <c:order val="1"/>
          <c:tx>
            <c:strRef>
              <c:f>Analysis!$C$3:$C$4</c:f>
              <c:strCache>
                <c:ptCount val="1"/>
                <c:pt idx="0">
                  <c:v>M</c:v>
                </c:pt>
              </c:strCache>
            </c:strRef>
          </c:tx>
          <c:spPr>
            <a:ln w="28575" cap="rnd">
              <a:solidFill>
                <a:schemeClr val="accent2"/>
              </a:solidFill>
              <a:round/>
            </a:ln>
            <a:effectLst/>
          </c:spPr>
          <c:marker>
            <c:symbol val="none"/>
          </c:marker>
          <c:cat>
            <c:strRef>
              <c:f>Analysis!$A$5:$A$69</c:f>
              <c:strCache>
                <c:ptCount val="65"/>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pt idx="49">
                  <c:v>69</c:v>
                </c:pt>
                <c:pt idx="50">
                  <c:v>70</c:v>
                </c:pt>
                <c:pt idx="51">
                  <c:v>71</c:v>
                </c:pt>
                <c:pt idx="52">
                  <c:v>72</c:v>
                </c:pt>
                <c:pt idx="53">
                  <c:v>73</c:v>
                </c:pt>
                <c:pt idx="54">
                  <c:v>74</c:v>
                </c:pt>
                <c:pt idx="55">
                  <c:v>75</c:v>
                </c:pt>
                <c:pt idx="56">
                  <c:v>76</c:v>
                </c:pt>
                <c:pt idx="57">
                  <c:v>77</c:v>
                </c:pt>
                <c:pt idx="58">
                  <c:v>78</c:v>
                </c:pt>
                <c:pt idx="59">
                  <c:v>79</c:v>
                </c:pt>
                <c:pt idx="60">
                  <c:v>80</c:v>
                </c:pt>
                <c:pt idx="61">
                  <c:v>81</c:v>
                </c:pt>
                <c:pt idx="62">
                  <c:v>82</c:v>
                </c:pt>
                <c:pt idx="63">
                  <c:v>83</c:v>
                </c:pt>
                <c:pt idx="64">
                  <c:v>84</c:v>
                </c:pt>
              </c:strCache>
            </c:strRef>
          </c:cat>
          <c:val>
            <c:numRef>
              <c:f>Analysis!$C$5:$C$69</c:f>
              <c:numCache>
                <c:formatCode>General</c:formatCode>
                <c:ptCount val="65"/>
                <c:pt idx="0">
                  <c:v>1.1786666666666666E-3</c:v>
                </c:pt>
                <c:pt idx="1">
                  <c:v>1.3456666666666667E-3</c:v>
                </c:pt>
                <c:pt idx="2">
                  <c:v>1.3994999999999999E-3</c:v>
                </c:pt>
                <c:pt idx="3">
                  <c:v>1.4541666666666668E-3</c:v>
                </c:pt>
                <c:pt idx="4">
                  <c:v>1.5211666666666665E-3</c:v>
                </c:pt>
                <c:pt idx="5">
                  <c:v>1.5776666666666667E-3</c:v>
                </c:pt>
                <c:pt idx="6">
                  <c:v>1.6103333333333334E-3</c:v>
                </c:pt>
                <c:pt idx="7">
                  <c:v>1.6959999999999998E-3</c:v>
                </c:pt>
                <c:pt idx="8">
                  <c:v>1.7565E-3</c:v>
                </c:pt>
                <c:pt idx="9">
                  <c:v>1.8030000000000001E-3</c:v>
                </c:pt>
                <c:pt idx="10">
                  <c:v>1.8511666666666665E-3</c:v>
                </c:pt>
                <c:pt idx="11">
                  <c:v>1.9091666666666667E-3</c:v>
                </c:pt>
                <c:pt idx="12">
                  <c:v>1.9695000000000003E-3</c:v>
                </c:pt>
                <c:pt idx="13">
                  <c:v>2.0295000000000001E-3</c:v>
                </c:pt>
                <c:pt idx="14">
                  <c:v>2.1093333333333333E-3</c:v>
                </c:pt>
                <c:pt idx="15">
                  <c:v>2.1616666666666668E-3</c:v>
                </c:pt>
                <c:pt idx="16">
                  <c:v>2.2325000000000001E-3</c:v>
                </c:pt>
                <c:pt idx="17">
                  <c:v>2.3341666666666667E-3</c:v>
                </c:pt>
                <c:pt idx="18">
                  <c:v>2.4086666666666666E-3</c:v>
                </c:pt>
                <c:pt idx="19">
                  <c:v>2.525333333333333E-3</c:v>
                </c:pt>
                <c:pt idx="20">
                  <c:v>2.6098333333333334E-3</c:v>
                </c:pt>
                <c:pt idx="21">
                  <c:v>2.7163333333333332E-3</c:v>
                </c:pt>
                <c:pt idx="22">
                  <c:v>2.8173333333333336E-3</c:v>
                </c:pt>
                <c:pt idx="23">
                  <c:v>2.9823333333333334E-3</c:v>
                </c:pt>
                <c:pt idx="24">
                  <c:v>3.1849999999999999E-3</c:v>
                </c:pt>
                <c:pt idx="25">
                  <c:v>3.4056666666666667E-3</c:v>
                </c:pt>
                <c:pt idx="26">
                  <c:v>3.7003333333333333E-3</c:v>
                </c:pt>
                <c:pt idx="27">
                  <c:v>3.9755000000000007E-3</c:v>
                </c:pt>
                <c:pt idx="28">
                  <c:v>4.3126666666666669E-3</c:v>
                </c:pt>
                <c:pt idx="29">
                  <c:v>4.7073333333333333E-3</c:v>
                </c:pt>
                <c:pt idx="30">
                  <c:v>5.1138333333333339E-3</c:v>
                </c:pt>
                <c:pt idx="31">
                  <c:v>5.6136666666666661E-3</c:v>
                </c:pt>
                <c:pt idx="32">
                  <c:v>6.1476666666666659E-3</c:v>
                </c:pt>
                <c:pt idx="33">
                  <c:v>6.6926666666666662E-3</c:v>
                </c:pt>
                <c:pt idx="34">
                  <c:v>7.3781666666666674E-3</c:v>
                </c:pt>
                <c:pt idx="35">
                  <c:v>8.0233333333333337E-3</c:v>
                </c:pt>
                <c:pt idx="36">
                  <c:v>8.6881666666666652E-3</c:v>
                </c:pt>
                <c:pt idx="37">
                  <c:v>9.4568333333333327E-3</c:v>
                </c:pt>
                <c:pt idx="38">
                  <c:v>1.0157833333333333E-2</c:v>
                </c:pt>
                <c:pt idx="39">
                  <c:v>1.1026833333333333E-2</c:v>
                </c:pt>
                <c:pt idx="40">
                  <c:v>1.1771166666666666E-2</c:v>
                </c:pt>
                <c:pt idx="41">
                  <c:v>1.2798833333333334E-2</c:v>
                </c:pt>
                <c:pt idx="42">
                  <c:v>1.3711666666666669E-2</c:v>
                </c:pt>
                <c:pt idx="43">
                  <c:v>1.4830499999999998E-2</c:v>
                </c:pt>
                <c:pt idx="44">
                  <c:v>1.5714333333333334E-2</c:v>
                </c:pt>
                <c:pt idx="45">
                  <c:v>1.6664833333333334E-2</c:v>
                </c:pt>
                <c:pt idx="46">
                  <c:v>1.7775666666666665E-2</c:v>
                </c:pt>
                <c:pt idx="47">
                  <c:v>1.8869499999999997E-2</c:v>
                </c:pt>
                <c:pt idx="48">
                  <c:v>1.9995333333333334E-2</c:v>
                </c:pt>
                <c:pt idx="49">
                  <c:v>2.160833333333333E-2</c:v>
                </c:pt>
                <c:pt idx="50">
                  <c:v>2.3233333333333332E-2</c:v>
                </c:pt>
                <c:pt idx="51">
                  <c:v>2.5381833333333336E-2</c:v>
                </c:pt>
                <c:pt idx="52">
                  <c:v>2.7446166666666671E-2</c:v>
                </c:pt>
                <c:pt idx="53">
                  <c:v>2.9928666666666669E-2</c:v>
                </c:pt>
                <c:pt idx="54">
                  <c:v>3.3101333333333337E-2</c:v>
                </c:pt>
                <c:pt idx="55">
                  <c:v>3.5888999999999997E-2</c:v>
                </c:pt>
                <c:pt idx="56">
                  <c:v>3.9368333333333332E-2</c:v>
                </c:pt>
                <c:pt idx="57">
                  <c:v>4.3183666666666669E-2</c:v>
                </c:pt>
                <c:pt idx="58">
                  <c:v>4.7255500000000006E-2</c:v>
                </c:pt>
                <c:pt idx="59">
                  <c:v>5.2110666666666666E-2</c:v>
                </c:pt>
                <c:pt idx="60">
                  <c:v>5.7446166666666659E-2</c:v>
                </c:pt>
                <c:pt idx="61">
                  <c:v>6.3666500000000001E-2</c:v>
                </c:pt>
                <c:pt idx="62">
                  <c:v>7.0405333333333334E-2</c:v>
                </c:pt>
                <c:pt idx="63">
                  <c:v>7.8240000000000018E-2</c:v>
                </c:pt>
                <c:pt idx="64">
                  <c:v>8.722566666666666E-2</c:v>
                </c:pt>
              </c:numCache>
            </c:numRef>
          </c:val>
          <c:smooth val="0"/>
          <c:extLst>
            <c:ext xmlns:c16="http://schemas.microsoft.com/office/drawing/2014/chart" uri="{C3380CC4-5D6E-409C-BE32-E72D297353CC}">
              <c16:uniqueId val="{00000001-527E-4E74-AB07-E484AC5091ED}"/>
            </c:ext>
          </c:extLst>
        </c:ser>
        <c:dLbls>
          <c:showLegendKey val="0"/>
          <c:showVal val="0"/>
          <c:showCatName val="0"/>
          <c:showSerName val="0"/>
          <c:showPercent val="0"/>
          <c:showBubbleSize val="0"/>
        </c:dLbls>
        <c:smooth val="0"/>
        <c:axId val="95897184"/>
        <c:axId val="95911104"/>
      </c:lineChart>
      <c:catAx>
        <c:axId val="95897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911104"/>
        <c:crosses val="autoZero"/>
        <c:auto val="1"/>
        <c:lblAlgn val="ctr"/>
        <c:lblOffset val="100"/>
        <c:tickLblSkip val="5"/>
        <c:noMultiLvlLbl val="0"/>
      </c:catAx>
      <c:valAx>
        <c:axId val="95911104"/>
        <c:scaling>
          <c:orientation val="minMax"/>
          <c:max val="9.0000000000000024E-2"/>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97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[Mortality_Workbook.xlsx]Analysis!PivotTable4</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Log</a:t>
            </a:r>
            <a:r>
              <a:rPr lang="en-US" baseline="0"/>
              <a:t> </a:t>
            </a:r>
            <a:r>
              <a:rPr lang="en-US"/>
              <a:t>Mortality</a:t>
            </a:r>
            <a:r>
              <a:rPr lang="en-US" baseline="0"/>
              <a:t> Rate by Age and Sex</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Analysis!$F$3:$F$4</c:f>
              <c:strCache>
                <c:ptCount val="1"/>
                <c:pt idx="0">
                  <c:v>F</c:v>
                </c:pt>
              </c:strCache>
            </c:strRef>
          </c:tx>
          <c:spPr>
            <a:ln w="28575" cap="rnd">
              <a:solidFill>
                <a:schemeClr val="accent1"/>
              </a:solidFill>
              <a:round/>
            </a:ln>
            <a:effectLst/>
          </c:spPr>
          <c:marker>
            <c:symbol val="none"/>
          </c:marker>
          <c:cat>
            <c:strRef>
              <c:f>Analysis!$E$5:$E$69</c:f>
              <c:strCache>
                <c:ptCount val="65"/>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pt idx="49">
                  <c:v>69</c:v>
                </c:pt>
                <c:pt idx="50">
                  <c:v>70</c:v>
                </c:pt>
                <c:pt idx="51">
                  <c:v>71</c:v>
                </c:pt>
                <c:pt idx="52">
                  <c:v>72</c:v>
                </c:pt>
                <c:pt idx="53">
                  <c:v>73</c:v>
                </c:pt>
                <c:pt idx="54">
                  <c:v>74</c:v>
                </c:pt>
                <c:pt idx="55">
                  <c:v>75</c:v>
                </c:pt>
                <c:pt idx="56">
                  <c:v>76</c:v>
                </c:pt>
                <c:pt idx="57">
                  <c:v>77</c:v>
                </c:pt>
                <c:pt idx="58">
                  <c:v>78</c:v>
                </c:pt>
                <c:pt idx="59">
                  <c:v>79</c:v>
                </c:pt>
                <c:pt idx="60">
                  <c:v>80</c:v>
                </c:pt>
                <c:pt idx="61">
                  <c:v>81</c:v>
                </c:pt>
                <c:pt idx="62">
                  <c:v>82</c:v>
                </c:pt>
                <c:pt idx="63">
                  <c:v>83</c:v>
                </c:pt>
                <c:pt idx="64">
                  <c:v>84</c:v>
                </c:pt>
              </c:strCache>
            </c:strRef>
          </c:cat>
          <c:val>
            <c:numRef>
              <c:f>Analysis!$F$5:$F$69</c:f>
              <c:numCache>
                <c:formatCode>General</c:formatCode>
                <c:ptCount val="65"/>
                <c:pt idx="0">
                  <c:v>-7.7563355343307157</c:v>
                </c:pt>
                <c:pt idx="1">
                  <c:v>-7.6405356860315825</c:v>
                </c:pt>
                <c:pt idx="2">
                  <c:v>-7.6113133307526963</c:v>
                </c:pt>
                <c:pt idx="3">
                  <c:v>-7.5186019812916136</c:v>
                </c:pt>
                <c:pt idx="4">
                  <c:v>-7.4985075022001197</c:v>
                </c:pt>
                <c:pt idx="5">
                  <c:v>-7.4137068203971515</c:v>
                </c:pt>
                <c:pt idx="6">
                  <c:v>-7.3742962363203448</c:v>
                </c:pt>
                <c:pt idx="7">
                  <c:v>-7.2842710252323251</c:v>
                </c:pt>
                <c:pt idx="8">
                  <c:v>-7.227878894740086</c:v>
                </c:pt>
                <c:pt idx="9">
                  <c:v>-7.1761019742783319</c:v>
                </c:pt>
                <c:pt idx="10">
                  <c:v>-7.0905139280820384</c:v>
                </c:pt>
                <c:pt idx="11">
                  <c:v>-7.0417344372783548</c:v>
                </c:pt>
                <c:pt idx="12">
                  <c:v>-6.9638460219361074</c:v>
                </c:pt>
                <c:pt idx="13">
                  <c:v>-6.9039086021294276</c:v>
                </c:pt>
                <c:pt idx="14">
                  <c:v>-6.8750574631565682</c:v>
                </c:pt>
                <c:pt idx="15">
                  <c:v>-6.8175901990179719</c:v>
                </c:pt>
                <c:pt idx="16">
                  <c:v>-6.7527908925679379</c:v>
                </c:pt>
                <c:pt idx="17">
                  <c:v>-6.7028048437793615</c:v>
                </c:pt>
                <c:pt idx="18">
                  <c:v>-6.6466566003087211</c:v>
                </c:pt>
                <c:pt idx="19">
                  <c:v>-6.5826477513909181</c:v>
                </c:pt>
                <c:pt idx="20">
                  <c:v>-6.5356663061987819</c:v>
                </c:pt>
                <c:pt idx="21">
                  <c:v>-6.4707265495949855</c:v>
                </c:pt>
                <c:pt idx="22">
                  <c:v>-6.4063601600380364</c:v>
                </c:pt>
                <c:pt idx="23">
                  <c:v>-6.3287312083415328</c:v>
                </c:pt>
                <c:pt idx="24">
                  <c:v>-6.2668763212484251</c:v>
                </c:pt>
                <c:pt idx="25">
                  <c:v>-6.1772908286413815</c:v>
                </c:pt>
                <c:pt idx="26">
                  <c:v>-6.0882597912630674</c:v>
                </c:pt>
                <c:pt idx="27">
                  <c:v>-6.0208966102531116</c:v>
                </c:pt>
                <c:pt idx="28">
                  <c:v>-5.9313410764927577</c:v>
                </c:pt>
                <c:pt idx="29">
                  <c:v>-5.8463932073739953</c:v>
                </c:pt>
                <c:pt idx="30">
                  <c:v>-5.7565968231479125</c:v>
                </c:pt>
                <c:pt idx="31">
                  <c:v>-5.6662029814904082</c:v>
                </c:pt>
                <c:pt idx="32">
                  <c:v>-5.5824131840503961</c:v>
                </c:pt>
                <c:pt idx="33">
                  <c:v>-5.4968908692565677</c:v>
                </c:pt>
                <c:pt idx="34">
                  <c:v>-5.4128882985252913</c:v>
                </c:pt>
                <c:pt idx="35">
                  <c:v>-5.3347138241646865</c:v>
                </c:pt>
                <c:pt idx="36">
                  <c:v>-5.2506856298260489</c:v>
                </c:pt>
                <c:pt idx="37">
                  <c:v>-5.1661703006261526</c:v>
                </c:pt>
                <c:pt idx="38">
                  <c:v>-5.0998012632786294</c:v>
                </c:pt>
                <c:pt idx="39">
                  <c:v>-5.0279569336045862</c:v>
                </c:pt>
                <c:pt idx="40">
                  <c:v>-4.9537483407137008</c:v>
                </c:pt>
                <c:pt idx="41">
                  <c:v>-4.8857697332502319</c:v>
                </c:pt>
                <c:pt idx="42">
                  <c:v>-4.8142667752395418</c:v>
                </c:pt>
                <c:pt idx="43">
                  <c:v>-4.7426617703975866</c:v>
                </c:pt>
                <c:pt idx="44">
                  <c:v>-4.6757915501146883</c:v>
                </c:pt>
                <c:pt idx="45">
                  <c:v>-4.6087296126762176</c:v>
                </c:pt>
                <c:pt idx="46">
                  <c:v>-4.5369511738158144</c:v>
                </c:pt>
                <c:pt idx="47">
                  <c:v>-4.4536322609121646</c:v>
                </c:pt>
                <c:pt idx="48">
                  <c:v>-4.3743059503118378</c:v>
                </c:pt>
                <c:pt idx="49">
                  <c:v>-4.2813656783032981</c:v>
                </c:pt>
                <c:pt idx="50">
                  <c:v>-4.187184212417173</c:v>
                </c:pt>
                <c:pt idx="51">
                  <c:v>-4.0899402490870962</c:v>
                </c:pt>
                <c:pt idx="52">
                  <c:v>-3.9885820316131397</c:v>
                </c:pt>
                <c:pt idx="53">
                  <c:v>-3.8954617055636689</c:v>
                </c:pt>
                <c:pt idx="54">
                  <c:v>-3.7936781313403891</c:v>
                </c:pt>
                <c:pt idx="55">
                  <c:v>-3.6987322316153599</c:v>
                </c:pt>
                <c:pt idx="56">
                  <c:v>-3.6048475560072375</c:v>
                </c:pt>
                <c:pt idx="57">
                  <c:v>-3.5034609211081378</c:v>
                </c:pt>
                <c:pt idx="58">
                  <c:v>-3.3992186454943201</c:v>
                </c:pt>
                <c:pt idx="59">
                  <c:v>-3.2909747228488553</c:v>
                </c:pt>
                <c:pt idx="60">
                  <c:v>-3.1807774214093372</c:v>
                </c:pt>
                <c:pt idx="61">
                  <c:v>-3.07368784536204</c:v>
                </c:pt>
                <c:pt idx="62">
                  <c:v>-2.9543806580568268</c:v>
                </c:pt>
                <c:pt idx="63">
                  <c:v>-2.8441876100060495</c:v>
                </c:pt>
                <c:pt idx="64">
                  <c:v>-2.7330890586156342</c:v>
                </c:pt>
              </c:numCache>
            </c:numRef>
          </c:val>
          <c:smooth val="0"/>
          <c:extLst>
            <c:ext xmlns:c16="http://schemas.microsoft.com/office/drawing/2014/chart" uri="{C3380CC4-5D6E-409C-BE32-E72D297353CC}">
              <c16:uniqueId val="{00000000-EE19-4323-BEE8-25634E15F48B}"/>
            </c:ext>
          </c:extLst>
        </c:ser>
        <c:ser>
          <c:idx val="1"/>
          <c:order val="1"/>
          <c:tx>
            <c:strRef>
              <c:f>Analysis!$G$3:$G$4</c:f>
              <c:strCache>
                <c:ptCount val="1"/>
                <c:pt idx="0">
                  <c:v>M</c:v>
                </c:pt>
              </c:strCache>
            </c:strRef>
          </c:tx>
          <c:spPr>
            <a:ln w="28575" cap="rnd">
              <a:solidFill>
                <a:schemeClr val="accent2"/>
              </a:solidFill>
              <a:round/>
            </a:ln>
            <a:effectLst/>
          </c:spPr>
          <c:marker>
            <c:symbol val="none"/>
          </c:marker>
          <c:cat>
            <c:strRef>
              <c:f>Analysis!$E$5:$E$69</c:f>
              <c:strCache>
                <c:ptCount val="65"/>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pt idx="49">
                  <c:v>69</c:v>
                </c:pt>
                <c:pt idx="50">
                  <c:v>70</c:v>
                </c:pt>
                <c:pt idx="51">
                  <c:v>71</c:v>
                </c:pt>
                <c:pt idx="52">
                  <c:v>72</c:v>
                </c:pt>
                <c:pt idx="53">
                  <c:v>73</c:v>
                </c:pt>
                <c:pt idx="54">
                  <c:v>74</c:v>
                </c:pt>
                <c:pt idx="55">
                  <c:v>75</c:v>
                </c:pt>
                <c:pt idx="56">
                  <c:v>76</c:v>
                </c:pt>
                <c:pt idx="57">
                  <c:v>77</c:v>
                </c:pt>
                <c:pt idx="58">
                  <c:v>78</c:v>
                </c:pt>
                <c:pt idx="59">
                  <c:v>79</c:v>
                </c:pt>
                <c:pt idx="60">
                  <c:v>80</c:v>
                </c:pt>
                <c:pt idx="61">
                  <c:v>81</c:v>
                </c:pt>
                <c:pt idx="62">
                  <c:v>82</c:v>
                </c:pt>
                <c:pt idx="63">
                  <c:v>83</c:v>
                </c:pt>
                <c:pt idx="64">
                  <c:v>84</c:v>
                </c:pt>
              </c:strCache>
            </c:strRef>
          </c:cat>
          <c:val>
            <c:numRef>
              <c:f>Analysis!$G$5:$G$69</c:f>
              <c:numCache>
                <c:formatCode>General</c:formatCode>
                <c:ptCount val="65"/>
                <c:pt idx="0">
                  <c:v>-6.7460416833760393</c:v>
                </c:pt>
                <c:pt idx="1">
                  <c:v>-6.6138639994183412</c:v>
                </c:pt>
                <c:pt idx="2">
                  <c:v>-6.5739174724611402</c:v>
                </c:pt>
                <c:pt idx="3">
                  <c:v>-6.5363268134022698</c:v>
                </c:pt>
                <c:pt idx="4">
                  <c:v>-6.4912831478777564</c:v>
                </c:pt>
                <c:pt idx="5">
                  <c:v>-6.4546689401858757</c:v>
                </c:pt>
                <c:pt idx="6">
                  <c:v>-6.4347400113029556</c:v>
                </c:pt>
                <c:pt idx="7">
                  <c:v>-6.3830457917147854</c:v>
                </c:pt>
                <c:pt idx="8">
                  <c:v>-6.3487268780307256</c:v>
                </c:pt>
                <c:pt idx="9">
                  <c:v>-6.3224396572351749</c:v>
                </c:pt>
                <c:pt idx="10">
                  <c:v>-6.2980899111928972</c:v>
                </c:pt>
                <c:pt idx="11">
                  <c:v>-6.2679023832935528</c:v>
                </c:pt>
                <c:pt idx="12">
                  <c:v>-6.2355117635431823</c:v>
                </c:pt>
                <c:pt idx="13">
                  <c:v>-6.2065393273608995</c:v>
                </c:pt>
                <c:pt idx="14">
                  <c:v>-6.1672019065515338</c:v>
                </c:pt>
                <c:pt idx="15">
                  <c:v>-6.1426478645610496</c:v>
                </c:pt>
                <c:pt idx="16">
                  <c:v>-6.111578608785905</c:v>
                </c:pt>
                <c:pt idx="17">
                  <c:v>-6.0675803989196417</c:v>
                </c:pt>
                <c:pt idx="18">
                  <c:v>-6.0354836097715605</c:v>
                </c:pt>
                <c:pt idx="19">
                  <c:v>-5.9903505009988756</c:v>
                </c:pt>
                <c:pt idx="20">
                  <c:v>-5.9573127844781508</c:v>
                </c:pt>
                <c:pt idx="21">
                  <c:v>-5.9167935691179574</c:v>
                </c:pt>
                <c:pt idx="22">
                  <c:v>-5.8789572484672092</c:v>
                </c:pt>
                <c:pt idx="23">
                  <c:v>-5.8216031602647602</c:v>
                </c:pt>
                <c:pt idx="24">
                  <c:v>-5.7544001834366618</c:v>
                </c:pt>
                <c:pt idx="25">
                  <c:v>-5.6864791341868122</c:v>
                </c:pt>
                <c:pt idx="26">
                  <c:v>-5.6033447341703955</c:v>
                </c:pt>
                <c:pt idx="27">
                  <c:v>-5.532023398307409</c:v>
                </c:pt>
                <c:pt idx="28">
                  <c:v>-5.450883379415747</c:v>
                </c:pt>
                <c:pt idx="29">
                  <c:v>-5.3623331670249952</c:v>
                </c:pt>
                <c:pt idx="30">
                  <c:v>-5.2782257425761729</c:v>
                </c:pt>
                <c:pt idx="31">
                  <c:v>-5.1850013182618806</c:v>
                </c:pt>
                <c:pt idx="32">
                  <c:v>-5.0941623607978164</c:v>
                </c:pt>
                <c:pt idx="33">
                  <c:v>-5.0091342732149604</c:v>
                </c:pt>
                <c:pt idx="34">
                  <c:v>-4.9113932360052788</c:v>
                </c:pt>
                <c:pt idx="35">
                  <c:v>-4.8271514367541686</c:v>
                </c:pt>
                <c:pt idx="36">
                  <c:v>-4.7479291342496213</c:v>
                </c:pt>
                <c:pt idx="37">
                  <c:v>-4.6626557267958608</c:v>
                </c:pt>
                <c:pt idx="38">
                  <c:v>-4.5915464731930937</c:v>
                </c:pt>
                <c:pt idx="39">
                  <c:v>-4.5094471340431346</c:v>
                </c:pt>
                <c:pt idx="40">
                  <c:v>-4.4439086935405339</c:v>
                </c:pt>
                <c:pt idx="41">
                  <c:v>-4.3607700445266735</c:v>
                </c:pt>
                <c:pt idx="42">
                  <c:v>-4.2915346088528148</c:v>
                </c:pt>
                <c:pt idx="43">
                  <c:v>-4.2132476715623266</c:v>
                </c:pt>
                <c:pt idx="44">
                  <c:v>-4.1555344145947499</c:v>
                </c:pt>
                <c:pt idx="45">
                  <c:v>-4.0962593366112854</c:v>
                </c:pt>
                <c:pt idx="46">
                  <c:v>-4.032456369752361</c:v>
                </c:pt>
                <c:pt idx="47">
                  <c:v>-3.972564204140737</c:v>
                </c:pt>
                <c:pt idx="48">
                  <c:v>-3.9149792623763364</c:v>
                </c:pt>
                <c:pt idx="49">
                  <c:v>-3.8368664533621253</c:v>
                </c:pt>
                <c:pt idx="50">
                  <c:v>-3.7640129211195945</c:v>
                </c:pt>
                <c:pt idx="51">
                  <c:v>-3.6754342237972737</c:v>
                </c:pt>
                <c:pt idx="52">
                  <c:v>-3.5973272090941379</c:v>
                </c:pt>
                <c:pt idx="53">
                  <c:v>-3.5095993810359034</c:v>
                </c:pt>
                <c:pt idx="54">
                  <c:v>-3.4104693431318722</c:v>
                </c:pt>
                <c:pt idx="55">
                  <c:v>-3.3283027062546</c:v>
                </c:pt>
                <c:pt idx="56">
                  <c:v>-3.2365331622787998</c:v>
                </c:pt>
                <c:pt idx="57">
                  <c:v>-3.143624214823177</c:v>
                </c:pt>
                <c:pt idx="58">
                  <c:v>-3.0542257900406717</c:v>
                </c:pt>
                <c:pt idx="59">
                  <c:v>-2.956033798800576</c:v>
                </c:pt>
                <c:pt idx="60">
                  <c:v>-2.8582160942430108</c:v>
                </c:pt>
                <c:pt idx="61">
                  <c:v>-2.7554311677185233</c:v>
                </c:pt>
                <c:pt idx="62">
                  <c:v>-2.6545434602433646</c:v>
                </c:pt>
                <c:pt idx="63">
                  <c:v>-2.5494606396790966</c:v>
                </c:pt>
                <c:pt idx="64">
                  <c:v>-2.4404718983805735</c:v>
                </c:pt>
              </c:numCache>
            </c:numRef>
          </c:val>
          <c:smooth val="0"/>
          <c:extLst>
            <c:ext xmlns:c16="http://schemas.microsoft.com/office/drawing/2014/chart" uri="{C3380CC4-5D6E-409C-BE32-E72D297353CC}">
              <c16:uniqueId val="{00000001-EE19-4323-BEE8-25634E15F48B}"/>
            </c:ext>
          </c:extLst>
        </c:ser>
        <c:dLbls>
          <c:showLegendKey val="0"/>
          <c:showVal val="0"/>
          <c:showCatName val="0"/>
          <c:showSerName val="0"/>
          <c:showPercent val="0"/>
          <c:showBubbleSize val="0"/>
        </c:dLbls>
        <c:smooth val="0"/>
        <c:axId val="44503295"/>
        <c:axId val="44507135"/>
      </c:lineChart>
      <c:catAx>
        <c:axId val="44503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507135"/>
        <c:crosses val="autoZero"/>
        <c:auto val="1"/>
        <c:lblAlgn val="ctr"/>
        <c:lblOffset val="100"/>
        <c:tickLblSkip val="5"/>
        <c:noMultiLvlLbl val="0"/>
      </c:catAx>
      <c:valAx>
        <c:axId val="44507135"/>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503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[Mortality_Workbook.xlsx]Analysis!PivotTable5</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Distribution of Expected Death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Analysis!$R$3:$R$4</c:f>
              <c:strCache>
                <c:ptCount val="1"/>
                <c:pt idx="0">
                  <c:v>F</c:v>
                </c:pt>
              </c:strCache>
            </c:strRef>
          </c:tx>
          <c:spPr>
            <a:ln w="28575" cap="rnd">
              <a:solidFill>
                <a:schemeClr val="accent1"/>
              </a:solidFill>
              <a:round/>
            </a:ln>
            <a:effectLst/>
          </c:spPr>
          <c:marker>
            <c:symbol val="none"/>
          </c:marker>
          <c:cat>
            <c:strRef>
              <c:f>Analysis!$Q$5:$Q$69</c:f>
              <c:strCache>
                <c:ptCount val="65"/>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pt idx="49">
                  <c:v>69</c:v>
                </c:pt>
                <c:pt idx="50">
                  <c:v>70</c:v>
                </c:pt>
                <c:pt idx="51">
                  <c:v>71</c:v>
                </c:pt>
                <c:pt idx="52">
                  <c:v>72</c:v>
                </c:pt>
                <c:pt idx="53">
                  <c:v>73</c:v>
                </c:pt>
                <c:pt idx="54">
                  <c:v>74</c:v>
                </c:pt>
                <c:pt idx="55">
                  <c:v>75</c:v>
                </c:pt>
                <c:pt idx="56">
                  <c:v>76</c:v>
                </c:pt>
                <c:pt idx="57">
                  <c:v>77</c:v>
                </c:pt>
                <c:pt idx="58">
                  <c:v>78</c:v>
                </c:pt>
                <c:pt idx="59">
                  <c:v>79</c:v>
                </c:pt>
                <c:pt idx="60">
                  <c:v>80</c:v>
                </c:pt>
                <c:pt idx="61">
                  <c:v>81</c:v>
                </c:pt>
                <c:pt idx="62">
                  <c:v>82</c:v>
                </c:pt>
                <c:pt idx="63">
                  <c:v>83</c:v>
                </c:pt>
                <c:pt idx="64">
                  <c:v>84</c:v>
                </c:pt>
              </c:strCache>
            </c:strRef>
          </c:cat>
          <c:val>
            <c:numRef>
              <c:f>Analysis!$R$5:$R$69</c:f>
              <c:numCache>
                <c:formatCode>General</c:formatCode>
                <c:ptCount val="65"/>
                <c:pt idx="0">
                  <c:v>42.833333333333336</c:v>
                </c:pt>
                <c:pt idx="1">
                  <c:v>48.161666666666662</c:v>
                </c:pt>
                <c:pt idx="2">
                  <c:v>49.536666666666662</c:v>
                </c:pt>
                <c:pt idx="3">
                  <c:v>54.406666666666673</c:v>
                </c:pt>
                <c:pt idx="4">
                  <c:v>55.425000000000004</c:v>
                </c:pt>
                <c:pt idx="5">
                  <c:v>60.363333333333337</c:v>
                </c:pt>
                <c:pt idx="6">
                  <c:v>62.701666666666661</c:v>
                </c:pt>
                <c:pt idx="7">
                  <c:v>68.624999999999986</c:v>
                </c:pt>
                <c:pt idx="8">
                  <c:v>72.543333333333337</c:v>
                </c:pt>
                <c:pt idx="9">
                  <c:v>76.433333333333337</c:v>
                </c:pt>
                <c:pt idx="10">
                  <c:v>83.135000000000005</c:v>
                </c:pt>
                <c:pt idx="11">
                  <c:v>87.136666666666656</c:v>
                </c:pt>
                <c:pt idx="12">
                  <c:v>94.188333333333333</c:v>
                </c:pt>
                <c:pt idx="13">
                  <c:v>100.01333333333332</c:v>
                </c:pt>
                <c:pt idx="14">
                  <c:v>102.70333333333333</c:v>
                </c:pt>
                <c:pt idx="15">
                  <c:v>108.71333333333332</c:v>
                </c:pt>
                <c:pt idx="16">
                  <c:v>115.75666666666666</c:v>
                </c:pt>
                <c:pt idx="17">
                  <c:v>121.755</c:v>
                </c:pt>
                <c:pt idx="18">
                  <c:v>128.45833333333334</c:v>
                </c:pt>
                <c:pt idx="19">
                  <c:v>136.90166666666667</c:v>
                </c:pt>
                <c:pt idx="20">
                  <c:v>143.10166666666666</c:v>
                </c:pt>
                <c:pt idx="21">
                  <c:v>152.75666666666666</c:v>
                </c:pt>
                <c:pt idx="22">
                  <c:v>162.22833333333332</c:v>
                </c:pt>
                <c:pt idx="23">
                  <c:v>175.0383333333333</c:v>
                </c:pt>
                <c:pt idx="24">
                  <c:v>185.92666666666665</c:v>
                </c:pt>
                <c:pt idx="25">
                  <c:v>202.81333333333336</c:v>
                </c:pt>
                <c:pt idx="26">
                  <c:v>221.18833333333336</c:v>
                </c:pt>
                <c:pt idx="27">
                  <c:v>236.16166666666666</c:v>
                </c:pt>
                <c:pt idx="28">
                  <c:v>257.54333333333335</c:v>
                </c:pt>
                <c:pt idx="29">
                  <c:v>279.58833333333337</c:v>
                </c:pt>
                <c:pt idx="30">
                  <c:v>304.83166666666665</c:v>
                </c:pt>
                <c:pt idx="31">
                  <c:v>332.65999999999997</c:v>
                </c:pt>
                <c:pt idx="32">
                  <c:v>360.49166666666673</c:v>
                </c:pt>
                <c:pt idx="33">
                  <c:v>391.21833333333331</c:v>
                </c:pt>
                <c:pt idx="34">
                  <c:v>423.70833333333326</c:v>
                </c:pt>
                <c:pt idx="35">
                  <c:v>455.96333333333337</c:v>
                </c:pt>
                <c:pt idx="36">
                  <c:v>493.47666666666663</c:v>
                </c:pt>
                <c:pt idx="37">
                  <c:v>534.34</c:v>
                </c:pt>
                <c:pt idx="38">
                  <c:v>567.66833333333329</c:v>
                </c:pt>
                <c:pt idx="39">
                  <c:v>606.5</c:v>
                </c:pt>
                <c:pt idx="40">
                  <c:v>649.01333333333332</c:v>
                </c:pt>
                <c:pt idx="41">
                  <c:v>689.89166666666677</c:v>
                </c:pt>
                <c:pt idx="42">
                  <c:v>735.21</c:v>
                </c:pt>
                <c:pt idx="43">
                  <c:v>783.46333333333325</c:v>
                </c:pt>
                <c:pt idx="44">
                  <c:v>830.25333333333344</c:v>
                </c:pt>
                <c:pt idx="45">
                  <c:v>879.4083333333333</c:v>
                </c:pt>
                <c:pt idx="46">
                  <c:v>935.36666666666667</c:v>
                </c:pt>
                <c:pt idx="47">
                  <c:v>1005.6866666666668</c:v>
                </c:pt>
                <c:pt idx="48">
                  <c:v>1076.0266666666666</c:v>
                </c:pt>
                <c:pt idx="49">
                  <c:v>1165.7283333333332</c:v>
                </c:pt>
                <c:pt idx="50">
                  <c:v>1262.6866666666667</c:v>
                </c:pt>
                <c:pt idx="51">
                  <c:v>1370.825</c:v>
                </c:pt>
                <c:pt idx="52">
                  <c:v>1491.59</c:v>
                </c:pt>
                <c:pt idx="53">
                  <c:v>1605.8533333333332</c:v>
                </c:pt>
                <c:pt idx="54">
                  <c:v>1743.3500000000001</c:v>
                </c:pt>
                <c:pt idx="55">
                  <c:v>1872.2666666666667</c:v>
                </c:pt>
                <c:pt idx="56">
                  <c:v>2006.2116666666668</c:v>
                </c:pt>
                <c:pt idx="57">
                  <c:v>2159.2800000000002</c:v>
                </c:pt>
                <c:pt idx="58">
                  <c:v>2324.73</c:v>
                </c:pt>
                <c:pt idx="59">
                  <c:v>2503.6016666666669</c:v>
                </c:pt>
                <c:pt idx="60">
                  <c:v>2690.7116666666666</c:v>
                </c:pt>
                <c:pt idx="61">
                  <c:v>2870.4533333333334</c:v>
                </c:pt>
                <c:pt idx="62">
                  <c:v>3084.0033333333336</c:v>
                </c:pt>
                <c:pt idx="63">
                  <c:v>3263.5583333333329</c:v>
                </c:pt>
                <c:pt idx="64">
                  <c:v>3434.7249999999999</c:v>
                </c:pt>
              </c:numCache>
            </c:numRef>
          </c:val>
          <c:smooth val="0"/>
          <c:extLst>
            <c:ext xmlns:c16="http://schemas.microsoft.com/office/drawing/2014/chart" uri="{C3380CC4-5D6E-409C-BE32-E72D297353CC}">
              <c16:uniqueId val="{00000000-2003-4E94-ABF8-E389AA73B1B8}"/>
            </c:ext>
          </c:extLst>
        </c:ser>
        <c:ser>
          <c:idx val="1"/>
          <c:order val="1"/>
          <c:tx>
            <c:strRef>
              <c:f>Analysis!$S$3:$S$4</c:f>
              <c:strCache>
                <c:ptCount val="1"/>
                <c:pt idx="0">
                  <c:v>M</c:v>
                </c:pt>
              </c:strCache>
            </c:strRef>
          </c:tx>
          <c:spPr>
            <a:ln w="28575" cap="rnd">
              <a:solidFill>
                <a:schemeClr val="accent2"/>
              </a:solidFill>
              <a:round/>
            </a:ln>
            <a:effectLst/>
          </c:spPr>
          <c:marker>
            <c:symbol val="none"/>
          </c:marker>
          <c:cat>
            <c:strRef>
              <c:f>Analysis!$Q$5:$Q$69</c:f>
              <c:strCache>
                <c:ptCount val="65"/>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pt idx="49">
                  <c:v>69</c:v>
                </c:pt>
                <c:pt idx="50">
                  <c:v>70</c:v>
                </c:pt>
                <c:pt idx="51">
                  <c:v>71</c:v>
                </c:pt>
                <c:pt idx="52">
                  <c:v>72</c:v>
                </c:pt>
                <c:pt idx="53">
                  <c:v>73</c:v>
                </c:pt>
                <c:pt idx="54">
                  <c:v>74</c:v>
                </c:pt>
                <c:pt idx="55">
                  <c:v>75</c:v>
                </c:pt>
                <c:pt idx="56">
                  <c:v>76</c:v>
                </c:pt>
                <c:pt idx="57">
                  <c:v>77</c:v>
                </c:pt>
                <c:pt idx="58">
                  <c:v>78</c:v>
                </c:pt>
                <c:pt idx="59">
                  <c:v>79</c:v>
                </c:pt>
                <c:pt idx="60">
                  <c:v>80</c:v>
                </c:pt>
                <c:pt idx="61">
                  <c:v>81</c:v>
                </c:pt>
                <c:pt idx="62">
                  <c:v>82</c:v>
                </c:pt>
                <c:pt idx="63">
                  <c:v>83</c:v>
                </c:pt>
                <c:pt idx="64">
                  <c:v>84</c:v>
                </c:pt>
              </c:strCache>
            </c:strRef>
          </c:cat>
          <c:val>
            <c:numRef>
              <c:f>Analysis!$S$5:$S$69</c:f>
              <c:numCache>
                <c:formatCode>General</c:formatCode>
                <c:ptCount val="65"/>
                <c:pt idx="0">
                  <c:v>117.86666666666666</c:v>
                </c:pt>
                <c:pt idx="1">
                  <c:v>134.405</c:v>
                </c:pt>
                <c:pt idx="2">
                  <c:v>139.595</c:v>
                </c:pt>
                <c:pt idx="3">
                  <c:v>144.845</c:v>
                </c:pt>
                <c:pt idx="4">
                  <c:v>151.29666666666665</c:v>
                </c:pt>
                <c:pt idx="5">
                  <c:v>156.67666666666665</c:v>
                </c:pt>
                <c:pt idx="6">
                  <c:v>159.66666666666666</c:v>
                </c:pt>
                <c:pt idx="7">
                  <c:v>167.88666666666666</c:v>
                </c:pt>
                <c:pt idx="8">
                  <c:v>173.57666666666668</c:v>
                </c:pt>
                <c:pt idx="9">
                  <c:v>177.85833333333335</c:v>
                </c:pt>
                <c:pt idx="10">
                  <c:v>182.27166666666665</c:v>
                </c:pt>
                <c:pt idx="11">
                  <c:v>187.62999999999997</c:v>
                </c:pt>
                <c:pt idx="12">
                  <c:v>193.1866666666667</c:v>
                </c:pt>
                <c:pt idx="13">
                  <c:v>198.67</c:v>
                </c:pt>
                <c:pt idx="14">
                  <c:v>206.06499999999997</c:v>
                </c:pt>
                <c:pt idx="15">
                  <c:v>210.73</c:v>
                </c:pt>
                <c:pt idx="16">
                  <c:v>217.15166666666667</c:v>
                </c:pt>
                <c:pt idx="17">
                  <c:v>226.52166666666668</c:v>
                </c:pt>
                <c:pt idx="18">
                  <c:v>233.20333333333335</c:v>
                </c:pt>
                <c:pt idx="19">
                  <c:v>243.88499999999999</c:v>
                </c:pt>
                <c:pt idx="20">
                  <c:v>251.40666666666667</c:v>
                </c:pt>
                <c:pt idx="21">
                  <c:v>260.96499999999997</c:v>
                </c:pt>
                <c:pt idx="22">
                  <c:v>269.94</c:v>
                </c:pt>
                <c:pt idx="23">
                  <c:v>284.93333333333334</c:v>
                </c:pt>
                <c:pt idx="24">
                  <c:v>303.40000000000003</c:v>
                </c:pt>
                <c:pt idx="25">
                  <c:v>323.39333333333337</c:v>
                </c:pt>
                <c:pt idx="26">
                  <c:v>350.17333333333335</c:v>
                </c:pt>
                <c:pt idx="27">
                  <c:v>374.79500000000002</c:v>
                </c:pt>
                <c:pt idx="28">
                  <c:v>404.95166666666665</c:v>
                </c:pt>
                <c:pt idx="29">
                  <c:v>440.13333333333338</c:v>
                </c:pt>
                <c:pt idx="30">
                  <c:v>475.92500000000001</c:v>
                </c:pt>
                <c:pt idx="31">
                  <c:v>519.76499999999999</c:v>
                </c:pt>
                <c:pt idx="32">
                  <c:v>565.995</c:v>
                </c:pt>
                <c:pt idx="33">
                  <c:v>612.38833333333332</c:v>
                </c:pt>
                <c:pt idx="34">
                  <c:v>670.58166666666659</c:v>
                </c:pt>
                <c:pt idx="35">
                  <c:v>723.8416666666667</c:v>
                </c:pt>
                <c:pt idx="36">
                  <c:v>777.47666666666657</c:v>
                </c:pt>
                <c:pt idx="37">
                  <c:v>838.96</c:v>
                </c:pt>
                <c:pt idx="38">
                  <c:v>892.52</c:v>
                </c:pt>
                <c:pt idx="39">
                  <c:v>959.00833333333333</c:v>
                </c:pt>
                <c:pt idx="40">
                  <c:v>1012.4499999999999</c:v>
                </c:pt>
                <c:pt idx="41">
                  <c:v>1087.7116666666668</c:v>
                </c:pt>
                <c:pt idx="42">
                  <c:v>1150.4183333333333</c:v>
                </c:pt>
                <c:pt idx="43">
                  <c:v>1227.1333333333332</c:v>
                </c:pt>
                <c:pt idx="44">
                  <c:v>1280.8383333333334</c:v>
                </c:pt>
                <c:pt idx="45">
                  <c:v>1337.0883333333334</c:v>
                </c:pt>
                <c:pt idx="46">
                  <c:v>1402.1266666666668</c:v>
                </c:pt>
                <c:pt idx="47">
                  <c:v>1461.8950000000002</c:v>
                </c:pt>
                <c:pt idx="48">
                  <c:v>1519.5999999999997</c:v>
                </c:pt>
                <c:pt idx="49">
                  <c:v>1609.6899999999998</c:v>
                </c:pt>
                <c:pt idx="50">
                  <c:v>1693.3783333333333</c:v>
                </c:pt>
                <c:pt idx="51">
                  <c:v>1807.1933333333334</c:v>
                </c:pt>
                <c:pt idx="52">
                  <c:v>1904.375</c:v>
                </c:pt>
                <c:pt idx="53">
                  <c:v>2020.7433333333336</c:v>
                </c:pt>
                <c:pt idx="54">
                  <c:v>2165.978333333333</c:v>
                </c:pt>
                <c:pt idx="55">
                  <c:v>2272.1600000000003</c:v>
                </c:pt>
                <c:pt idx="56">
                  <c:v>2401.7066666666669</c:v>
                </c:pt>
                <c:pt idx="57">
                  <c:v>2531.2383333333337</c:v>
                </c:pt>
                <c:pt idx="58">
                  <c:v>2649</c:v>
                </c:pt>
                <c:pt idx="59">
                  <c:v>2783.6450000000004</c:v>
                </c:pt>
                <c:pt idx="60">
                  <c:v>2909.4500000000003</c:v>
                </c:pt>
                <c:pt idx="61">
                  <c:v>3039.4683333333328</c:v>
                </c:pt>
                <c:pt idx="62">
                  <c:v>3147.7316666666666</c:v>
                </c:pt>
                <c:pt idx="63">
                  <c:v>3250.4233333333327</c:v>
                </c:pt>
                <c:pt idx="64">
                  <c:v>3341.1433333333339</c:v>
                </c:pt>
              </c:numCache>
            </c:numRef>
          </c:val>
          <c:smooth val="0"/>
          <c:extLst>
            <c:ext xmlns:c16="http://schemas.microsoft.com/office/drawing/2014/chart" uri="{C3380CC4-5D6E-409C-BE32-E72D297353CC}">
              <c16:uniqueId val="{00000001-2003-4E94-ABF8-E389AA73B1B8}"/>
            </c:ext>
          </c:extLst>
        </c:ser>
        <c:dLbls>
          <c:showLegendKey val="0"/>
          <c:showVal val="0"/>
          <c:showCatName val="0"/>
          <c:showSerName val="0"/>
          <c:showPercent val="0"/>
          <c:showBubbleSize val="0"/>
        </c:dLbls>
        <c:smooth val="0"/>
        <c:axId val="175974415"/>
        <c:axId val="175975375"/>
      </c:lineChart>
      <c:catAx>
        <c:axId val="175974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975375"/>
        <c:crosses val="autoZero"/>
        <c:auto val="1"/>
        <c:lblAlgn val="ctr"/>
        <c:lblOffset val="100"/>
        <c:tickLblSkip val="5"/>
        <c:noMultiLvlLbl val="0"/>
      </c:catAx>
      <c:valAx>
        <c:axId val="175975375"/>
        <c:scaling>
          <c:orientation val="minMax"/>
          <c:max val="35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974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[Mortality_Workbook.xlsx]Analysis!PivotTable1</c:name>
    <c:fmtId val="3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Survival Curve by</a:t>
            </a:r>
            <a:r>
              <a:rPr lang="en-US" baseline="0"/>
              <a:t> Age and Sex</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Analysis!$J$3:$J$4</c:f>
              <c:strCache>
                <c:ptCount val="1"/>
                <c:pt idx="0">
                  <c:v>F</c:v>
                </c:pt>
              </c:strCache>
            </c:strRef>
          </c:tx>
          <c:spPr>
            <a:ln w="28575" cap="rnd">
              <a:solidFill>
                <a:schemeClr val="accent1"/>
              </a:solidFill>
              <a:round/>
            </a:ln>
            <a:effectLst/>
          </c:spPr>
          <c:marker>
            <c:symbol val="none"/>
          </c:marker>
          <c:cat>
            <c:strRef>
              <c:f>Analysis!$I$5:$I$69</c:f>
              <c:strCache>
                <c:ptCount val="65"/>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pt idx="49">
                  <c:v>69</c:v>
                </c:pt>
                <c:pt idx="50">
                  <c:v>70</c:v>
                </c:pt>
                <c:pt idx="51">
                  <c:v>71</c:v>
                </c:pt>
                <c:pt idx="52">
                  <c:v>72</c:v>
                </c:pt>
                <c:pt idx="53">
                  <c:v>73</c:v>
                </c:pt>
                <c:pt idx="54">
                  <c:v>74</c:v>
                </c:pt>
                <c:pt idx="55">
                  <c:v>75</c:v>
                </c:pt>
                <c:pt idx="56">
                  <c:v>76</c:v>
                </c:pt>
                <c:pt idx="57">
                  <c:v>77</c:v>
                </c:pt>
                <c:pt idx="58">
                  <c:v>78</c:v>
                </c:pt>
                <c:pt idx="59">
                  <c:v>79</c:v>
                </c:pt>
                <c:pt idx="60">
                  <c:v>80</c:v>
                </c:pt>
                <c:pt idx="61">
                  <c:v>81</c:v>
                </c:pt>
                <c:pt idx="62">
                  <c:v>82</c:v>
                </c:pt>
                <c:pt idx="63">
                  <c:v>83</c:v>
                </c:pt>
                <c:pt idx="64">
                  <c:v>84</c:v>
                </c:pt>
              </c:strCache>
            </c:strRef>
          </c:cat>
          <c:val>
            <c:numRef>
              <c:f>Analysis!$J$5:$J$69</c:f>
              <c:numCache>
                <c:formatCode>General</c:formatCode>
                <c:ptCount val="65"/>
                <c:pt idx="0">
                  <c:v>1</c:v>
                </c:pt>
                <c:pt idx="1">
                  <c:v>0.99957171416666668</c:v>
                </c:pt>
                <c:pt idx="2">
                  <c:v>0.99909013150000003</c:v>
                </c:pt>
                <c:pt idx="3">
                  <c:v>0.99859486566666666</c:v>
                </c:pt>
                <c:pt idx="4">
                  <c:v>0.99805083899999991</c:v>
                </c:pt>
                <c:pt idx="5">
                  <c:v>0.99749656666666675</c:v>
                </c:pt>
                <c:pt idx="6">
                  <c:v>0.99689284600000005</c:v>
                </c:pt>
                <c:pt idx="7">
                  <c:v>0.99626578333333338</c:v>
                </c:pt>
                <c:pt idx="8">
                  <c:v>0.99557954316666664</c:v>
                </c:pt>
                <c:pt idx="9">
                  <c:v>0.99485418183333341</c:v>
                </c:pt>
                <c:pt idx="10">
                  <c:v>0.99408987400000004</c:v>
                </c:pt>
                <c:pt idx="11">
                  <c:v>0.99325847099999998</c:v>
                </c:pt>
                <c:pt idx="12">
                  <c:v>0.99238710616666659</c:v>
                </c:pt>
                <c:pt idx="13">
                  <c:v>0.99144533449999994</c:v>
                </c:pt>
                <c:pt idx="14">
                  <c:v>0.99044519299999989</c:v>
                </c:pt>
                <c:pt idx="15">
                  <c:v>0.9894185405</c:v>
                </c:pt>
                <c:pt idx="16">
                  <c:v>0.98833150333333331</c:v>
                </c:pt>
                <c:pt idx="17">
                  <c:v>0.98717372599999997</c:v>
                </c:pt>
                <c:pt idx="18">
                  <c:v>0.98595610716666682</c:v>
                </c:pt>
                <c:pt idx="19">
                  <c:v>0.98467172866666663</c:v>
                </c:pt>
                <c:pt idx="20">
                  <c:v>0.98330288366666663</c:v>
                </c:pt>
                <c:pt idx="21">
                  <c:v>0.9818719079999999</c:v>
                </c:pt>
                <c:pt idx="22">
                  <c:v>0.98034451283333335</c:v>
                </c:pt>
                <c:pt idx="23">
                  <c:v>0.97872213699999999</c:v>
                </c:pt>
                <c:pt idx="24">
                  <c:v>0.97697152333333337</c:v>
                </c:pt>
                <c:pt idx="25">
                  <c:v>0.97511221166666673</c:v>
                </c:pt>
                <c:pt idx="26">
                  <c:v>0.97308391750000001</c:v>
                </c:pt>
                <c:pt idx="27">
                  <c:v>0.97087201249999999</c:v>
                </c:pt>
                <c:pt idx="28">
                  <c:v>0.96851046666666651</c:v>
                </c:pt>
                <c:pt idx="29">
                  <c:v>0.96593498383333343</c:v>
                </c:pt>
                <c:pt idx="30">
                  <c:v>0.96313926449999998</c:v>
                </c:pt>
                <c:pt idx="31">
                  <c:v>0.96009106400000011</c:v>
                </c:pt>
                <c:pt idx="32">
                  <c:v>0.95676452683333324</c:v>
                </c:pt>
                <c:pt idx="33">
                  <c:v>0.95315961683333328</c:v>
                </c:pt>
                <c:pt idx="34">
                  <c:v>0.94924736666666654</c:v>
                </c:pt>
                <c:pt idx="35">
                  <c:v>0.94501022900000009</c:v>
                </c:pt>
                <c:pt idx="36">
                  <c:v>0.94045071999999996</c:v>
                </c:pt>
                <c:pt idx="37">
                  <c:v>0.93551596616666666</c:v>
                </c:pt>
                <c:pt idx="38">
                  <c:v>0.93017261566666665</c:v>
                </c:pt>
                <c:pt idx="39">
                  <c:v>0.92449580766666672</c:v>
                </c:pt>
                <c:pt idx="40">
                  <c:v>0.9184308756666667</c:v>
                </c:pt>
                <c:pt idx="41">
                  <c:v>0.91194075783333328</c:v>
                </c:pt>
                <c:pt idx="42">
                  <c:v>0.90504172516666659</c:v>
                </c:pt>
                <c:pt idx="43">
                  <c:v>0.89768970233333345</c:v>
                </c:pt>
                <c:pt idx="44">
                  <c:v>0.88985479233333342</c:v>
                </c:pt>
                <c:pt idx="45">
                  <c:v>0.8815523331666667</c:v>
                </c:pt>
                <c:pt idx="46">
                  <c:v>0.87275812916666673</c:v>
                </c:pt>
                <c:pt idx="47">
                  <c:v>0.86340441183333327</c:v>
                </c:pt>
                <c:pt idx="48">
                  <c:v>0.85334744866666645</c:v>
                </c:pt>
                <c:pt idx="49">
                  <c:v>0.84258716283333335</c:v>
                </c:pt>
                <c:pt idx="50">
                  <c:v>0.83092998150000008</c:v>
                </c:pt>
                <c:pt idx="51">
                  <c:v>0.81830326966666667</c:v>
                </c:pt>
                <c:pt idx="52">
                  <c:v>0.80459492083333328</c:v>
                </c:pt>
                <c:pt idx="53">
                  <c:v>0.7896790423333333</c:v>
                </c:pt>
                <c:pt idx="54">
                  <c:v>0.77362036483333341</c:v>
                </c:pt>
                <c:pt idx="55">
                  <c:v>0.75618670366666674</c:v>
                </c:pt>
                <c:pt idx="56">
                  <c:v>0.73746395333333348</c:v>
                </c:pt>
                <c:pt idx="57">
                  <c:v>0.71740190266666659</c:v>
                </c:pt>
                <c:pt idx="58">
                  <c:v>0.69580922499999998</c:v>
                </c:pt>
                <c:pt idx="59">
                  <c:v>0.67256204516666662</c:v>
                </c:pt>
                <c:pt idx="60">
                  <c:v>0.64752613866666664</c:v>
                </c:pt>
                <c:pt idx="61">
                  <c:v>0.62061897133333332</c:v>
                </c:pt>
                <c:pt idx="62">
                  <c:v>0.59191441766666675</c:v>
                </c:pt>
                <c:pt idx="63">
                  <c:v>0.56107444650000005</c:v>
                </c:pt>
                <c:pt idx="64">
                  <c:v>0.52843887016666669</c:v>
                </c:pt>
              </c:numCache>
            </c:numRef>
          </c:val>
          <c:smooth val="0"/>
          <c:extLst>
            <c:ext xmlns:c16="http://schemas.microsoft.com/office/drawing/2014/chart" uri="{C3380CC4-5D6E-409C-BE32-E72D297353CC}">
              <c16:uniqueId val="{00000000-2889-4F2D-88FA-73844F61FD37}"/>
            </c:ext>
          </c:extLst>
        </c:ser>
        <c:ser>
          <c:idx val="1"/>
          <c:order val="1"/>
          <c:tx>
            <c:strRef>
              <c:f>Analysis!$K$3:$K$4</c:f>
              <c:strCache>
                <c:ptCount val="1"/>
                <c:pt idx="0">
                  <c:v>M</c:v>
                </c:pt>
              </c:strCache>
            </c:strRef>
          </c:tx>
          <c:spPr>
            <a:ln w="28575" cap="rnd">
              <a:solidFill>
                <a:schemeClr val="accent2"/>
              </a:solidFill>
              <a:round/>
            </a:ln>
            <a:effectLst/>
          </c:spPr>
          <c:marker>
            <c:symbol val="none"/>
          </c:marker>
          <c:cat>
            <c:strRef>
              <c:f>Analysis!$I$5:$I$69</c:f>
              <c:strCache>
                <c:ptCount val="65"/>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pt idx="49">
                  <c:v>69</c:v>
                </c:pt>
                <c:pt idx="50">
                  <c:v>70</c:v>
                </c:pt>
                <c:pt idx="51">
                  <c:v>71</c:v>
                </c:pt>
                <c:pt idx="52">
                  <c:v>72</c:v>
                </c:pt>
                <c:pt idx="53">
                  <c:v>73</c:v>
                </c:pt>
                <c:pt idx="54">
                  <c:v>74</c:v>
                </c:pt>
                <c:pt idx="55">
                  <c:v>75</c:v>
                </c:pt>
                <c:pt idx="56">
                  <c:v>76</c:v>
                </c:pt>
                <c:pt idx="57">
                  <c:v>77</c:v>
                </c:pt>
                <c:pt idx="58">
                  <c:v>78</c:v>
                </c:pt>
                <c:pt idx="59">
                  <c:v>79</c:v>
                </c:pt>
                <c:pt idx="60">
                  <c:v>80</c:v>
                </c:pt>
                <c:pt idx="61">
                  <c:v>81</c:v>
                </c:pt>
                <c:pt idx="62">
                  <c:v>82</c:v>
                </c:pt>
                <c:pt idx="63">
                  <c:v>83</c:v>
                </c:pt>
                <c:pt idx="64">
                  <c:v>84</c:v>
                </c:pt>
              </c:strCache>
            </c:strRef>
          </c:cat>
          <c:val>
            <c:numRef>
              <c:f>Analysis!$K$5:$K$69</c:f>
              <c:numCache>
                <c:formatCode>General</c:formatCode>
                <c:ptCount val="65"/>
                <c:pt idx="0">
                  <c:v>1</c:v>
                </c:pt>
                <c:pt idx="1">
                  <c:v>0.99882146066666666</c:v>
                </c:pt>
                <c:pt idx="2">
                  <c:v>0.99747743483333329</c:v>
                </c:pt>
                <c:pt idx="3">
                  <c:v>0.99608151033333325</c:v>
                </c:pt>
                <c:pt idx="4">
                  <c:v>0.99463297049999999</c:v>
                </c:pt>
                <c:pt idx="5">
                  <c:v>0.9931199666666668</c:v>
                </c:pt>
                <c:pt idx="6">
                  <c:v>0.99155336616666656</c:v>
                </c:pt>
                <c:pt idx="7">
                  <c:v>0.98995650350000008</c:v>
                </c:pt>
                <c:pt idx="8">
                  <c:v>0.98827773583333334</c:v>
                </c:pt>
                <c:pt idx="9">
                  <c:v>0.98654206966666658</c:v>
                </c:pt>
                <c:pt idx="10">
                  <c:v>0.9847634913333333</c:v>
                </c:pt>
                <c:pt idx="11">
                  <c:v>0.98294053400000003</c:v>
                </c:pt>
                <c:pt idx="12">
                  <c:v>0.98106442900000002</c:v>
                </c:pt>
                <c:pt idx="13">
                  <c:v>0.97913262616666674</c:v>
                </c:pt>
                <c:pt idx="14">
                  <c:v>0.97714576450000001</c:v>
                </c:pt>
                <c:pt idx="15">
                  <c:v>0.97508529766666674</c:v>
                </c:pt>
                <c:pt idx="16">
                  <c:v>0.97297792783333337</c:v>
                </c:pt>
                <c:pt idx="17">
                  <c:v>0.97080629899999993</c:v>
                </c:pt>
                <c:pt idx="18">
                  <c:v>0.96854131066666671</c:v>
                </c:pt>
                <c:pt idx="19">
                  <c:v>0.96620939133333328</c:v>
                </c:pt>
                <c:pt idx="20">
                  <c:v>0.9637705316666666</c:v>
                </c:pt>
                <c:pt idx="21">
                  <c:v>0.96125654383333325</c:v>
                </c:pt>
                <c:pt idx="22">
                  <c:v>0.95864681483333325</c:v>
                </c:pt>
                <c:pt idx="23">
                  <c:v>0.95594747800000002</c:v>
                </c:pt>
                <c:pt idx="24">
                  <c:v>0.95309818283333347</c:v>
                </c:pt>
                <c:pt idx="25">
                  <c:v>0.95006408500000006</c:v>
                </c:pt>
                <c:pt idx="26">
                  <c:v>0.94683022650000004</c:v>
                </c:pt>
                <c:pt idx="27">
                  <c:v>0.94332832016666668</c:v>
                </c:pt>
                <c:pt idx="28">
                  <c:v>0.93958054516666678</c:v>
                </c:pt>
                <c:pt idx="29">
                  <c:v>0.93553093766666684</c:v>
                </c:pt>
                <c:pt idx="30">
                  <c:v>0.93112964466666659</c:v>
                </c:pt>
                <c:pt idx="31">
                  <c:v>0.92637054466666668</c:v>
                </c:pt>
                <c:pt idx="32">
                  <c:v>0.92117300516666667</c:v>
                </c:pt>
                <c:pt idx="33">
                  <c:v>0.9155131276666667</c:v>
                </c:pt>
                <c:pt idx="34">
                  <c:v>0.90938927333333319</c:v>
                </c:pt>
                <c:pt idx="35">
                  <c:v>0.90268334999999988</c:v>
                </c:pt>
                <c:pt idx="36">
                  <c:v>0.89544483800000008</c:v>
                </c:pt>
                <c:pt idx="37">
                  <c:v>0.88767024249999993</c:v>
                </c:pt>
                <c:pt idx="38">
                  <c:v>0.87928070450000007</c:v>
                </c:pt>
                <c:pt idx="39">
                  <c:v>0.87035525866666674</c:v>
                </c:pt>
                <c:pt idx="40">
                  <c:v>0.86076517283333331</c:v>
                </c:pt>
                <c:pt idx="41">
                  <c:v>0.85064071716666678</c:v>
                </c:pt>
                <c:pt idx="42">
                  <c:v>0.8397635828333333</c:v>
                </c:pt>
                <c:pt idx="43">
                  <c:v>0.82825929349999994</c:v>
                </c:pt>
                <c:pt idx="44">
                  <c:v>0.81598808749999996</c:v>
                </c:pt>
                <c:pt idx="45">
                  <c:v>0.80317961516666669</c:v>
                </c:pt>
                <c:pt idx="46">
                  <c:v>0.78980872350000009</c:v>
                </c:pt>
                <c:pt idx="47">
                  <c:v>0.77578750466666657</c:v>
                </c:pt>
                <c:pt idx="48">
                  <c:v>0.76116852700000004</c:v>
                </c:pt>
                <c:pt idx="49">
                  <c:v>0.74597253083333337</c:v>
                </c:pt>
                <c:pt idx="50">
                  <c:v>0.72987568849999995</c:v>
                </c:pt>
                <c:pt idx="51">
                  <c:v>0.71294194150000001</c:v>
                </c:pt>
                <c:pt idx="52">
                  <c:v>0.69487005049999995</c:v>
                </c:pt>
                <c:pt idx="53">
                  <c:v>0.67582625799999996</c:v>
                </c:pt>
                <c:pt idx="54">
                  <c:v>0.65561880733333344</c:v>
                </c:pt>
                <c:pt idx="55">
                  <c:v>0.63395903816666666</c:v>
                </c:pt>
                <c:pt idx="56">
                  <c:v>0.61123753483333332</c:v>
                </c:pt>
                <c:pt idx="57">
                  <c:v>0.58722056550000001</c:v>
                </c:pt>
                <c:pt idx="58">
                  <c:v>0.56190829016666666</c:v>
                </c:pt>
                <c:pt idx="59">
                  <c:v>0.535418332</c:v>
                </c:pt>
                <c:pt idx="60">
                  <c:v>0.50758191983333334</c:v>
                </c:pt>
                <c:pt idx="61">
                  <c:v>0.47848741600000005</c:v>
                </c:pt>
                <c:pt idx="62">
                  <c:v>0.4480927395</c:v>
                </c:pt>
                <c:pt idx="63">
                  <c:v>0.416615397</c:v>
                </c:pt>
                <c:pt idx="64">
                  <c:v>0.38411113449999995</c:v>
                </c:pt>
              </c:numCache>
            </c:numRef>
          </c:val>
          <c:smooth val="0"/>
          <c:extLst>
            <c:ext xmlns:c16="http://schemas.microsoft.com/office/drawing/2014/chart" uri="{C3380CC4-5D6E-409C-BE32-E72D297353CC}">
              <c16:uniqueId val="{00000001-2889-4F2D-88FA-73844F61FD37}"/>
            </c:ext>
          </c:extLst>
        </c:ser>
        <c:dLbls>
          <c:showLegendKey val="0"/>
          <c:showVal val="0"/>
          <c:showCatName val="0"/>
          <c:showSerName val="0"/>
          <c:showPercent val="0"/>
          <c:showBubbleSize val="0"/>
        </c:dLbls>
        <c:smooth val="0"/>
        <c:axId val="1731140911"/>
        <c:axId val="1731086191"/>
      </c:lineChart>
      <c:catAx>
        <c:axId val="1731140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1086191"/>
        <c:crosses val="autoZero"/>
        <c:auto val="1"/>
        <c:lblAlgn val="ctr"/>
        <c:lblOffset val="100"/>
        <c:tickLblSkip val="5"/>
        <c:noMultiLvlLbl val="0"/>
      </c:catAx>
      <c:valAx>
        <c:axId val="1731086191"/>
        <c:scaling>
          <c:orientation val="minMax"/>
          <c:max val="1"/>
          <c:min val="0.30000000000000004"/>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1140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[Mortality_Workbook.xlsx]Analysis!PivotTable3</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Life Expectancy </a:t>
            </a:r>
            <a:r>
              <a:rPr lang="en-US" baseline="0"/>
              <a:t>by Age and Sex</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Analysis!$N$3:$N$4</c:f>
              <c:strCache>
                <c:ptCount val="1"/>
                <c:pt idx="0">
                  <c:v>F</c:v>
                </c:pt>
              </c:strCache>
            </c:strRef>
          </c:tx>
          <c:spPr>
            <a:ln w="28575" cap="rnd">
              <a:solidFill>
                <a:schemeClr val="accent1"/>
              </a:solidFill>
              <a:round/>
            </a:ln>
            <a:effectLst/>
          </c:spPr>
          <c:marker>
            <c:symbol val="none"/>
          </c:marker>
          <c:cat>
            <c:strRef>
              <c:f>Analysis!$M$5:$M$69</c:f>
              <c:strCache>
                <c:ptCount val="65"/>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pt idx="49">
                  <c:v>69</c:v>
                </c:pt>
                <c:pt idx="50">
                  <c:v>70</c:v>
                </c:pt>
                <c:pt idx="51">
                  <c:v>71</c:v>
                </c:pt>
                <c:pt idx="52">
                  <c:v>72</c:v>
                </c:pt>
                <c:pt idx="53">
                  <c:v>73</c:v>
                </c:pt>
                <c:pt idx="54">
                  <c:v>74</c:v>
                </c:pt>
                <c:pt idx="55">
                  <c:v>75</c:v>
                </c:pt>
                <c:pt idx="56">
                  <c:v>76</c:v>
                </c:pt>
                <c:pt idx="57">
                  <c:v>77</c:v>
                </c:pt>
                <c:pt idx="58">
                  <c:v>78</c:v>
                </c:pt>
                <c:pt idx="59">
                  <c:v>79</c:v>
                </c:pt>
                <c:pt idx="60">
                  <c:v>80</c:v>
                </c:pt>
                <c:pt idx="61">
                  <c:v>81</c:v>
                </c:pt>
                <c:pt idx="62">
                  <c:v>82</c:v>
                </c:pt>
                <c:pt idx="63">
                  <c:v>83</c:v>
                </c:pt>
                <c:pt idx="64">
                  <c:v>84</c:v>
                </c:pt>
              </c:strCache>
            </c:strRef>
          </c:cat>
          <c:val>
            <c:numRef>
              <c:f>Analysis!$N$5:$N$69</c:f>
              <c:numCache>
                <c:formatCode>General</c:formatCode>
                <c:ptCount val="65"/>
                <c:pt idx="0">
                  <c:v>58.216124830000005</c:v>
                </c:pt>
                <c:pt idx="1">
                  <c:v>57.240849956666665</c:v>
                </c:pt>
                <c:pt idx="2">
                  <c:v>56.268189628333339</c:v>
                </c:pt>
                <c:pt idx="3">
                  <c:v>55.295839766666667</c:v>
                </c:pt>
                <c:pt idx="4">
                  <c:v>54.325696633333337</c:v>
                </c:pt>
                <c:pt idx="5">
                  <c:v>53.355594443333331</c:v>
                </c:pt>
                <c:pt idx="6">
                  <c:v>52.387588878333332</c:v>
                </c:pt>
                <c:pt idx="7">
                  <c:v>51.420235504999994</c:v>
                </c:pt>
                <c:pt idx="8">
                  <c:v>50.455319043333333</c:v>
                </c:pt>
                <c:pt idx="9">
                  <c:v>49.491728016666663</c:v>
                </c:pt>
                <c:pt idx="10">
                  <c:v>48.529376848333335</c:v>
                </c:pt>
                <c:pt idx="11">
                  <c:v>47.569563196666671</c:v>
                </c:pt>
                <c:pt idx="12">
                  <c:v>46.610877733333332</c:v>
                </c:pt>
                <c:pt idx="13">
                  <c:v>45.654657903333337</c:v>
                </c:pt>
                <c:pt idx="14">
                  <c:v>44.700233946666664</c:v>
                </c:pt>
                <c:pt idx="15">
                  <c:v>43.746078044999997</c:v>
                </c:pt>
                <c:pt idx="16">
                  <c:v>42.793624784999999</c:v>
                </c:pt>
                <c:pt idx="17">
                  <c:v>41.843206379999998</c:v>
                </c:pt>
                <c:pt idx="18">
                  <c:v>40.89423861833334</c:v>
                </c:pt>
                <c:pt idx="19">
                  <c:v>39.946908228333335</c:v>
                </c:pt>
                <c:pt idx="20">
                  <c:v>39.001802428333335</c:v>
                </c:pt>
                <c:pt idx="21">
                  <c:v>38.057896071666661</c:v>
                </c:pt>
                <c:pt idx="22">
                  <c:v>37.116382701666666</c:v>
                </c:pt>
                <c:pt idx="23">
                  <c:v>36.177057353333332</c:v>
                </c:pt>
                <c:pt idx="24">
                  <c:v>35.240964438333336</c:v>
                </c:pt>
                <c:pt idx="25">
                  <c:v>34.307181426666666</c:v>
                </c:pt>
                <c:pt idx="26">
                  <c:v>33.377627781666668</c:v>
                </c:pt>
                <c:pt idx="27">
                  <c:v>32.452509765000002</c:v>
                </c:pt>
                <c:pt idx="28">
                  <c:v>31.530394845</c:v>
                </c:pt>
                <c:pt idx="29">
                  <c:v>30.613107561666666</c:v>
                </c:pt>
                <c:pt idx="30">
                  <c:v>29.700494251666665</c:v>
                </c:pt>
                <c:pt idx="31">
                  <c:v>28.79318326666667</c:v>
                </c:pt>
                <c:pt idx="32">
                  <c:v>27.891531679999996</c:v>
                </c:pt>
                <c:pt idx="33">
                  <c:v>26.995103573333335</c:v>
                </c:pt>
                <c:pt idx="34">
                  <c:v>26.104276476666666</c:v>
                </c:pt>
                <c:pt idx="35">
                  <c:v>25.219053423333332</c:v>
                </c:pt>
                <c:pt idx="36">
                  <c:v>24.338877154999995</c:v>
                </c:pt>
                <c:pt idx="37">
                  <c:v>23.464603956666668</c:v>
                </c:pt>
                <c:pt idx="38">
                  <c:v>22.596497934999999</c:v>
                </c:pt>
                <c:pt idx="39">
                  <c:v>21.732156836666665</c:v>
                </c:pt>
                <c:pt idx="40">
                  <c:v>20.872337968333333</c:v>
                </c:pt>
                <c:pt idx="41">
                  <c:v>20.017302638333337</c:v>
                </c:pt>
                <c:pt idx="42">
                  <c:v>19.166059233333332</c:v>
                </c:pt>
                <c:pt idx="43">
                  <c:v>18.318915551666667</c:v>
                </c:pt>
                <c:pt idx="44">
                  <c:v>17.475791015000002</c:v>
                </c:pt>
                <c:pt idx="45">
                  <c:v>16.635660453333333</c:v>
                </c:pt>
                <c:pt idx="46">
                  <c:v>15.798246098333335</c:v>
                </c:pt>
                <c:pt idx="47">
                  <c:v>14.963980906666668</c:v>
                </c:pt>
                <c:pt idx="48">
                  <c:v>14.134448449999999</c:v>
                </c:pt>
                <c:pt idx="49">
                  <c:v>13.308584695</c:v>
                </c:pt>
                <c:pt idx="50">
                  <c:v>12.488285839999998</c:v>
                </c:pt>
                <c:pt idx="51">
                  <c:v>11.673286568333333</c:v>
                </c:pt>
                <c:pt idx="52">
                  <c:v>10.863680994999998</c:v>
                </c:pt>
                <c:pt idx="53">
                  <c:v>10.059471689833332</c:v>
                </c:pt>
                <c:pt idx="54">
                  <c:v>9.2579317068333342</c:v>
                </c:pt>
                <c:pt idx="55">
                  <c:v>8.459918562166667</c:v>
                </c:pt>
                <c:pt idx="56">
                  <c:v>7.6620657405000001</c:v>
                </c:pt>
                <c:pt idx="57">
                  <c:v>6.8624411366666669</c:v>
                </c:pt>
                <c:pt idx="58">
                  <c:v>6.0599728186666662</c:v>
                </c:pt>
                <c:pt idx="59">
                  <c:v>5.2522770763333329</c:v>
                </c:pt>
                <c:pt idx="60">
                  <c:v>4.436152563666667</c:v>
                </c:pt>
                <c:pt idx="61">
                  <c:v>3.6069407176666672</c:v>
                </c:pt>
                <c:pt idx="62">
                  <c:v>2.7577643164999999</c:v>
                </c:pt>
                <c:pt idx="63">
                  <c:v>1.8819981929999996</c:v>
                </c:pt>
                <c:pt idx="64">
                  <c:v>0.96745408333333327</c:v>
                </c:pt>
              </c:numCache>
            </c:numRef>
          </c:val>
          <c:smooth val="0"/>
          <c:extLst>
            <c:ext xmlns:c16="http://schemas.microsoft.com/office/drawing/2014/chart" uri="{C3380CC4-5D6E-409C-BE32-E72D297353CC}">
              <c16:uniqueId val="{00000000-46DB-4A09-8CD2-7775C7D99856}"/>
            </c:ext>
          </c:extLst>
        </c:ser>
        <c:ser>
          <c:idx val="1"/>
          <c:order val="1"/>
          <c:tx>
            <c:strRef>
              <c:f>Analysis!$O$3:$O$4</c:f>
              <c:strCache>
                <c:ptCount val="1"/>
                <c:pt idx="0">
                  <c:v>M</c:v>
                </c:pt>
              </c:strCache>
            </c:strRef>
          </c:tx>
          <c:spPr>
            <a:ln w="28575" cap="rnd">
              <a:solidFill>
                <a:schemeClr val="accent2"/>
              </a:solidFill>
              <a:round/>
            </a:ln>
            <a:effectLst/>
          </c:spPr>
          <c:marker>
            <c:symbol val="none"/>
          </c:marker>
          <c:cat>
            <c:strRef>
              <c:f>Analysis!$M$5:$M$69</c:f>
              <c:strCache>
                <c:ptCount val="65"/>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pt idx="49">
                  <c:v>69</c:v>
                </c:pt>
                <c:pt idx="50">
                  <c:v>70</c:v>
                </c:pt>
                <c:pt idx="51">
                  <c:v>71</c:v>
                </c:pt>
                <c:pt idx="52">
                  <c:v>72</c:v>
                </c:pt>
                <c:pt idx="53">
                  <c:v>73</c:v>
                </c:pt>
                <c:pt idx="54">
                  <c:v>74</c:v>
                </c:pt>
                <c:pt idx="55">
                  <c:v>75</c:v>
                </c:pt>
                <c:pt idx="56">
                  <c:v>76</c:v>
                </c:pt>
                <c:pt idx="57">
                  <c:v>77</c:v>
                </c:pt>
                <c:pt idx="58">
                  <c:v>78</c:v>
                </c:pt>
                <c:pt idx="59">
                  <c:v>79</c:v>
                </c:pt>
                <c:pt idx="60">
                  <c:v>80</c:v>
                </c:pt>
                <c:pt idx="61">
                  <c:v>81</c:v>
                </c:pt>
                <c:pt idx="62">
                  <c:v>82</c:v>
                </c:pt>
                <c:pt idx="63">
                  <c:v>83</c:v>
                </c:pt>
                <c:pt idx="64">
                  <c:v>84</c:v>
                </c:pt>
              </c:strCache>
            </c:strRef>
          </c:cat>
          <c:val>
            <c:numRef>
              <c:f>Analysis!$O$5:$O$69</c:f>
              <c:numCache>
                <c:formatCode>General</c:formatCode>
                <c:ptCount val="65"/>
                <c:pt idx="0">
                  <c:v>54.622642074999987</c:v>
                </c:pt>
                <c:pt idx="1">
                  <c:v>53.686454873333332</c:v>
                </c:pt>
                <c:pt idx="2">
                  <c:v>52.758062256666669</c:v>
                </c:pt>
                <c:pt idx="3">
                  <c:v>51.831244171666668</c:v>
                </c:pt>
                <c:pt idx="4">
                  <c:v>50.905942199999998</c:v>
                </c:pt>
                <c:pt idx="5">
                  <c:v>49.98267576333334</c:v>
                </c:pt>
                <c:pt idx="6">
                  <c:v>49.060795643333329</c:v>
                </c:pt>
                <c:pt idx="7">
                  <c:v>48.139062943333329</c:v>
                </c:pt>
                <c:pt idx="8">
                  <c:v>47.219915471666667</c:v>
                </c:pt>
                <c:pt idx="9">
                  <c:v>46.302037666666671</c:v>
                </c:pt>
                <c:pt idx="10">
                  <c:v>45.384676764999995</c:v>
                </c:pt>
                <c:pt idx="11">
                  <c:v>44.467823923333334</c:v>
                </c:pt>
                <c:pt idx="12">
                  <c:v>43.551798055000006</c:v>
                </c:pt>
                <c:pt idx="13">
                  <c:v>42.636645766666668</c:v>
                </c:pt>
                <c:pt idx="14">
                  <c:v>41.722222453333337</c:v>
                </c:pt>
                <c:pt idx="15">
                  <c:v>40.809234566666674</c:v>
                </c:pt>
                <c:pt idx="16">
                  <c:v>39.896453968333326</c:v>
                </c:pt>
                <c:pt idx="17">
                  <c:v>38.984481306666659</c:v>
                </c:pt>
                <c:pt idx="18">
                  <c:v>38.07437435166667</c:v>
                </c:pt>
                <c:pt idx="19">
                  <c:v>37.164967130000001</c:v>
                </c:pt>
                <c:pt idx="20">
                  <c:v>36.257634913333334</c:v>
                </c:pt>
                <c:pt idx="21">
                  <c:v>35.351059691666663</c:v>
                </c:pt>
                <c:pt idx="22">
                  <c:v>34.445829980000006</c:v>
                </c:pt>
                <c:pt idx="23">
                  <c:v>33.54159095</c:v>
                </c:pt>
                <c:pt idx="24">
                  <c:v>32.640278113333338</c:v>
                </c:pt>
                <c:pt idx="25">
                  <c:v>31.742835113333332</c:v>
                </c:pt>
                <c:pt idx="26">
                  <c:v>30.849477323333332</c:v>
                </c:pt>
                <c:pt idx="27">
                  <c:v>29.962068228333333</c:v>
                </c:pt>
                <c:pt idx="28">
                  <c:v>29.079506640000002</c:v>
                </c:pt>
                <c:pt idx="29">
                  <c:v>28.203131556666666</c:v>
                </c:pt>
                <c:pt idx="30">
                  <c:v>27.333997438333338</c:v>
                </c:pt>
                <c:pt idx="31">
                  <c:v>26.471789181666669</c:v>
                </c:pt>
                <c:pt idx="32">
                  <c:v>25.618263265</c:v>
                </c:pt>
                <c:pt idx="33">
                  <c:v>24.773479976666664</c:v>
                </c:pt>
                <c:pt idx="34">
                  <c:v>23.936869570000002</c:v>
                </c:pt>
                <c:pt idx="35">
                  <c:v>23.110914073333333</c:v>
                </c:pt>
                <c:pt idx="36">
                  <c:v>22.293642758333334</c:v>
                </c:pt>
                <c:pt idx="37">
                  <c:v>21.484461539999998</c:v>
                </c:pt>
                <c:pt idx="38">
                  <c:v>20.684632728333337</c:v>
                </c:pt>
                <c:pt idx="39">
                  <c:v>19.891577191666666</c:v>
                </c:pt>
                <c:pt idx="40">
                  <c:v>19.107583195</c:v>
                </c:pt>
                <c:pt idx="41">
                  <c:v>18.329025343333335</c:v>
                </c:pt>
                <c:pt idx="42">
                  <c:v>17.559936493333332</c:v>
                </c:pt>
                <c:pt idx="43">
                  <c:v>16.796888603333333</c:v>
                </c:pt>
                <c:pt idx="44">
                  <c:v>16.041976348333336</c:v>
                </c:pt>
                <c:pt idx="45">
                  <c:v>15.289861378333333</c:v>
                </c:pt>
                <c:pt idx="46">
                  <c:v>14.540297356666668</c:v>
                </c:pt>
                <c:pt idx="47">
                  <c:v>13.794141181666667</c:v>
                </c:pt>
                <c:pt idx="48">
                  <c:v>13.049582805</c:v>
                </c:pt>
                <c:pt idx="49">
                  <c:v>12.30539143</c:v>
                </c:pt>
                <c:pt idx="50">
                  <c:v>11.565892755</c:v>
                </c:pt>
                <c:pt idx="51">
                  <c:v>10.828904013333334</c:v>
                </c:pt>
                <c:pt idx="52">
                  <c:v>10.09770309</c:v>
                </c:pt>
                <c:pt idx="53">
                  <c:v>9.3683635379999988</c:v>
                </c:pt>
                <c:pt idx="54">
                  <c:v>8.6418481779999983</c:v>
                </c:pt>
                <c:pt idx="55">
                  <c:v>7.9203521950000004</c:v>
                </c:pt>
                <c:pt idx="56">
                  <c:v>7.1964303933333333</c:v>
                </c:pt>
                <c:pt idx="57">
                  <c:v>6.4706783236666672</c:v>
                </c:pt>
                <c:pt idx="58">
                  <c:v>5.7400037450000001</c:v>
                </c:pt>
                <c:pt idx="59">
                  <c:v>4.9997493926666667</c:v>
                </c:pt>
                <c:pt idx="60">
                  <c:v>4.2470114823333338</c:v>
                </c:pt>
                <c:pt idx="61">
                  <c:v>3.4753026158333338</c:v>
                </c:pt>
                <c:pt idx="62">
                  <c:v>2.6775552321666667</c:v>
                </c:pt>
                <c:pt idx="63">
                  <c:v>1.8424487771666669</c:v>
                </c:pt>
                <c:pt idx="64">
                  <c:v>0.95638716666666657</c:v>
                </c:pt>
              </c:numCache>
            </c:numRef>
          </c:val>
          <c:smooth val="0"/>
          <c:extLst>
            <c:ext xmlns:c16="http://schemas.microsoft.com/office/drawing/2014/chart" uri="{C3380CC4-5D6E-409C-BE32-E72D297353CC}">
              <c16:uniqueId val="{00000001-46DB-4A09-8CD2-7775C7D99856}"/>
            </c:ext>
          </c:extLst>
        </c:ser>
        <c:dLbls>
          <c:showLegendKey val="0"/>
          <c:showVal val="0"/>
          <c:showCatName val="0"/>
          <c:showSerName val="0"/>
          <c:showPercent val="0"/>
          <c:showBubbleSize val="0"/>
        </c:dLbls>
        <c:smooth val="0"/>
        <c:axId val="222885007"/>
        <c:axId val="222894127"/>
      </c:lineChart>
      <c:catAx>
        <c:axId val="222885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2894127"/>
        <c:crosses val="autoZero"/>
        <c:auto val="1"/>
        <c:lblAlgn val="ctr"/>
        <c:lblOffset val="100"/>
        <c:tickLblSkip val="5"/>
        <c:noMultiLvlLbl val="0"/>
      </c:catAx>
      <c:valAx>
        <c:axId val="222894127"/>
        <c:scaling>
          <c:orientation val="minMax"/>
          <c:max val="6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2885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[Mortality_Workbook.xlsx]Analysis!PivotTable2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Estimated</a:t>
            </a:r>
            <a:r>
              <a:rPr lang="en-US" baseline="0"/>
              <a:t> Mortality Rate by Age and Sex</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Analysis!$B$3:$B$4</c:f>
              <c:strCache>
                <c:ptCount val="1"/>
                <c:pt idx="0">
                  <c:v>F</c:v>
                </c:pt>
              </c:strCache>
            </c:strRef>
          </c:tx>
          <c:spPr>
            <a:ln w="28575" cap="rnd">
              <a:solidFill>
                <a:schemeClr val="accent1"/>
              </a:solidFill>
              <a:round/>
            </a:ln>
            <a:effectLst/>
          </c:spPr>
          <c:marker>
            <c:symbol val="none"/>
          </c:marker>
          <c:cat>
            <c:strRef>
              <c:f>Analysis!$A$5:$A$69</c:f>
              <c:strCache>
                <c:ptCount val="65"/>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pt idx="49">
                  <c:v>69</c:v>
                </c:pt>
                <c:pt idx="50">
                  <c:v>70</c:v>
                </c:pt>
                <c:pt idx="51">
                  <c:v>71</c:v>
                </c:pt>
                <c:pt idx="52">
                  <c:v>72</c:v>
                </c:pt>
                <c:pt idx="53">
                  <c:v>73</c:v>
                </c:pt>
                <c:pt idx="54">
                  <c:v>74</c:v>
                </c:pt>
                <c:pt idx="55">
                  <c:v>75</c:v>
                </c:pt>
                <c:pt idx="56">
                  <c:v>76</c:v>
                </c:pt>
                <c:pt idx="57">
                  <c:v>77</c:v>
                </c:pt>
                <c:pt idx="58">
                  <c:v>78</c:v>
                </c:pt>
                <c:pt idx="59">
                  <c:v>79</c:v>
                </c:pt>
                <c:pt idx="60">
                  <c:v>80</c:v>
                </c:pt>
                <c:pt idx="61">
                  <c:v>81</c:v>
                </c:pt>
                <c:pt idx="62">
                  <c:v>82</c:v>
                </c:pt>
                <c:pt idx="63">
                  <c:v>83</c:v>
                </c:pt>
                <c:pt idx="64">
                  <c:v>84</c:v>
                </c:pt>
              </c:strCache>
            </c:strRef>
          </c:cat>
          <c:val>
            <c:numRef>
              <c:f>Analysis!$B$5:$B$69</c:f>
              <c:numCache>
                <c:formatCode>General</c:formatCode>
                <c:ptCount val="65"/>
                <c:pt idx="0">
                  <c:v>4.2833333333333335E-4</c:v>
                </c:pt>
                <c:pt idx="1">
                  <c:v>4.818333333333333E-4</c:v>
                </c:pt>
                <c:pt idx="2">
                  <c:v>4.9583333333333337E-4</c:v>
                </c:pt>
                <c:pt idx="3">
                  <c:v>5.4483333333333326E-4</c:v>
                </c:pt>
                <c:pt idx="4">
                  <c:v>5.5533333333333335E-4</c:v>
                </c:pt>
                <c:pt idx="5">
                  <c:v>6.0516666666666672E-4</c:v>
                </c:pt>
                <c:pt idx="6">
                  <c:v>6.2899999999999989E-4</c:v>
                </c:pt>
                <c:pt idx="7">
                  <c:v>6.8883333333333329E-4</c:v>
                </c:pt>
                <c:pt idx="8">
                  <c:v>7.2866666666666663E-4</c:v>
                </c:pt>
                <c:pt idx="9">
                  <c:v>7.6833333333333343E-4</c:v>
                </c:pt>
                <c:pt idx="10">
                  <c:v>8.3633333333333335E-4</c:v>
                </c:pt>
                <c:pt idx="11">
                  <c:v>8.7733333333333337E-4</c:v>
                </c:pt>
                <c:pt idx="12">
                  <c:v>9.4916666666666673E-4</c:v>
                </c:pt>
                <c:pt idx="13">
                  <c:v>1.0088333333333334E-3</c:v>
                </c:pt>
                <c:pt idx="14">
                  <c:v>1.0369999999999999E-3</c:v>
                </c:pt>
                <c:pt idx="15">
                  <c:v>1.0988333333333334E-3</c:v>
                </c:pt>
                <c:pt idx="16">
                  <c:v>1.1713333333333333E-3</c:v>
                </c:pt>
                <c:pt idx="17">
                  <c:v>1.2335E-3</c:v>
                </c:pt>
                <c:pt idx="18">
                  <c:v>1.3030000000000001E-3</c:v>
                </c:pt>
                <c:pt idx="19">
                  <c:v>1.3905E-3</c:v>
                </c:pt>
                <c:pt idx="20">
                  <c:v>1.4555E-3</c:v>
                </c:pt>
                <c:pt idx="21">
                  <c:v>1.5560000000000001E-3</c:v>
                </c:pt>
                <c:pt idx="22">
                  <c:v>1.655E-3</c:v>
                </c:pt>
                <c:pt idx="23">
                  <c:v>1.7886666666666667E-3</c:v>
                </c:pt>
                <c:pt idx="24">
                  <c:v>1.9033333333333333E-3</c:v>
                </c:pt>
                <c:pt idx="25">
                  <c:v>2.0801666666666668E-3</c:v>
                </c:pt>
                <c:pt idx="26">
                  <c:v>2.2733333333333334E-3</c:v>
                </c:pt>
                <c:pt idx="27">
                  <c:v>2.4328333333333333E-3</c:v>
                </c:pt>
                <c:pt idx="28">
                  <c:v>2.6595E-3</c:v>
                </c:pt>
                <c:pt idx="29">
                  <c:v>2.894833333333333E-3</c:v>
                </c:pt>
                <c:pt idx="30">
                  <c:v>3.1653333333333338E-3</c:v>
                </c:pt>
                <c:pt idx="31">
                  <c:v>3.4653333333333329E-3</c:v>
                </c:pt>
                <c:pt idx="32">
                  <c:v>3.7683333333333336E-3</c:v>
                </c:pt>
                <c:pt idx="33">
                  <c:v>4.1050000000000001E-3</c:v>
                </c:pt>
                <c:pt idx="34">
                  <c:v>4.4643333333333332E-3</c:v>
                </c:pt>
                <c:pt idx="35">
                  <c:v>4.8256666666666665E-3</c:v>
                </c:pt>
                <c:pt idx="36">
                  <c:v>5.2480000000000001E-3</c:v>
                </c:pt>
                <c:pt idx="37">
                  <c:v>5.7128333333333337E-3</c:v>
                </c:pt>
                <c:pt idx="38">
                  <c:v>6.1039999999999992E-3</c:v>
                </c:pt>
                <c:pt idx="39">
                  <c:v>6.562000000000001E-3</c:v>
                </c:pt>
                <c:pt idx="40">
                  <c:v>7.068500000000001E-3</c:v>
                </c:pt>
                <c:pt idx="41">
                  <c:v>7.5674999999999987E-3</c:v>
                </c:pt>
                <c:pt idx="42">
                  <c:v>8.126166666666667E-3</c:v>
                </c:pt>
                <c:pt idx="43">
                  <c:v>8.7308333333333335E-3</c:v>
                </c:pt>
                <c:pt idx="44">
                  <c:v>9.3340000000000003E-3</c:v>
                </c:pt>
                <c:pt idx="45">
                  <c:v>9.9798333333333336E-3</c:v>
                </c:pt>
                <c:pt idx="46">
                  <c:v>1.0722000000000001E-2</c:v>
                </c:pt>
                <c:pt idx="47">
                  <c:v>1.1653166666666666E-2</c:v>
                </c:pt>
                <c:pt idx="48">
                  <c:v>1.2615833333333335E-2</c:v>
                </c:pt>
                <c:pt idx="49">
                  <c:v>1.3840666666666668E-2</c:v>
                </c:pt>
                <c:pt idx="50">
                  <c:v>1.5202E-2</c:v>
                </c:pt>
                <c:pt idx="51">
                  <c:v>1.6760500000000001E-2</c:v>
                </c:pt>
                <c:pt idx="52">
                  <c:v>1.8548166666666668E-2</c:v>
                </c:pt>
                <c:pt idx="53">
                  <c:v>2.0342166666666665E-2</c:v>
                </c:pt>
                <c:pt idx="54">
                  <c:v>2.2552666666666665E-2</c:v>
                </c:pt>
                <c:pt idx="55">
                  <c:v>2.4773166666666669E-2</c:v>
                </c:pt>
                <c:pt idx="56">
                  <c:v>2.7224666666666671E-2</c:v>
                </c:pt>
                <c:pt idx="57">
                  <c:v>3.0119666666666666E-2</c:v>
                </c:pt>
                <c:pt idx="58">
                  <c:v>3.3440499999999998E-2</c:v>
                </c:pt>
                <c:pt idx="59">
                  <c:v>3.725966666666667E-2</c:v>
                </c:pt>
                <c:pt idx="60">
                  <c:v>4.1592833333333329E-2</c:v>
                </c:pt>
                <c:pt idx="61">
                  <c:v>4.6303833333333329E-2</c:v>
                </c:pt>
                <c:pt idx="62">
                  <c:v>5.2160333333333329E-2</c:v>
                </c:pt>
                <c:pt idx="63">
                  <c:v>5.8236833333333328E-2</c:v>
                </c:pt>
                <c:pt idx="64">
                  <c:v>6.5091833333333335E-2</c:v>
                </c:pt>
              </c:numCache>
            </c:numRef>
          </c:val>
          <c:smooth val="0"/>
          <c:extLst>
            <c:ext xmlns:c16="http://schemas.microsoft.com/office/drawing/2014/chart" uri="{C3380CC4-5D6E-409C-BE32-E72D297353CC}">
              <c16:uniqueId val="{00000000-0515-410F-AD34-C56E7161D29D}"/>
            </c:ext>
          </c:extLst>
        </c:ser>
        <c:ser>
          <c:idx val="1"/>
          <c:order val="1"/>
          <c:tx>
            <c:strRef>
              <c:f>Analysis!$C$3:$C$4</c:f>
              <c:strCache>
                <c:ptCount val="1"/>
                <c:pt idx="0">
                  <c:v>M</c:v>
                </c:pt>
              </c:strCache>
            </c:strRef>
          </c:tx>
          <c:spPr>
            <a:ln w="28575" cap="rnd">
              <a:solidFill>
                <a:schemeClr val="accent2"/>
              </a:solidFill>
              <a:round/>
            </a:ln>
            <a:effectLst/>
          </c:spPr>
          <c:marker>
            <c:symbol val="none"/>
          </c:marker>
          <c:cat>
            <c:strRef>
              <c:f>Analysis!$A$5:$A$69</c:f>
              <c:strCache>
                <c:ptCount val="65"/>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pt idx="49">
                  <c:v>69</c:v>
                </c:pt>
                <c:pt idx="50">
                  <c:v>70</c:v>
                </c:pt>
                <c:pt idx="51">
                  <c:v>71</c:v>
                </c:pt>
                <c:pt idx="52">
                  <c:v>72</c:v>
                </c:pt>
                <c:pt idx="53">
                  <c:v>73</c:v>
                </c:pt>
                <c:pt idx="54">
                  <c:v>74</c:v>
                </c:pt>
                <c:pt idx="55">
                  <c:v>75</c:v>
                </c:pt>
                <c:pt idx="56">
                  <c:v>76</c:v>
                </c:pt>
                <c:pt idx="57">
                  <c:v>77</c:v>
                </c:pt>
                <c:pt idx="58">
                  <c:v>78</c:v>
                </c:pt>
                <c:pt idx="59">
                  <c:v>79</c:v>
                </c:pt>
                <c:pt idx="60">
                  <c:v>80</c:v>
                </c:pt>
                <c:pt idx="61">
                  <c:v>81</c:v>
                </c:pt>
                <c:pt idx="62">
                  <c:v>82</c:v>
                </c:pt>
                <c:pt idx="63">
                  <c:v>83</c:v>
                </c:pt>
                <c:pt idx="64">
                  <c:v>84</c:v>
                </c:pt>
              </c:strCache>
            </c:strRef>
          </c:cat>
          <c:val>
            <c:numRef>
              <c:f>Analysis!$C$5:$C$69</c:f>
              <c:numCache>
                <c:formatCode>General</c:formatCode>
                <c:ptCount val="65"/>
                <c:pt idx="0">
                  <c:v>1.1786666666666666E-3</c:v>
                </c:pt>
                <c:pt idx="1">
                  <c:v>1.3456666666666667E-3</c:v>
                </c:pt>
                <c:pt idx="2">
                  <c:v>1.3994999999999999E-3</c:v>
                </c:pt>
                <c:pt idx="3">
                  <c:v>1.4541666666666668E-3</c:v>
                </c:pt>
                <c:pt idx="4">
                  <c:v>1.5211666666666665E-3</c:v>
                </c:pt>
                <c:pt idx="5">
                  <c:v>1.5776666666666667E-3</c:v>
                </c:pt>
                <c:pt idx="6">
                  <c:v>1.6103333333333334E-3</c:v>
                </c:pt>
                <c:pt idx="7">
                  <c:v>1.6959999999999998E-3</c:v>
                </c:pt>
                <c:pt idx="8">
                  <c:v>1.7565E-3</c:v>
                </c:pt>
                <c:pt idx="9">
                  <c:v>1.8030000000000001E-3</c:v>
                </c:pt>
                <c:pt idx="10">
                  <c:v>1.8511666666666665E-3</c:v>
                </c:pt>
                <c:pt idx="11">
                  <c:v>1.9091666666666667E-3</c:v>
                </c:pt>
                <c:pt idx="12">
                  <c:v>1.9695000000000003E-3</c:v>
                </c:pt>
                <c:pt idx="13">
                  <c:v>2.0295000000000001E-3</c:v>
                </c:pt>
                <c:pt idx="14">
                  <c:v>2.1093333333333333E-3</c:v>
                </c:pt>
                <c:pt idx="15">
                  <c:v>2.1616666666666668E-3</c:v>
                </c:pt>
                <c:pt idx="16">
                  <c:v>2.2325000000000001E-3</c:v>
                </c:pt>
                <c:pt idx="17">
                  <c:v>2.3341666666666667E-3</c:v>
                </c:pt>
                <c:pt idx="18">
                  <c:v>2.4086666666666666E-3</c:v>
                </c:pt>
                <c:pt idx="19">
                  <c:v>2.525333333333333E-3</c:v>
                </c:pt>
                <c:pt idx="20">
                  <c:v>2.6098333333333334E-3</c:v>
                </c:pt>
                <c:pt idx="21">
                  <c:v>2.7163333333333332E-3</c:v>
                </c:pt>
                <c:pt idx="22">
                  <c:v>2.8173333333333336E-3</c:v>
                </c:pt>
                <c:pt idx="23">
                  <c:v>2.9823333333333334E-3</c:v>
                </c:pt>
                <c:pt idx="24">
                  <c:v>3.1849999999999999E-3</c:v>
                </c:pt>
                <c:pt idx="25">
                  <c:v>3.4056666666666667E-3</c:v>
                </c:pt>
                <c:pt idx="26">
                  <c:v>3.7003333333333333E-3</c:v>
                </c:pt>
                <c:pt idx="27">
                  <c:v>3.9755000000000007E-3</c:v>
                </c:pt>
                <c:pt idx="28">
                  <c:v>4.3126666666666669E-3</c:v>
                </c:pt>
                <c:pt idx="29">
                  <c:v>4.7073333333333333E-3</c:v>
                </c:pt>
                <c:pt idx="30">
                  <c:v>5.1138333333333339E-3</c:v>
                </c:pt>
                <c:pt idx="31">
                  <c:v>5.6136666666666661E-3</c:v>
                </c:pt>
                <c:pt idx="32">
                  <c:v>6.1476666666666659E-3</c:v>
                </c:pt>
                <c:pt idx="33">
                  <c:v>6.6926666666666662E-3</c:v>
                </c:pt>
                <c:pt idx="34">
                  <c:v>7.3781666666666674E-3</c:v>
                </c:pt>
                <c:pt idx="35">
                  <c:v>8.0233333333333337E-3</c:v>
                </c:pt>
                <c:pt idx="36">
                  <c:v>8.6881666666666652E-3</c:v>
                </c:pt>
                <c:pt idx="37">
                  <c:v>9.4568333333333327E-3</c:v>
                </c:pt>
                <c:pt idx="38">
                  <c:v>1.0157833333333333E-2</c:v>
                </c:pt>
                <c:pt idx="39">
                  <c:v>1.1026833333333333E-2</c:v>
                </c:pt>
                <c:pt idx="40">
                  <c:v>1.1771166666666666E-2</c:v>
                </c:pt>
                <c:pt idx="41">
                  <c:v>1.2798833333333334E-2</c:v>
                </c:pt>
                <c:pt idx="42">
                  <c:v>1.3711666666666669E-2</c:v>
                </c:pt>
                <c:pt idx="43">
                  <c:v>1.4830499999999998E-2</c:v>
                </c:pt>
                <c:pt idx="44">
                  <c:v>1.5714333333333334E-2</c:v>
                </c:pt>
                <c:pt idx="45">
                  <c:v>1.6664833333333334E-2</c:v>
                </c:pt>
                <c:pt idx="46">
                  <c:v>1.7775666666666665E-2</c:v>
                </c:pt>
                <c:pt idx="47">
                  <c:v>1.8869499999999997E-2</c:v>
                </c:pt>
                <c:pt idx="48">
                  <c:v>1.9995333333333334E-2</c:v>
                </c:pt>
                <c:pt idx="49">
                  <c:v>2.160833333333333E-2</c:v>
                </c:pt>
                <c:pt idx="50">
                  <c:v>2.3233333333333332E-2</c:v>
                </c:pt>
                <c:pt idx="51">
                  <c:v>2.5381833333333336E-2</c:v>
                </c:pt>
                <c:pt idx="52">
                  <c:v>2.7446166666666671E-2</c:v>
                </c:pt>
                <c:pt idx="53">
                  <c:v>2.9928666666666669E-2</c:v>
                </c:pt>
                <c:pt idx="54">
                  <c:v>3.3101333333333337E-2</c:v>
                </c:pt>
                <c:pt idx="55">
                  <c:v>3.5888999999999997E-2</c:v>
                </c:pt>
                <c:pt idx="56">
                  <c:v>3.9368333333333332E-2</c:v>
                </c:pt>
                <c:pt idx="57">
                  <c:v>4.3183666666666669E-2</c:v>
                </c:pt>
                <c:pt idx="58">
                  <c:v>4.7255500000000006E-2</c:v>
                </c:pt>
                <c:pt idx="59">
                  <c:v>5.2110666666666666E-2</c:v>
                </c:pt>
                <c:pt idx="60">
                  <c:v>5.7446166666666659E-2</c:v>
                </c:pt>
                <c:pt idx="61">
                  <c:v>6.3666500000000001E-2</c:v>
                </c:pt>
                <c:pt idx="62">
                  <c:v>7.0405333333333334E-2</c:v>
                </c:pt>
                <c:pt idx="63">
                  <c:v>7.8240000000000018E-2</c:v>
                </c:pt>
                <c:pt idx="64">
                  <c:v>8.722566666666666E-2</c:v>
                </c:pt>
              </c:numCache>
            </c:numRef>
          </c:val>
          <c:smooth val="0"/>
          <c:extLst>
            <c:ext xmlns:c16="http://schemas.microsoft.com/office/drawing/2014/chart" uri="{C3380CC4-5D6E-409C-BE32-E72D297353CC}">
              <c16:uniqueId val="{00000001-0515-410F-AD34-C56E7161D29D}"/>
            </c:ext>
          </c:extLst>
        </c:ser>
        <c:dLbls>
          <c:showLegendKey val="0"/>
          <c:showVal val="0"/>
          <c:showCatName val="0"/>
          <c:showSerName val="0"/>
          <c:showPercent val="0"/>
          <c:showBubbleSize val="0"/>
        </c:dLbls>
        <c:smooth val="0"/>
        <c:axId val="95897184"/>
        <c:axId val="95911104"/>
      </c:lineChart>
      <c:catAx>
        <c:axId val="95897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911104"/>
        <c:crosses val="autoZero"/>
        <c:auto val="1"/>
        <c:lblAlgn val="ctr"/>
        <c:lblOffset val="100"/>
        <c:tickLblSkip val="5"/>
        <c:noMultiLvlLbl val="0"/>
      </c:catAx>
      <c:valAx>
        <c:axId val="95911104"/>
        <c:scaling>
          <c:orientation val="minMax"/>
          <c:max val="9.0000000000000024E-2"/>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97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Percent</a:t>
            </a:r>
            <a:r>
              <a:rPr lang="en-US" baseline="0"/>
              <a:t> Increases from Previous Year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2016</c:v>
          </c:tx>
          <c:spPr>
            <a:ln w="28575" cap="rnd">
              <a:solidFill>
                <a:schemeClr val="accent1"/>
              </a:solidFill>
              <a:round/>
            </a:ln>
            <a:effectLst/>
          </c:spPr>
          <c:marker>
            <c:symbol val="none"/>
          </c:marker>
          <c:cat>
            <c:numRef>
              <c:f>Improvement!$A$72:$A$136</c:f>
              <c:numCache>
                <c:formatCode>General</c:formatCode>
                <c:ptCount val="65"/>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pt idx="49">
                  <c:v>69</c:v>
                </c:pt>
                <c:pt idx="50">
                  <c:v>70</c:v>
                </c:pt>
                <c:pt idx="51">
                  <c:v>71</c:v>
                </c:pt>
                <c:pt idx="52">
                  <c:v>72</c:v>
                </c:pt>
                <c:pt idx="53">
                  <c:v>73</c:v>
                </c:pt>
                <c:pt idx="54">
                  <c:v>74</c:v>
                </c:pt>
                <c:pt idx="55">
                  <c:v>75</c:v>
                </c:pt>
                <c:pt idx="56">
                  <c:v>76</c:v>
                </c:pt>
                <c:pt idx="57">
                  <c:v>77</c:v>
                </c:pt>
                <c:pt idx="58">
                  <c:v>78</c:v>
                </c:pt>
                <c:pt idx="59">
                  <c:v>79</c:v>
                </c:pt>
                <c:pt idx="60">
                  <c:v>80</c:v>
                </c:pt>
                <c:pt idx="61">
                  <c:v>81</c:v>
                </c:pt>
                <c:pt idx="62">
                  <c:v>82</c:v>
                </c:pt>
                <c:pt idx="63">
                  <c:v>83</c:v>
                </c:pt>
                <c:pt idx="64">
                  <c:v>84</c:v>
                </c:pt>
              </c:numCache>
            </c:numRef>
          </c:cat>
          <c:val>
            <c:numRef>
              <c:f>Improvement!$B$72:$B$136</c:f>
              <c:numCache>
                <c:formatCode>0.00%</c:formatCode>
                <c:ptCount val="65"/>
                <c:pt idx="0">
                  <c:v>5.9662775616083054E-2</c:v>
                </c:pt>
                <c:pt idx="1">
                  <c:v>0.10428736964078784</c:v>
                </c:pt>
                <c:pt idx="2">
                  <c:v>6.6521264994547399E-2</c:v>
                </c:pt>
                <c:pt idx="3">
                  <c:v>0.11146838156484451</c:v>
                </c:pt>
                <c:pt idx="4">
                  <c:v>9.4650205761316941E-2</c:v>
                </c:pt>
                <c:pt idx="5">
                  <c:v>0.10735586481113323</c:v>
                </c:pt>
                <c:pt idx="6">
                  <c:v>0.10767696909272186</c:v>
                </c:pt>
                <c:pt idx="7">
                  <c:v>0.12277413308341147</c:v>
                </c:pt>
                <c:pt idx="8">
                  <c:v>0.15533088235294126</c:v>
                </c:pt>
                <c:pt idx="9">
                  <c:v>6.5348237317282981E-2</c:v>
                </c:pt>
                <c:pt idx="10">
                  <c:v>0.11937716262975788</c:v>
                </c:pt>
                <c:pt idx="11">
                  <c:v>9.7621000820344514E-2</c:v>
                </c:pt>
                <c:pt idx="12">
                  <c:v>0.11197511664074652</c:v>
                </c:pt>
                <c:pt idx="13">
                  <c:v>8.2956259426847714E-2</c:v>
                </c:pt>
                <c:pt idx="14">
                  <c:v>9.5959595959595856E-2</c:v>
                </c:pt>
                <c:pt idx="15">
                  <c:v>0.13659237958303366</c:v>
                </c:pt>
                <c:pt idx="16">
                  <c:v>6.569343065693424E-2</c:v>
                </c:pt>
                <c:pt idx="17">
                  <c:v>0.10492227979274614</c:v>
                </c:pt>
                <c:pt idx="18">
                  <c:v>0.10334158415841586</c:v>
                </c:pt>
                <c:pt idx="19">
                  <c:v>9.6349491322561417E-2</c:v>
                </c:pt>
                <c:pt idx="20">
                  <c:v>0.10086956521739136</c:v>
                </c:pt>
                <c:pt idx="21">
                  <c:v>2.5144054478784632E-2</c:v>
                </c:pt>
                <c:pt idx="22">
                  <c:v>1.45067698259188E-2</c:v>
                </c:pt>
                <c:pt idx="23">
                  <c:v>8.4870848708487157E-2</c:v>
                </c:pt>
                <c:pt idx="24">
                  <c:v>2.9166666666666747E-2</c:v>
                </c:pt>
                <c:pt idx="25">
                  <c:v>5.8940661091198596E-2</c:v>
                </c:pt>
                <c:pt idx="26">
                  <c:v>-2.4700070571630423E-3</c:v>
                </c:pt>
                <c:pt idx="27">
                  <c:v>1.7886717456111371E-2</c:v>
                </c:pt>
                <c:pt idx="28">
                  <c:v>7.7174235678242747E-3</c:v>
                </c:pt>
                <c:pt idx="29">
                  <c:v>4.2780748663101484E-3</c:v>
                </c:pt>
                <c:pt idx="30">
                  <c:v>1.6300321066930128E-2</c:v>
                </c:pt>
                <c:pt idx="31">
                  <c:v>-1.7009847806624817E-2</c:v>
                </c:pt>
                <c:pt idx="32">
                  <c:v>-1.2234910277326256E-3</c:v>
                </c:pt>
                <c:pt idx="33">
                  <c:v>-7.4377091855702183E-4</c:v>
                </c:pt>
                <c:pt idx="34">
                  <c:v>6.1738981306807706E-3</c:v>
                </c:pt>
                <c:pt idx="35">
                  <c:v>3.3609352167559621E-2</c:v>
                </c:pt>
                <c:pt idx="36">
                  <c:v>-2.1513244548514499E-2</c:v>
                </c:pt>
                <c:pt idx="37">
                  <c:v>7.8548212351029108E-3</c:v>
                </c:pt>
                <c:pt idx="38">
                  <c:v>5.8501844079866675E-3</c:v>
                </c:pt>
                <c:pt idx="39">
                  <c:v>1.1461656622946929E-2</c:v>
                </c:pt>
                <c:pt idx="40">
                  <c:v>2.9104393752106841E-2</c:v>
                </c:pt>
                <c:pt idx="41">
                  <c:v>3.3098882912702501E-3</c:v>
                </c:pt>
                <c:pt idx="42">
                  <c:v>7.9463858305409037E-3</c:v>
                </c:pt>
                <c:pt idx="43">
                  <c:v>-1.6094986807387787E-2</c:v>
                </c:pt>
                <c:pt idx="44">
                  <c:v>1.9946137013970657E-2</c:v>
                </c:pt>
                <c:pt idx="45">
                  <c:v>1.5709298635353738E-2</c:v>
                </c:pt>
                <c:pt idx="46">
                  <c:v>-1.6987625393571158E-2</c:v>
                </c:pt>
                <c:pt idx="47">
                  <c:v>-2.1787975760877497E-3</c:v>
                </c:pt>
                <c:pt idx="48">
                  <c:v>3.1818478189997966E-2</c:v>
                </c:pt>
                <c:pt idx="49">
                  <c:v>-6.0485229697854553E-2</c:v>
                </c:pt>
                <c:pt idx="50">
                  <c:v>1.0748111099286863E-2</c:v>
                </c:pt>
                <c:pt idx="51">
                  <c:v>-3.2454844397845919E-2</c:v>
                </c:pt>
                <c:pt idx="52">
                  <c:v>-9.7509086073919494E-4</c:v>
                </c:pt>
                <c:pt idx="53">
                  <c:v>-2.3735893007751363E-2</c:v>
                </c:pt>
                <c:pt idx="54">
                  <c:v>-1.2596324836988482E-3</c:v>
                </c:pt>
                <c:pt idx="55">
                  <c:v>4.6997565593723542E-3</c:v>
                </c:pt>
                <c:pt idx="56">
                  <c:v>-2.5926949897090823E-2</c:v>
                </c:pt>
                <c:pt idx="57">
                  <c:v>-8.3035115186758744E-3</c:v>
                </c:pt>
                <c:pt idx="58">
                  <c:v>-2.5217325189446634E-2</c:v>
                </c:pt>
                <c:pt idx="59">
                  <c:v>-1.2528343372804078E-2</c:v>
                </c:pt>
                <c:pt idx="60">
                  <c:v>-9.9939994620206786E-3</c:v>
                </c:pt>
                <c:pt idx="61">
                  <c:v>-3.6298709665543862E-2</c:v>
                </c:pt>
                <c:pt idx="62">
                  <c:v>-1.6139498510840063E-2</c:v>
                </c:pt>
                <c:pt idx="63">
                  <c:v>-2.9892853927188805E-2</c:v>
                </c:pt>
                <c:pt idx="64">
                  <c:v>-2.674423302225995E-2</c:v>
                </c:pt>
              </c:numCache>
            </c:numRef>
          </c:val>
          <c:smooth val="0"/>
          <c:extLst>
            <c:ext xmlns:c16="http://schemas.microsoft.com/office/drawing/2014/chart" uri="{C3380CC4-5D6E-409C-BE32-E72D297353CC}">
              <c16:uniqueId val="{00000000-6F48-4B81-8A42-252F1A47E2AD}"/>
            </c:ext>
          </c:extLst>
        </c:ser>
        <c:ser>
          <c:idx val="1"/>
          <c:order val="1"/>
          <c:tx>
            <c:v>2017</c:v>
          </c:tx>
          <c:spPr>
            <a:ln w="28575" cap="rnd">
              <a:solidFill>
                <a:schemeClr val="accent2"/>
              </a:solidFill>
              <a:round/>
            </a:ln>
            <a:effectLst/>
          </c:spPr>
          <c:marker>
            <c:symbol val="none"/>
          </c:marker>
          <c:cat>
            <c:numRef>
              <c:f>Improvement!$A$72:$A$136</c:f>
              <c:numCache>
                <c:formatCode>General</c:formatCode>
                <c:ptCount val="65"/>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pt idx="49">
                  <c:v>69</c:v>
                </c:pt>
                <c:pt idx="50">
                  <c:v>70</c:v>
                </c:pt>
                <c:pt idx="51">
                  <c:v>71</c:v>
                </c:pt>
                <c:pt idx="52">
                  <c:v>72</c:v>
                </c:pt>
                <c:pt idx="53">
                  <c:v>73</c:v>
                </c:pt>
                <c:pt idx="54">
                  <c:v>74</c:v>
                </c:pt>
                <c:pt idx="55">
                  <c:v>75</c:v>
                </c:pt>
                <c:pt idx="56">
                  <c:v>76</c:v>
                </c:pt>
                <c:pt idx="57">
                  <c:v>77</c:v>
                </c:pt>
                <c:pt idx="58">
                  <c:v>78</c:v>
                </c:pt>
                <c:pt idx="59">
                  <c:v>79</c:v>
                </c:pt>
                <c:pt idx="60">
                  <c:v>80</c:v>
                </c:pt>
                <c:pt idx="61">
                  <c:v>81</c:v>
                </c:pt>
                <c:pt idx="62">
                  <c:v>82</c:v>
                </c:pt>
                <c:pt idx="63">
                  <c:v>83</c:v>
                </c:pt>
                <c:pt idx="64">
                  <c:v>84</c:v>
                </c:pt>
              </c:numCache>
            </c:numRef>
          </c:cat>
          <c:val>
            <c:numRef>
              <c:f>Improvement!$C$72:$C$136</c:f>
              <c:numCache>
                <c:formatCode>0.00%</c:formatCode>
                <c:ptCount val="65"/>
                <c:pt idx="0">
                  <c:v>1.2239902080783386E-2</c:v>
                </c:pt>
                <c:pt idx="1">
                  <c:v>-5.4564533053515177E-2</c:v>
                </c:pt>
                <c:pt idx="2">
                  <c:v>-2.760736196319008E-2</c:v>
                </c:pt>
                <c:pt idx="3">
                  <c:v>-1.9286403085824546E-2</c:v>
                </c:pt>
                <c:pt idx="4">
                  <c:v>6.5789473684209065E-3</c:v>
                </c:pt>
                <c:pt idx="5">
                  <c:v>3.590664272890572E-3</c:v>
                </c:pt>
                <c:pt idx="6">
                  <c:v>3.510351035103508E-2</c:v>
                </c:pt>
                <c:pt idx="7">
                  <c:v>1.4190317195325434E-2</c:v>
                </c:pt>
                <c:pt idx="8">
                  <c:v>2.3866348448687239E-2</c:v>
                </c:pt>
                <c:pt idx="9">
                  <c:v>3.7933817594834503E-2</c:v>
                </c:pt>
                <c:pt idx="10">
                  <c:v>1.9319938176197888E-2</c:v>
                </c:pt>
                <c:pt idx="11">
                  <c:v>4.035874439461884E-2</c:v>
                </c:pt>
                <c:pt idx="12">
                  <c:v>1.398601398601387E-2</c:v>
                </c:pt>
                <c:pt idx="13">
                  <c:v>6.8941504178272925E-2</c:v>
                </c:pt>
                <c:pt idx="14">
                  <c:v>3.6208031599736762E-2</c:v>
                </c:pt>
                <c:pt idx="15">
                  <c:v>2.0872865275142344E-2</c:v>
                </c:pt>
                <c:pt idx="16">
                  <c:v>4.9190535491905406E-2</c:v>
                </c:pt>
                <c:pt idx="17">
                  <c:v>1.1137162954278967E-2</c:v>
                </c:pt>
                <c:pt idx="18">
                  <c:v>5.6085249579355912E-4</c:v>
                </c:pt>
                <c:pt idx="19">
                  <c:v>3.4388646288209555E-2</c:v>
                </c:pt>
                <c:pt idx="20">
                  <c:v>5.1079515534491762E-2</c:v>
                </c:pt>
                <c:pt idx="21">
                  <c:v>5.4675523760858401E-2</c:v>
                </c:pt>
                <c:pt idx="22">
                  <c:v>1.6682554814108616E-2</c:v>
                </c:pt>
                <c:pt idx="23">
                  <c:v>-2.0408163265306065E-2</c:v>
                </c:pt>
                <c:pt idx="24">
                  <c:v>-1.781376518218614E-2</c:v>
                </c:pt>
                <c:pt idx="25">
                  <c:v>1.203459947348624E-2</c:v>
                </c:pt>
                <c:pt idx="26">
                  <c:v>2.6883622214361552E-2</c:v>
                </c:pt>
                <c:pt idx="27">
                  <c:v>7.4845427920597401E-3</c:v>
                </c:pt>
                <c:pt idx="28">
                  <c:v>-1.1782032400589133E-2</c:v>
                </c:pt>
                <c:pt idx="29">
                  <c:v>-3.2481363152289597E-2</c:v>
                </c:pt>
                <c:pt idx="30">
                  <c:v>-1.4823815309841903E-2</c:v>
                </c:pt>
                <c:pt idx="31">
                  <c:v>2.1857923497267697E-2</c:v>
                </c:pt>
                <c:pt idx="32">
                  <c:v>-3.0216414863209414E-2</c:v>
                </c:pt>
                <c:pt idx="33">
                  <c:v>-2.3260141421659861E-2</c:v>
                </c:pt>
                <c:pt idx="34">
                  <c:v>-1.8237600136355798E-2</c:v>
                </c:pt>
                <c:pt idx="35">
                  <c:v>-4.8696198554822141E-3</c:v>
                </c:pt>
                <c:pt idx="36">
                  <c:v>1.4358360753813899E-2</c:v>
                </c:pt>
                <c:pt idx="37">
                  <c:v>-2.2037086804622425E-2</c:v>
                </c:pt>
                <c:pt idx="38">
                  <c:v>3.4138323429006175E-3</c:v>
                </c:pt>
                <c:pt idx="39">
                  <c:v>-1.9859813084111746E-3</c:v>
                </c:pt>
                <c:pt idx="40">
                  <c:v>3.385018563004999E-3</c:v>
                </c:pt>
                <c:pt idx="41">
                  <c:v>1.3195876288659756E-2</c:v>
                </c:pt>
                <c:pt idx="42">
                  <c:v>-1.8427051671732499E-2</c:v>
                </c:pt>
                <c:pt idx="43">
                  <c:v>1.0458567980691788E-2</c:v>
                </c:pt>
                <c:pt idx="44">
                  <c:v>-2.392936710949708E-3</c:v>
                </c:pt>
                <c:pt idx="45">
                  <c:v>1.0310888923605701E-2</c:v>
                </c:pt>
                <c:pt idx="46">
                  <c:v>1.1545623836126676E-2</c:v>
                </c:pt>
                <c:pt idx="47">
                  <c:v>-1.2623677925622613E-2</c:v>
                </c:pt>
                <c:pt idx="48">
                  <c:v>-1.1374407582936611E-3</c:v>
                </c:pt>
                <c:pt idx="49">
                  <c:v>2.6720066949608431E-2</c:v>
                </c:pt>
                <c:pt idx="50">
                  <c:v>-4.8957675300063189E-2</c:v>
                </c:pt>
                <c:pt idx="51">
                  <c:v>2.0983154369027646E-2</c:v>
                </c:pt>
                <c:pt idx="52">
                  <c:v>-2.0230700976042657E-2</c:v>
                </c:pt>
                <c:pt idx="53">
                  <c:v>1.0942899456968852E-2</c:v>
                </c:pt>
                <c:pt idx="54">
                  <c:v>-1.2426737888567345E-2</c:v>
                </c:pt>
                <c:pt idx="55">
                  <c:v>-1.4100622581187928E-2</c:v>
                </c:pt>
                <c:pt idx="56">
                  <c:v>1.2835472578763052E-2</c:v>
                </c:pt>
                <c:pt idx="57">
                  <c:v>-1.4067830058357515E-2</c:v>
                </c:pt>
                <c:pt idx="58">
                  <c:v>1.4247829026051683E-2</c:v>
                </c:pt>
                <c:pt idx="59">
                  <c:v>-3.108039152015637E-3</c:v>
                </c:pt>
                <c:pt idx="60">
                  <c:v>9.6141788237255848E-4</c:v>
                </c:pt>
                <c:pt idx="61">
                  <c:v>7.2581415337598775E-3</c:v>
                </c:pt>
                <c:pt idx="62">
                  <c:v>-9.2675584718675454E-3</c:v>
                </c:pt>
                <c:pt idx="63">
                  <c:v>2.6157844259505587E-2</c:v>
                </c:pt>
                <c:pt idx="64">
                  <c:v>1.3947117180689814E-2</c:v>
                </c:pt>
              </c:numCache>
            </c:numRef>
          </c:val>
          <c:smooth val="0"/>
          <c:extLst>
            <c:ext xmlns:c16="http://schemas.microsoft.com/office/drawing/2014/chart" uri="{C3380CC4-5D6E-409C-BE32-E72D297353CC}">
              <c16:uniqueId val="{00000001-6F48-4B81-8A42-252F1A47E2AD}"/>
            </c:ext>
          </c:extLst>
        </c:ser>
        <c:ser>
          <c:idx val="2"/>
          <c:order val="2"/>
          <c:tx>
            <c:v>2018</c:v>
          </c:tx>
          <c:spPr>
            <a:ln w="28575" cap="rnd">
              <a:solidFill>
                <a:schemeClr val="accent3"/>
              </a:solidFill>
              <a:round/>
            </a:ln>
            <a:effectLst/>
          </c:spPr>
          <c:marker>
            <c:symbol val="none"/>
          </c:marker>
          <c:cat>
            <c:numRef>
              <c:f>Improvement!$A$72:$A$136</c:f>
              <c:numCache>
                <c:formatCode>General</c:formatCode>
                <c:ptCount val="65"/>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pt idx="49">
                  <c:v>69</c:v>
                </c:pt>
                <c:pt idx="50">
                  <c:v>70</c:v>
                </c:pt>
                <c:pt idx="51">
                  <c:v>71</c:v>
                </c:pt>
                <c:pt idx="52">
                  <c:v>72</c:v>
                </c:pt>
                <c:pt idx="53">
                  <c:v>73</c:v>
                </c:pt>
                <c:pt idx="54">
                  <c:v>74</c:v>
                </c:pt>
                <c:pt idx="55">
                  <c:v>75</c:v>
                </c:pt>
                <c:pt idx="56">
                  <c:v>76</c:v>
                </c:pt>
                <c:pt idx="57">
                  <c:v>77</c:v>
                </c:pt>
                <c:pt idx="58">
                  <c:v>78</c:v>
                </c:pt>
                <c:pt idx="59">
                  <c:v>79</c:v>
                </c:pt>
                <c:pt idx="60">
                  <c:v>80</c:v>
                </c:pt>
                <c:pt idx="61">
                  <c:v>81</c:v>
                </c:pt>
                <c:pt idx="62">
                  <c:v>82</c:v>
                </c:pt>
                <c:pt idx="63">
                  <c:v>83</c:v>
                </c:pt>
                <c:pt idx="64">
                  <c:v>84</c:v>
                </c:pt>
              </c:numCache>
            </c:numRef>
          </c:cat>
          <c:val>
            <c:numRef>
              <c:f>Improvement!$D$72:$D$136</c:f>
              <c:numCache>
                <c:formatCode>0.00%</c:formatCode>
                <c:ptCount val="65"/>
                <c:pt idx="0">
                  <c:v>-7.3760580411124627E-2</c:v>
                </c:pt>
                <c:pt idx="1">
                  <c:v>-3.7735849056603731E-2</c:v>
                </c:pt>
                <c:pt idx="2">
                  <c:v>-3.8906414300736103E-2</c:v>
                </c:pt>
                <c:pt idx="3">
                  <c:v>-5.8013765978367673E-2</c:v>
                </c:pt>
                <c:pt idx="4">
                  <c:v>-5.8823529411764622E-2</c:v>
                </c:pt>
                <c:pt idx="5">
                  <c:v>-5.9033989266547481E-2</c:v>
                </c:pt>
                <c:pt idx="6">
                  <c:v>-3.8260869565217376E-2</c:v>
                </c:pt>
                <c:pt idx="7">
                  <c:v>-2.5514403292181066E-2</c:v>
                </c:pt>
                <c:pt idx="8">
                  <c:v>-5.6721056721056672E-2</c:v>
                </c:pt>
                <c:pt idx="9">
                  <c:v>-1.166407465007779E-2</c:v>
                </c:pt>
                <c:pt idx="10">
                  <c:v>2.7293404094010619E-2</c:v>
                </c:pt>
                <c:pt idx="11">
                  <c:v>-3.160919540229884E-2</c:v>
                </c:pt>
                <c:pt idx="12">
                  <c:v>-1.9999999999999966E-2</c:v>
                </c:pt>
                <c:pt idx="13">
                  <c:v>-5.4071661237784993E-2</c:v>
                </c:pt>
                <c:pt idx="14">
                  <c:v>-3.6848792884371095E-2</c:v>
                </c:pt>
                <c:pt idx="15">
                  <c:v>3.7174721189590638E-3</c:v>
                </c:pt>
                <c:pt idx="16">
                  <c:v>-2.0771513353115782E-2</c:v>
                </c:pt>
                <c:pt idx="17">
                  <c:v>2.898550724637689E-3</c:v>
                </c:pt>
                <c:pt idx="18">
                  <c:v>0</c:v>
                </c:pt>
                <c:pt idx="19">
                  <c:v>2.9023746701846927E-2</c:v>
                </c:pt>
                <c:pt idx="20">
                  <c:v>-1.7535070140280499E-2</c:v>
                </c:pt>
                <c:pt idx="21">
                  <c:v>-5.3294573643409525E-3</c:v>
                </c:pt>
                <c:pt idx="22">
                  <c:v>5.6258790436006997E-3</c:v>
                </c:pt>
                <c:pt idx="23">
                  <c:v>-2.9079861111111206E-2</c:v>
                </c:pt>
                <c:pt idx="24">
                  <c:v>1.4427040395713055E-2</c:v>
                </c:pt>
                <c:pt idx="25">
                  <c:v>3.7160906726129052E-4</c:v>
                </c:pt>
                <c:pt idx="26">
                  <c:v>8.2673096796416507E-3</c:v>
                </c:pt>
                <c:pt idx="27">
                  <c:v>-5.1679586563307348E-3</c:v>
                </c:pt>
                <c:pt idx="28">
                  <c:v>-2.8315946348733245E-2</c:v>
                </c:pt>
                <c:pt idx="29">
                  <c:v>3.0269675288937055E-3</c:v>
                </c:pt>
                <c:pt idx="30">
                  <c:v>-3.0587074494326582E-2</c:v>
                </c:pt>
                <c:pt idx="31">
                  <c:v>-2.896613190730836E-2</c:v>
                </c:pt>
                <c:pt idx="32">
                  <c:v>2.9473684210526577E-3</c:v>
                </c:pt>
                <c:pt idx="33">
                  <c:v>-2.7814821870832594E-2</c:v>
                </c:pt>
                <c:pt idx="34">
                  <c:v>-1.5625000000000114E-2</c:v>
                </c:pt>
                <c:pt idx="35">
                  <c:v>-1.8942383583267611E-2</c:v>
                </c:pt>
                <c:pt idx="36">
                  <c:v>5.7505160719551716E-3</c:v>
                </c:pt>
                <c:pt idx="37">
                  <c:v>1.0992030777686207E-2</c:v>
                </c:pt>
                <c:pt idx="38">
                  <c:v>-2.0665322580645171E-2</c:v>
                </c:pt>
                <c:pt idx="39">
                  <c:v>-1.170548987475078E-3</c:v>
                </c:pt>
                <c:pt idx="40">
                  <c:v>-1.1209054304059085E-2</c:v>
                </c:pt>
                <c:pt idx="41">
                  <c:v>-3.0525030525025749E-4</c:v>
                </c:pt>
                <c:pt idx="42">
                  <c:v>2.515966711825042E-2</c:v>
                </c:pt>
                <c:pt idx="43">
                  <c:v>-2.7423920736022451E-3</c:v>
                </c:pt>
                <c:pt idx="44">
                  <c:v>-6.5343258891645334E-3</c:v>
                </c:pt>
                <c:pt idx="45">
                  <c:v>-4.3296737281582464E-3</c:v>
                </c:pt>
                <c:pt idx="46">
                  <c:v>1.8630338733431499E-2</c:v>
                </c:pt>
                <c:pt idx="47">
                  <c:v>1.3752591568762925E-2</c:v>
                </c:pt>
                <c:pt idx="48">
                  <c:v>-2.2584930726893236E-2</c:v>
                </c:pt>
                <c:pt idx="49">
                  <c:v>-8.7913367489521315E-3</c:v>
                </c:pt>
                <c:pt idx="50">
                  <c:v>2.3469500719583793E-2</c:v>
                </c:pt>
                <c:pt idx="51">
                  <c:v>-5.5625241219606388E-2</c:v>
                </c:pt>
                <c:pt idx="52">
                  <c:v>2.1055968121717086E-2</c:v>
                </c:pt>
                <c:pt idx="53">
                  <c:v>-2.7508749084398126E-2</c:v>
                </c:pt>
                <c:pt idx="54">
                  <c:v>5.4464185103106069E-3</c:v>
                </c:pt>
                <c:pt idx="55">
                  <c:v>-9.967231021299856E-3</c:v>
                </c:pt>
                <c:pt idx="56">
                  <c:v>-2.5221073608169679E-3</c:v>
                </c:pt>
                <c:pt idx="57">
                  <c:v>8.8070456365090862E-3</c:v>
                </c:pt>
                <c:pt idx="58">
                  <c:v>-2.7967187900538364E-2</c:v>
                </c:pt>
                <c:pt idx="59">
                  <c:v>-9.9813866914843855E-3</c:v>
                </c:pt>
                <c:pt idx="60">
                  <c:v>-2.2049611626158743E-2</c:v>
                </c:pt>
                <c:pt idx="61">
                  <c:v>-8.3436048165354305E-3</c:v>
                </c:pt>
                <c:pt idx="62">
                  <c:v>-5.9232200467712491E-3</c:v>
                </c:pt>
                <c:pt idx="63">
                  <c:v>-3.5515624764460213E-2</c:v>
                </c:pt>
                <c:pt idx="64">
                  <c:v>-8.1057845826339337E-3</c:v>
                </c:pt>
              </c:numCache>
            </c:numRef>
          </c:val>
          <c:smooth val="0"/>
          <c:extLst>
            <c:ext xmlns:c16="http://schemas.microsoft.com/office/drawing/2014/chart" uri="{C3380CC4-5D6E-409C-BE32-E72D297353CC}">
              <c16:uniqueId val="{00000002-6F48-4B81-8A42-252F1A47E2AD}"/>
            </c:ext>
          </c:extLst>
        </c:ser>
        <c:ser>
          <c:idx val="3"/>
          <c:order val="3"/>
          <c:tx>
            <c:v>2019</c:v>
          </c:tx>
          <c:spPr>
            <a:ln w="28575" cap="rnd">
              <a:solidFill>
                <a:schemeClr val="accent4"/>
              </a:solidFill>
              <a:round/>
            </a:ln>
            <a:effectLst/>
          </c:spPr>
          <c:marker>
            <c:symbol val="none"/>
          </c:marker>
          <c:cat>
            <c:numRef>
              <c:f>Improvement!$A$72:$A$136</c:f>
              <c:numCache>
                <c:formatCode>General</c:formatCode>
                <c:ptCount val="65"/>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pt idx="49">
                  <c:v>69</c:v>
                </c:pt>
                <c:pt idx="50">
                  <c:v>70</c:v>
                </c:pt>
                <c:pt idx="51">
                  <c:v>71</c:v>
                </c:pt>
                <c:pt idx="52">
                  <c:v>72</c:v>
                </c:pt>
                <c:pt idx="53">
                  <c:v>73</c:v>
                </c:pt>
                <c:pt idx="54">
                  <c:v>74</c:v>
                </c:pt>
                <c:pt idx="55">
                  <c:v>75</c:v>
                </c:pt>
                <c:pt idx="56">
                  <c:v>76</c:v>
                </c:pt>
                <c:pt idx="57">
                  <c:v>77</c:v>
                </c:pt>
                <c:pt idx="58">
                  <c:v>78</c:v>
                </c:pt>
                <c:pt idx="59">
                  <c:v>79</c:v>
                </c:pt>
                <c:pt idx="60">
                  <c:v>80</c:v>
                </c:pt>
                <c:pt idx="61">
                  <c:v>81</c:v>
                </c:pt>
                <c:pt idx="62">
                  <c:v>82</c:v>
                </c:pt>
                <c:pt idx="63">
                  <c:v>83</c:v>
                </c:pt>
                <c:pt idx="64">
                  <c:v>84</c:v>
                </c:pt>
              </c:numCache>
            </c:numRef>
          </c:cat>
          <c:val>
            <c:numRef>
              <c:f>Improvement!$E$72:$E$136</c:f>
              <c:numCache>
                <c:formatCode>0.00%</c:formatCode>
                <c:ptCount val="65"/>
                <c:pt idx="0">
                  <c:v>1.30548302872063E-2</c:v>
                </c:pt>
                <c:pt idx="1">
                  <c:v>2.9988465974625123E-2</c:v>
                </c:pt>
                <c:pt idx="2">
                  <c:v>-1.2035010940918973E-2</c:v>
                </c:pt>
                <c:pt idx="3">
                  <c:v>-3.1315240083506935E-3</c:v>
                </c:pt>
                <c:pt idx="4">
                  <c:v>-2.8769841269841216E-2</c:v>
                </c:pt>
                <c:pt idx="5">
                  <c:v>-4.7528517110266288E-3</c:v>
                </c:pt>
                <c:pt idx="6">
                  <c:v>-2.7124773960216677E-3</c:v>
                </c:pt>
                <c:pt idx="7">
                  <c:v>-3.9695945945945908E-2</c:v>
                </c:pt>
                <c:pt idx="8">
                  <c:v>-1.5650741350906029E-2</c:v>
                </c:pt>
                <c:pt idx="9">
                  <c:v>-1.8882769472855967E-2</c:v>
                </c:pt>
                <c:pt idx="10">
                  <c:v>-1.107011070110704E-2</c:v>
                </c:pt>
                <c:pt idx="11">
                  <c:v>2.5964391691394566E-2</c:v>
                </c:pt>
                <c:pt idx="12">
                  <c:v>-3.5186488388458926E-3</c:v>
                </c:pt>
                <c:pt idx="13">
                  <c:v>3.8567493112947701E-2</c:v>
                </c:pt>
                <c:pt idx="14">
                  <c:v>1.3852242744063303E-2</c:v>
                </c:pt>
                <c:pt idx="15">
                  <c:v>6.172839506173659E-4</c:v>
                </c:pt>
                <c:pt idx="16">
                  <c:v>1.5151515151515192E-2</c:v>
                </c:pt>
                <c:pt idx="17">
                  <c:v>1.9653179190751421E-2</c:v>
                </c:pt>
                <c:pt idx="18">
                  <c:v>6.4461883408071796E-2</c:v>
                </c:pt>
                <c:pt idx="19">
                  <c:v>-1.1794871794871804E-2</c:v>
                </c:pt>
                <c:pt idx="20">
                  <c:v>7.2921978582355884E-2</c:v>
                </c:pt>
                <c:pt idx="21">
                  <c:v>2.4354603019970625E-2</c:v>
                </c:pt>
                <c:pt idx="22">
                  <c:v>3.1235431235431134E-2</c:v>
                </c:pt>
                <c:pt idx="23">
                  <c:v>3.5762181493071171E-2</c:v>
                </c:pt>
                <c:pt idx="24">
                  <c:v>-2.3567655424624093E-2</c:v>
                </c:pt>
                <c:pt idx="25">
                  <c:v>-1.5601783060921226E-2</c:v>
                </c:pt>
                <c:pt idx="26">
                  <c:v>-1.6399043389135587E-2</c:v>
                </c:pt>
                <c:pt idx="27">
                  <c:v>6.4935064935065113E-3</c:v>
                </c:pt>
                <c:pt idx="28">
                  <c:v>3.0368098159509242E-2</c:v>
                </c:pt>
                <c:pt idx="29">
                  <c:v>-2.3868312757201603E-2</c:v>
                </c:pt>
                <c:pt idx="30">
                  <c:v>3.3078880407124657E-3</c:v>
                </c:pt>
                <c:pt idx="31">
                  <c:v>-1.4456172556218378E-2</c:v>
                </c:pt>
                <c:pt idx="32">
                  <c:v>-1.4483627204030146E-2</c:v>
                </c:pt>
                <c:pt idx="33">
                  <c:v>-8.2304526748970229E-3</c:v>
                </c:pt>
                <c:pt idx="34">
                  <c:v>-2.0105820105820023E-2</c:v>
                </c:pt>
                <c:pt idx="35">
                  <c:v>-1.4481094127111795E-2</c:v>
                </c:pt>
                <c:pt idx="36">
                  <c:v>-2.6242486438938496E-2</c:v>
                </c:pt>
                <c:pt idx="37">
                  <c:v>-9.2416417504757199E-3</c:v>
                </c:pt>
                <c:pt idx="38">
                  <c:v>7.7200205867215847E-3</c:v>
                </c:pt>
                <c:pt idx="39">
                  <c:v>-2.5899449197234348E-2</c:v>
                </c:pt>
                <c:pt idx="40">
                  <c:v>1.3207131851199492E-3</c:v>
                </c:pt>
                <c:pt idx="41">
                  <c:v>2.6463104325699727E-3</c:v>
                </c:pt>
                <c:pt idx="42">
                  <c:v>-1.4158957900697934E-3</c:v>
                </c:pt>
                <c:pt idx="43">
                  <c:v>6.9191874390135671E-3</c:v>
                </c:pt>
                <c:pt idx="44">
                  <c:v>-1.082341187245039E-2</c:v>
                </c:pt>
                <c:pt idx="45">
                  <c:v>-9.2405653051716909E-3</c:v>
                </c:pt>
                <c:pt idx="46">
                  <c:v>-9.7592713077423333E-3</c:v>
                </c:pt>
                <c:pt idx="47">
                  <c:v>-1.9769582111936407E-3</c:v>
                </c:pt>
                <c:pt idx="48">
                  <c:v>1.0161812297734572E-2</c:v>
                </c:pt>
                <c:pt idx="49">
                  <c:v>-2.9074889867841347E-2</c:v>
                </c:pt>
                <c:pt idx="50">
                  <c:v>-1.1303407247160674E-2</c:v>
                </c:pt>
                <c:pt idx="51">
                  <c:v>1.7318007662835377E-2</c:v>
                </c:pt>
                <c:pt idx="52">
                  <c:v>-6.7053971351279412E-2</c:v>
                </c:pt>
                <c:pt idx="53">
                  <c:v>1.9081094652272222E-2</c:v>
                </c:pt>
                <c:pt idx="54">
                  <c:v>-4.4045128511655686E-2</c:v>
                </c:pt>
                <c:pt idx="55">
                  <c:v>-9.5848848434697629E-3</c:v>
                </c:pt>
                <c:pt idx="56">
                  <c:v>-3.0560324644919642E-2</c:v>
                </c:pt>
                <c:pt idx="57">
                  <c:v>-2.2760770975056639E-2</c:v>
                </c:pt>
                <c:pt idx="58">
                  <c:v>-1.9515282576018516E-3</c:v>
                </c:pt>
                <c:pt idx="59">
                  <c:v>-2.5992338605438085E-2</c:v>
                </c:pt>
                <c:pt idx="60">
                  <c:v>-1.0803655307882814E-2</c:v>
                </c:pt>
                <c:pt idx="61">
                  <c:v>-2.2583420977148896E-2</c:v>
                </c:pt>
                <c:pt idx="62">
                  <c:v>-1.6141218490280981E-2</c:v>
                </c:pt>
                <c:pt idx="63">
                  <c:v>-1.766149325581063E-3</c:v>
                </c:pt>
                <c:pt idx="64">
                  <c:v>-3.4737986159836004E-2</c:v>
                </c:pt>
              </c:numCache>
            </c:numRef>
          </c:val>
          <c:smooth val="0"/>
          <c:extLst>
            <c:ext xmlns:c16="http://schemas.microsoft.com/office/drawing/2014/chart" uri="{C3380CC4-5D6E-409C-BE32-E72D297353CC}">
              <c16:uniqueId val="{00000003-6F48-4B81-8A42-252F1A47E2AD}"/>
            </c:ext>
          </c:extLst>
        </c:ser>
        <c:ser>
          <c:idx val="4"/>
          <c:order val="4"/>
          <c:tx>
            <c:v>2020</c:v>
          </c:tx>
          <c:spPr>
            <a:ln w="28575" cap="rnd">
              <a:solidFill>
                <a:schemeClr val="accent5"/>
              </a:solidFill>
              <a:round/>
            </a:ln>
            <a:effectLst/>
          </c:spPr>
          <c:marker>
            <c:symbol val="none"/>
          </c:marker>
          <c:cat>
            <c:numRef>
              <c:f>Improvement!$A$72:$A$136</c:f>
              <c:numCache>
                <c:formatCode>General</c:formatCode>
                <c:ptCount val="65"/>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pt idx="49">
                  <c:v>69</c:v>
                </c:pt>
                <c:pt idx="50">
                  <c:v>70</c:v>
                </c:pt>
                <c:pt idx="51">
                  <c:v>71</c:v>
                </c:pt>
                <c:pt idx="52">
                  <c:v>72</c:v>
                </c:pt>
                <c:pt idx="53">
                  <c:v>73</c:v>
                </c:pt>
                <c:pt idx="54">
                  <c:v>74</c:v>
                </c:pt>
                <c:pt idx="55">
                  <c:v>75</c:v>
                </c:pt>
                <c:pt idx="56">
                  <c:v>76</c:v>
                </c:pt>
                <c:pt idx="57">
                  <c:v>77</c:v>
                </c:pt>
                <c:pt idx="58">
                  <c:v>78</c:v>
                </c:pt>
                <c:pt idx="59">
                  <c:v>79</c:v>
                </c:pt>
                <c:pt idx="60">
                  <c:v>80</c:v>
                </c:pt>
                <c:pt idx="61">
                  <c:v>81</c:v>
                </c:pt>
                <c:pt idx="62">
                  <c:v>82</c:v>
                </c:pt>
                <c:pt idx="63">
                  <c:v>83</c:v>
                </c:pt>
                <c:pt idx="64">
                  <c:v>84</c:v>
                </c:pt>
              </c:numCache>
            </c:numRef>
          </c:cat>
          <c:val>
            <c:numRef>
              <c:f>Improvement!$F$72:$F$136</c:f>
              <c:numCache>
                <c:formatCode>0.00%</c:formatCode>
                <c:ptCount val="65"/>
                <c:pt idx="0">
                  <c:v>0.18170103092783499</c:v>
                </c:pt>
                <c:pt idx="1">
                  <c:v>0.19596864501679723</c:v>
                </c:pt>
                <c:pt idx="2">
                  <c:v>0.20819490586932435</c:v>
                </c:pt>
                <c:pt idx="3">
                  <c:v>0.22094240837696327</c:v>
                </c:pt>
                <c:pt idx="4">
                  <c:v>0.23289070480081706</c:v>
                </c:pt>
                <c:pt idx="5">
                  <c:v>0.22158548233046801</c:v>
                </c:pt>
                <c:pt idx="6">
                  <c:v>0.18676337262012693</c:v>
                </c:pt>
                <c:pt idx="7">
                  <c:v>0.24098504837291113</c:v>
                </c:pt>
                <c:pt idx="8">
                  <c:v>0.22761506276150617</c:v>
                </c:pt>
                <c:pt idx="9">
                  <c:v>0.24779470729751404</c:v>
                </c:pt>
                <c:pt idx="10">
                  <c:v>0.2238805970149253</c:v>
                </c:pt>
                <c:pt idx="11">
                  <c:v>0.24150397686189451</c:v>
                </c:pt>
                <c:pt idx="12">
                  <c:v>0.2591807909604521</c:v>
                </c:pt>
                <c:pt idx="13">
                  <c:v>0.24867374005305032</c:v>
                </c:pt>
                <c:pt idx="14">
                  <c:v>0.25178919973975278</c:v>
                </c:pt>
                <c:pt idx="15">
                  <c:v>0.21344848858729176</c:v>
                </c:pt>
                <c:pt idx="16">
                  <c:v>0.2507462686567164</c:v>
                </c:pt>
                <c:pt idx="17">
                  <c:v>0.26643990929705214</c:v>
                </c:pt>
                <c:pt idx="18">
                  <c:v>0.19167983149025788</c:v>
                </c:pt>
                <c:pt idx="19">
                  <c:v>0.27815256875973016</c:v>
                </c:pt>
                <c:pt idx="20">
                  <c:v>0.18773764258555131</c:v>
                </c:pt>
                <c:pt idx="21">
                  <c:v>0.28958630527817414</c:v>
                </c:pt>
                <c:pt idx="22">
                  <c:v>0.23779385171790235</c:v>
                </c:pt>
                <c:pt idx="23">
                  <c:v>0.25507121277514022</c:v>
                </c:pt>
                <c:pt idx="24">
                  <c:v>0.27840199750312106</c:v>
                </c:pt>
                <c:pt idx="25">
                  <c:v>0.21509433962264157</c:v>
                </c:pt>
                <c:pt idx="26">
                  <c:v>0.21882598124348729</c:v>
                </c:pt>
                <c:pt idx="27">
                  <c:v>0.22838709677419367</c:v>
                </c:pt>
                <c:pt idx="28">
                  <c:v>0.22834176838344755</c:v>
                </c:pt>
                <c:pt idx="29">
                  <c:v>0.23946037099494094</c:v>
                </c:pt>
                <c:pt idx="30">
                  <c:v>0.1861526756276945</c:v>
                </c:pt>
                <c:pt idx="31">
                  <c:v>0.19813736903376022</c:v>
                </c:pt>
                <c:pt idx="32">
                  <c:v>0.19765708200212992</c:v>
                </c:pt>
                <c:pt idx="33">
                  <c:v>0.20252914443785808</c:v>
                </c:pt>
                <c:pt idx="34">
                  <c:v>0.19942404607631381</c:v>
                </c:pt>
                <c:pt idx="35">
                  <c:v>0.16424489795918365</c:v>
                </c:pt>
                <c:pt idx="36">
                  <c:v>0.17193616380608245</c:v>
                </c:pt>
                <c:pt idx="37">
                  <c:v>0.15884773662551455</c:v>
                </c:pt>
                <c:pt idx="38">
                  <c:v>0.16343207354443307</c:v>
                </c:pt>
                <c:pt idx="39">
                  <c:v>0.1930943214629452</c:v>
                </c:pt>
                <c:pt idx="40">
                  <c:v>0.164102000439657</c:v>
                </c:pt>
                <c:pt idx="41">
                  <c:v>0.17866206476499841</c:v>
                </c:pt>
                <c:pt idx="42">
                  <c:v>0.16390963229038658</c:v>
                </c:pt>
                <c:pt idx="43">
                  <c:v>0.17584353801427183</c:v>
                </c:pt>
                <c:pt idx="44">
                  <c:v>0.19510142243918868</c:v>
                </c:pt>
                <c:pt idx="45">
                  <c:v>0.16694098283564543</c:v>
                </c:pt>
                <c:pt idx="46">
                  <c:v>0.17550007300335826</c:v>
                </c:pt>
                <c:pt idx="47">
                  <c:v>0.17281420765027328</c:v>
                </c:pt>
                <c:pt idx="48">
                  <c:v>0.18267444095598126</c:v>
                </c:pt>
                <c:pt idx="49">
                  <c:v>0.18548094373865695</c:v>
                </c:pt>
                <c:pt idx="50">
                  <c:v>0.15294568130846234</c:v>
                </c:pt>
                <c:pt idx="51">
                  <c:v>0.16033945967660931</c:v>
                </c:pt>
                <c:pt idx="52">
                  <c:v>0.19898274468793073</c:v>
                </c:pt>
                <c:pt idx="53">
                  <c:v>8.7336782458733692E-2</c:v>
                </c:pt>
                <c:pt idx="54">
                  <c:v>0.22224393293993502</c:v>
                </c:pt>
                <c:pt idx="55">
                  <c:v>0.13277170507554123</c:v>
                </c:pt>
                <c:pt idx="56">
                  <c:v>0.18041602266872736</c:v>
                </c:pt>
                <c:pt idx="57">
                  <c:v>0.15244945905966287</c:v>
                </c:pt>
                <c:pt idx="58">
                  <c:v>0.1783590963139122</c:v>
                </c:pt>
                <c:pt idx="59">
                  <c:v>0.17734346724574726</c:v>
                </c:pt>
                <c:pt idx="60">
                  <c:v>0.15432764947118491</c:v>
                </c:pt>
                <c:pt idx="61">
                  <c:v>0.16426028094064249</c:v>
                </c:pt>
                <c:pt idx="62">
                  <c:v>0.14627548170901983</c:v>
                </c:pt>
                <c:pt idx="63">
                  <c:v>0.15283083860462213</c:v>
                </c:pt>
                <c:pt idx="64">
                  <c:v>0.16674268122345431</c:v>
                </c:pt>
              </c:numCache>
            </c:numRef>
          </c:val>
          <c:smooth val="0"/>
          <c:extLst>
            <c:ext xmlns:c16="http://schemas.microsoft.com/office/drawing/2014/chart" uri="{C3380CC4-5D6E-409C-BE32-E72D297353CC}">
              <c16:uniqueId val="{00000004-6F48-4B81-8A42-252F1A47E2AD}"/>
            </c:ext>
          </c:extLst>
        </c:ser>
        <c:dLbls>
          <c:showLegendKey val="0"/>
          <c:showVal val="0"/>
          <c:showCatName val="0"/>
          <c:showSerName val="0"/>
          <c:showPercent val="0"/>
          <c:showBubbleSize val="0"/>
        </c:dLbls>
        <c:smooth val="0"/>
        <c:axId val="919042064"/>
        <c:axId val="919034384"/>
      </c:lineChart>
      <c:catAx>
        <c:axId val="919042064"/>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b"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9034384"/>
        <c:crosses val="autoZero"/>
        <c:auto val="1"/>
        <c:lblAlgn val="ctr"/>
        <c:lblOffset val="100"/>
        <c:tickLblSkip val="5"/>
        <c:noMultiLvlLbl val="0"/>
      </c:catAx>
      <c:valAx>
        <c:axId val="91903438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90420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COVID19 Shock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COVID19</c:v>
          </c:tx>
          <c:spPr>
            <a:ln w="28575" cap="rnd">
              <a:solidFill>
                <a:schemeClr val="accent1"/>
              </a:solidFill>
              <a:round/>
            </a:ln>
            <a:effectLst/>
          </c:spPr>
          <c:marker>
            <c:symbol val="none"/>
          </c:marker>
          <c:cat>
            <c:numRef>
              <c:f>Improvement!$A$72:$A$136</c:f>
              <c:numCache>
                <c:formatCode>General</c:formatCode>
                <c:ptCount val="65"/>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pt idx="49">
                  <c:v>69</c:v>
                </c:pt>
                <c:pt idx="50">
                  <c:v>70</c:v>
                </c:pt>
                <c:pt idx="51">
                  <c:v>71</c:v>
                </c:pt>
                <c:pt idx="52">
                  <c:v>72</c:v>
                </c:pt>
                <c:pt idx="53">
                  <c:v>73</c:v>
                </c:pt>
                <c:pt idx="54">
                  <c:v>74</c:v>
                </c:pt>
                <c:pt idx="55">
                  <c:v>75</c:v>
                </c:pt>
                <c:pt idx="56">
                  <c:v>76</c:v>
                </c:pt>
                <c:pt idx="57">
                  <c:v>77</c:v>
                </c:pt>
                <c:pt idx="58">
                  <c:v>78</c:v>
                </c:pt>
                <c:pt idx="59">
                  <c:v>79</c:v>
                </c:pt>
                <c:pt idx="60">
                  <c:v>80</c:v>
                </c:pt>
                <c:pt idx="61">
                  <c:v>81</c:v>
                </c:pt>
                <c:pt idx="62">
                  <c:v>82</c:v>
                </c:pt>
                <c:pt idx="63">
                  <c:v>83</c:v>
                </c:pt>
                <c:pt idx="64">
                  <c:v>84</c:v>
                </c:pt>
              </c:numCache>
            </c:numRef>
          </c:cat>
          <c:val>
            <c:numRef>
              <c:f>Improvement!$F$72:$F$136</c:f>
              <c:numCache>
                <c:formatCode>0.00%</c:formatCode>
                <c:ptCount val="65"/>
                <c:pt idx="0">
                  <c:v>0.18170103092783499</c:v>
                </c:pt>
                <c:pt idx="1">
                  <c:v>0.19596864501679723</c:v>
                </c:pt>
                <c:pt idx="2">
                  <c:v>0.20819490586932435</c:v>
                </c:pt>
                <c:pt idx="3">
                  <c:v>0.22094240837696327</c:v>
                </c:pt>
                <c:pt idx="4">
                  <c:v>0.23289070480081706</c:v>
                </c:pt>
                <c:pt idx="5">
                  <c:v>0.22158548233046801</c:v>
                </c:pt>
                <c:pt idx="6">
                  <c:v>0.18676337262012693</c:v>
                </c:pt>
                <c:pt idx="7">
                  <c:v>0.24098504837291113</c:v>
                </c:pt>
                <c:pt idx="8">
                  <c:v>0.22761506276150617</c:v>
                </c:pt>
                <c:pt idx="9">
                  <c:v>0.24779470729751404</c:v>
                </c:pt>
                <c:pt idx="10">
                  <c:v>0.2238805970149253</c:v>
                </c:pt>
                <c:pt idx="11">
                  <c:v>0.24150397686189451</c:v>
                </c:pt>
                <c:pt idx="12">
                  <c:v>0.2591807909604521</c:v>
                </c:pt>
                <c:pt idx="13">
                  <c:v>0.24867374005305032</c:v>
                </c:pt>
                <c:pt idx="14">
                  <c:v>0.25178919973975278</c:v>
                </c:pt>
                <c:pt idx="15">
                  <c:v>0.21344848858729176</c:v>
                </c:pt>
                <c:pt idx="16">
                  <c:v>0.2507462686567164</c:v>
                </c:pt>
                <c:pt idx="17">
                  <c:v>0.26643990929705214</c:v>
                </c:pt>
                <c:pt idx="18">
                  <c:v>0.19167983149025788</c:v>
                </c:pt>
                <c:pt idx="19">
                  <c:v>0.27815256875973016</c:v>
                </c:pt>
                <c:pt idx="20">
                  <c:v>0.18773764258555131</c:v>
                </c:pt>
                <c:pt idx="21">
                  <c:v>0.28958630527817414</c:v>
                </c:pt>
                <c:pt idx="22">
                  <c:v>0.23779385171790235</c:v>
                </c:pt>
                <c:pt idx="23">
                  <c:v>0.25507121277514022</c:v>
                </c:pt>
                <c:pt idx="24">
                  <c:v>0.27840199750312106</c:v>
                </c:pt>
                <c:pt idx="25">
                  <c:v>0.21509433962264157</c:v>
                </c:pt>
                <c:pt idx="26">
                  <c:v>0.21882598124348729</c:v>
                </c:pt>
                <c:pt idx="27">
                  <c:v>0.22838709677419367</c:v>
                </c:pt>
                <c:pt idx="28">
                  <c:v>0.22834176838344755</c:v>
                </c:pt>
                <c:pt idx="29">
                  <c:v>0.23946037099494094</c:v>
                </c:pt>
                <c:pt idx="30">
                  <c:v>0.1861526756276945</c:v>
                </c:pt>
                <c:pt idx="31">
                  <c:v>0.19813736903376022</c:v>
                </c:pt>
                <c:pt idx="32">
                  <c:v>0.19765708200212992</c:v>
                </c:pt>
                <c:pt idx="33">
                  <c:v>0.20252914443785808</c:v>
                </c:pt>
                <c:pt idx="34">
                  <c:v>0.19942404607631381</c:v>
                </c:pt>
                <c:pt idx="35">
                  <c:v>0.16424489795918365</c:v>
                </c:pt>
                <c:pt idx="36">
                  <c:v>0.17193616380608245</c:v>
                </c:pt>
                <c:pt idx="37">
                  <c:v>0.15884773662551455</c:v>
                </c:pt>
                <c:pt idx="38">
                  <c:v>0.16343207354443307</c:v>
                </c:pt>
                <c:pt idx="39">
                  <c:v>0.1930943214629452</c:v>
                </c:pt>
                <c:pt idx="40">
                  <c:v>0.164102000439657</c:v>
                </c:pt>
                <c:pt idx="41">
                  <c:v>0.17866206476499841</c:v>
                </c:pt>
                <c:pt idx="42">
                  <c:v>0.16390963229038658</c:v>
                </c:pt>
                <c:pt idx="43">
                  <c:v>0.17584353801427183</c:v>
                </c:pt>
                <c:pt idx="44">
                  <c:v>0.19510142243918868</c:v>
                </c:pt>
                <c:pt idx="45">
                  <c:v>0.16694098283564543</c:v>
                </c:pt>
                <c:pt idx="46">
                  <c:v>0.17550007300335826</c:v>
                </c:pt>
                <c:pt idx="47">
                  <c:v>0.17281420765027328</c:v>
                </c:pt>
                <c:pt idx="48">
                  <c:v>0.18267444095598126</c:v>
                </c:pt>
                <c:pt idx="49">
                  <c:v>0.18548094373865695</c:v>
                </c:pt>
                <c:pt idx="50">
                  <c:v>0.15294568130846234</c:v>
                </c:pt>
                <c:pt idx="51">
                  <c:v>0.16033945967660931</c:v>
                </c:pt>
                <c:pt idx="52">
                  <c:v>0.19898274468793073</c:v>
                </c:pt>
                <c:pt idx="53">
                  <c:v>8.7336782458733692E-2</c:v>
                </c:pt>
                <c:pt idx="54">
                  <c:v>0.22224393293993502</c:v>
                </c:pt>
                <c:pt idx="55">
                  <c:v>0.13277170507554123</c:v>
                </c:pt>
                <c:pt idx="56">
                  <c:v>0.18041602266872736</c:v>
                </c:pt>
                <c:pt idx="57">
                  <c:v>0.15244945905966287</c:v>
                </c:pt>
                <c:pt idx="58">
                  <c:v>0.1783590963139122</c:v>
                </c:pt>
                <c:pt idx="59">
                  <c:v>0.17734346724574726</c:v>
                </c:pt>
                <c:pt idx="60">
                  <c:v>0.15432764947118491</c:v>
                </c:pt>
                <c:pt idx="61">
                  <c:v>0.16426028094064249</c:v>
                </c:pt>
                <c:pt idx="62">
                  <c:v>0.14627548170901983</c:v>
                </c:pt>
                <c:pt idx="63">
                  <c:v>0.15283083860462213</c:v>
                </c:pt>
                <c:pt idx="64">
                  <c:v>0.16674268122345431</c:v>
                </c:pt>
              </c:numCache>
            </c:numRef>
          </c:val>
          <c:smooth val="0"/>
          <c:extLst>
            <c:ext xmlns:c16="http://schemas.microsoft.com/office/drawing/2014/chart" uri="{C3380CC4-5D6E-409C-BE32-E72D297353CC}">
              <c16:uniqueId val="{00000000-622D-4159-9B5F-AAF48B6539C3}"/>
            </c:ext>
          </c:extLst>
        </c:ser>
        <c:dLbls>
          <c:showLegendKey val="0"/>
          <c:showVal val="0"/>
          <c:showCatName val="0"/>
          <c:showSerName val="0"/>
          <c:showPercent val="0"/>
          <c:showBubbleSize val="0"/>
        </c:dLbls>
        <c:smooth val="0"/>
        <c:axId val="1754128976"/>
        <c:axId val="964948176"/>
      </c:lineChart>
      <c:catAx>
        <c:axId val="1754128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4948176"/>
        <c:crosses val="autoZero"/>
        <c:auto val="1"/>
        <c:lblAlgn val="ctr"/>
        <c:lblOffset val="100"/>
        <c:tickLblSkip val="5"/>
        <c:noMultiLvlLbl val="0"/>
      </c:catAx>
      <c:valAx>
        <c:axId val="9649481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4128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70" baseline="0">
                <a:solidFill>
                  <a:schemeClr val="dk1">
                    <a:lumMod val="50000"/>
                    <a:lumOff val="50000"/>
                  </a:schemeClr>
                </a:solidFill>
                <a:latin typeface="+mn-lt"/>
                <a:ea typeface="+mn-ea"/>
                <a:cs typeface="+mn-cs"/>
              </a:defRPr>
            </a:pPr>
            <a:r>
              <a:rPr lang="en-US" sz="1400"/>
              <a:t>Observed LN Mortality vs Age (2019 Female)</a:t>
            </a:r>
          </a:p>
        </c:rich>
      </c:tx>
      <c:overlay val="0"/>
      <c:spPr>
        <a:noFill/>
        <a:ln>
          <a:noFill/>
        </a:ln>
        <a:effectLst/>
      </c:spPr>
      <c:txPr>
        <a:bodyPr rot="0" spcFirstLastPara="1" vertOverflow="ellipsis" vert="horz" wrap="square" anchor="ctr" anchorCtr="1"/>
        <a:lstStyle/>
        <a:p>
          <a:pPr>
            <a:defRPr sz="1600" b="0" i="0" u="none" strike="noStrike" kern="1200" spc="70" baseline="0">
              <a:solidFill>
                <a:schemeClr val="dk1">
                  <a:lumMod val="50000"/>
                  <a:lumOff val="50000"/>
                </a:schemeClr>
              </a:solidFill>
              <a:latin typeface="+mn-lt"/>
              <a:ea typeface="+mn-ea"/>
              <a:cs typeface="+mn-cs"/>
            </a:defRPr>
          </a:pPr>
          <a:endParaRPr lang="en-US"/>
        </a:p>
      </c:txPr>
    </c:title>
    <c:autoTitleDeleted val="0"/>
    <c:plotArea>
      <c:layout/>
      <c:scatterChart>
        <c:scatterStyle val="lineMarker"/>
        <c:varyColors val="0"/>
        <c:ser>
          <c:idx val="0"/>
          <c:order val="0"/>
          <c:spPr>
            <a:ln w="25400">
              <a:noFill/>
            </a:ln>
            <a:effectLst/>
          </c:spPr>
          <c:marker>
            <c:symbol val="circle"/>
            <c:size val="4"/>
            <c:spPr>
              <a:solidFill>
                <a:schemeClr val="accent1"/>
              </a:solidFill>
              <a:ln w="9525" cap="flat" cmpd="sng" algn="ctr">
                <a:solidFill>
                  <a:schemeClr val="accent1"/>
                </a:solidFill>
                <a:round/>
              </a:ln>
              <a:effectLst/>
            </c:spPr>
          </c:marker>
          <c:trendline>
            <c:spPr>
              <a:ln w="63500" cap="rnd" cmpd="sng" algn="ctr">
                <a:solidFill>
                  <a:schemeClr val="accent1">
                    <a:alpha val="25000"/>
                  </a:schemeClr>
                </a:solidFill>
                <a:round/>
              </a:ln>
              <a:effectLst/>
            </c:spPr>
            <c:trendlineType val="linear"/>
            <c:dispRSqr val="1"/>
            <c:dispEq val="1"/>
            <c:trendlineLbl>
              <c:layout>
                <c:manualLayout>
                  <c:x val="-1.0562117235345583E-2"/>
                  <c:y val="0.4212705797754937"/>
                </c:manualLayout>
              </c:layout>
              <c:tx>
                <c:rich>
                  <a:bodyPr rot="0" spcFirstLastPara="1" vertOverflow="ellipsis" vert="horz" wrap="square" anchor="ctr" anchorCtr="1"/>
                  <a:lstStyle/>
                  <a:p>
                    <a:pPr>
                      <a:defRPr sz="1050" b="0" i="0" u="none" strike="noStrike" kern="1200" baseline="0">
                        <a:solidFill>
                          <a:schemeClr val="tx1"/>
                        </a:solidFill>
                        <a:latin typeface="+mn-lt"/>
                        <a:ea typeface="+mn-ea"/>
                        <a:cs typeface="+mn-cs"/>
                      </a:defRPr>
                    </a:pPr>
                    <a:r>
                      <a:rPr lang="en-US" sz="1050" baseline="0">
                        <a:solidFill>
                          <a:schemeClr val="tx1"/>
                        </a:solidFill>
                      </a:rPr>
                      <a:t>Y = 0.0761x - 9.4884</a:t>
                    </a:r>
                    <a:br>
                      <a:rPr lang="en-US" sz="1050" baseline="0">
                        <a:solidFill>
                          <a:schemeClr val="tx1"/>
                        </a:solidFill>
                      </a:rPr>
                    </a:br>
                    <a:r>
                      <a:rPr lang="en-US" sz="1050" baseline="0">
                        <a:solidFill>
                          <a:schemeClr val="tx1"/>
                        </a:solidFill>
                      </a:rPr>
                      <a:t>R² = 0.992</a:t>
                    </a:r>
                    <a:endParaRPr lang="en-US" sz="1050">
                      <a:solidFill>
                        <a:schemeClr val="tx1"/>
                      </a:solidFill>
                    </a:endParaRPr>
                  </a:p>
                </c:rich>
              </c:tx>
              <c:numFmt formatCode="General" sourceLinked="0"/>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trendlineLbl>
          </c:trendline>
          <c:xVal>
            <c:numRef>
              <c:f>Gompertz!$B$2:$B$66</c:f>
              <c:numCache>
                <c:formatCode>General</c:formatCode>
                <c:ptCount val="65"/>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pt idx="49">
                  <c:v>69</c:v>
                </c:pt>
                <c:pt idx="50">
                  <c:v>70</c:v>
                </c:pt>
                <c:pt idx="51">
                  <c:v>71</c:v>
                </c:pt>
                <c:pt idx="52">
                  <c:v>72</c:v>
                </c:pt>
                <c:pt idx="53">
                  <c:v>73</c:v>
                </c:pt>
                <c:pt idx="54">
                  <c:v>74</c:v>
                </c:pt>
                <c:pt idx="55">
                  <c:v>75</c:v>
                </c:pt>
                <c:pt idx="56">
                  <c:v>76</c:v>
                </c:pt>
                <c:pt idx="57">
                  <c:v>77</c:v>
                </c:pt>
                <c:pt idx="58">
                  <c:v>78</c:v>
                </c:pt>
                <c:pt idx="59">
                  <c:v>79</c:v>
                </c:pt>
                <c:pt idx="60">
                  <c:v>80</c:v>
                </c:pt>
                <c:pt idx="61">
                  <c:v>81</c:v>
                </c:pt>
                <c:pt idx="62">
                  <c:v>82</c:v>
                </c:pt>
                <c:pt idx="63">
                  <c:v>83</c:v>
                </c:pt>
                <c:pt idx="64">
                  <c:v>84</c:v>
                </c:pt>
              </c:numCache>
            </c:numRef>
          </c:xVal>
          <c:yVal>
            <c:numRef>
              <c:f>Gompertz!$G$2:$G$66</c:f>
              <c:numCache>
                <c:formatCode>General</c:formatCode>
                <c:ptCount val="65"/>
                <c:pt idx="0">
                  <c:v>-7.7920629650032414</c:v>
                </c:pt>
                <c:pt idx="1">
                  <c:v>-7.6974133599229262</c:v>
                </c:pt>
                <c:pt idx="2">
                  <c:v>-7.6777835038780404</c:v>
                </c:pt>
                <c:pt idx="3">
                  <c:v>-7.5037757488113597</c:v>
                </c:pt>
                <c:pt idx="4">
                  <c:v>-7.5202445565246281</c:v>
                </c:pt>
                <c:pt idx="5">
                  <c:v>-7.4628811616447077</c:v>
                </c:pt>
                <c:pt idx="6">
                  <c:v>-7.3874052852796783</c:v>
                </c:pt>
                <c:pt idx="7">
                  <c:v>-7.3278265394796636</c:v>
                </c:pt>
                <c:pt idx="8">
                  <c:v>-7.2817217200309301</c:v>
                </c:pt>
                <c:pt idx="9">
                  <c:v>-7.2279605431394778</c:v>
                </c:pt>
                <c:pt idx="10">
                  <c:v>-7.096497403579014</c:v>
                </c:pt>
                <c:pt idx="11">
                  <c:v>-7.0412866716066596</c:v>
                </c:pt>
                <c:pt idx="12">
                  <c:v>-6.997679986510124</c:v>
                </c:pt>
                <c:pt idx="13">
                  <c:v>-6.8704594942384398</c:v>
                </c:pt>
                <c:pt idx="14">
                  <c:v>-6.9087557793157206</c:v>
                </c:pt>
                <c:pt idx="15">
                  <c:v>-6.8280203109632831</c:v>
                </c:pt>
                <c:pt idx="16">
                  <c:v>-6.782886296936268</c:v>
                </c:pt>
                <c:pt idx="17">
                  <c:v>-6.7212757120395192</c:v>
                </c:pt>
                <c:pt idx="18">
                  <c:v>-6.6128493614410369</c:v>
                </c:pt>
                <c:pt idx="19">
                  <c:v>-6.5662955008498853</c:v>
                </c:pt>
                <c:pt idx="20">
                  <c:v>-6.5272661569441501</c:v>
                </c:pt>
                <c:pt idx="21">
                  <c:v>-6.488387265704981</c:v>
                </c:pt>
                <c:pt idx="22">
                  <c:v>-6.4592306814135254</c:v>
                </c:pt>
                <c:pt idx="23">
                  <c:v>-6.3561716627439786</c:v>
                </c:pt>
                <c:pt idx="24">
                  <c:v>-6.3266576022308145</c:v>
                </c:pt>
                <c:pt idx="25">
                  <c:v>-6.2181142377514798</c:v>
                </c:pt>
                <c:pt idx="26">
                  <c:v>-6.1362591320112152</c:v>
                </c:pt>
                <c:pt idx="27">
                  <c:v>-6.0614579189285172</c:v>
                </c:pt>
                <c:pt idx="28">
                  <c:v>-5.9693117424668483</c:v>
                </c:pt>
                <c:pt idx="29">
                  <c:v>-5.9085950692856875</c:v>
                </c:pt>
                <c:pt idx="30">
                  <c:v>-5.8094763792152646</c:v>
                </c:pt>
                <c:pt idx="31">
                  <c:v>-5.7358925285744347</c:v>
                </c:pt>
                <c:pt idx="32">
                  <c:v>-5.6456079106051291</c:v>
                </c:pt>
                <c:pt idx="33">
                  <c:v>-5.5493461213517818</c:v>
                </c:pt>
                <c:pt idx="34">
                  <c:v>-5.4748159100392026</c:v>
                </c:pt>
                <c:pt idx="35">
                  <c:v>-5.384747094546424</c:v>
                </c:pt>
                <c:pt idx="36">
                  <c:v>-5.2989175466200695</c:v>
                </c:pt>
                <c:pt idx="37">
                  <c:v>-5.1990151654741741</c:v>
                </c:pt>
                <c:pt idx="38">
                  <c:v>-5.1248683882576804</c:v>
                </c:pt>
                <c:pt idx="39">
                  <c:v>-5.0743741350632625</c:v>
                </c:pt>
                <c:pt idx="40">
                  <c:v>-4.9624167218257815</c:v>
                </c:pt>
                <c:pt idx="41">
                  <c:v>-4.8967264199884726</c:v>
                </c:pt>
                <c:pt idx="42">
                  <c:v>-4.8284387451154522</c:v>
                </c:pt>
                <c:pt idx="43">
                  <c:v>-4.763814279427689</c:v>
                </c:pt>
                <c:pt idx="44">
                  <c:v>-4.7062067301658628</c:v>
                </c:pt>
                <c:pt idx="45">
                  <c:v>-4.6496446760899204</c:v>
                </c:pt>
                <c:pt idx="46">
                  <c:v>-4.5717354099018541</c:v>
                </c:pt>
                <c:pt idx="47">
                  <c:v>-4.4962260989989122</c:v>
                </c:pt>
                <c:pt idx="48">
                  <c:v>-4.416286871358996</c:v>
                </c:pt>
                <c:pt idx="49">
                  <c:v>-4.3373592431787227</c:v>
                </c:pt>
                <c:pt idx="50">
                  <c:v>-4.2278302416057754</c:v>
                </c:pt>
                <c:pt idx="51">
                  <c:v>-4.1259590759914424</c:v>
                </c:pt>
                <c:pt idx="52">
                  <c:v>-4.0611612684318681</c:v>
                </c:pt>
                <c:pt idx="53">
                  <c:v>-3.9083298335905283</c:v>
                </c:pt>
                <c:pt idx="54">
                  <c:v>-3.8600949125677868</c:v>
                </c:pt>
                <c:pt idx="55">
                  <c:v>-3.737607620205289</c:v>
                </c:pt>
                <c:pt idx="56">
                  <c:v>-3.6522389900189443</c:v>
                </c:pt>
                <c:pt idx="57">
                  <c:v>-3.5450562048044163</c:v>
                </c:pt>
                <c:pt idx="58">
                  <c:v>-3.4462470502158795</c:v>
                </c:pt>
                <c:pt idx="59">
                  <c:v>-3.3439289738717632</c:v>
                </c:pt>
                <c:pt idx="60">
                  <c:v>-3.2243155936185657</c:v>
                </c:pt>
                <c:pt idx="61">
                  <c:v>-3.1242476957894181</c:v>
                </c:pt>
                <c:pt idx="62">
                  <c:v>-2.9977943982724393</c:v>
                </c:pt>
                <c:pt idx="63">
                  <c:v>-2.8790698655663105</c:v>
                </c:pt>
                <c:pt idx="64">
                  <c:v>-2.7895639902857563</c:v>
                </c:pt>
              </c:numCache>
            </c:numRef>
          </c:yVal>
          <c:smooth val="0"/>
          <c:extLst>
            <c:ext xmlns:c16="http://schemas.microsoft.com/office/drawing/2014/chart" uri="{C3380CC4-5D6E-409C-BE32-E72D297353CC}">
              <c16:uniqueId val="{00000000-BCBB-49FB-A057-5CAD7F9720A7}"/>
            </c:ext>
          </c:extLst>
        </c:ser>
        <c:dLbls>
          <c:showLegendKey val="0"/>
          <c:showVal val="0"/>
          <c:showCatName val="0"/>
          <c:showSerName val="0"/>
          <c:showPercent val="0"/>
          <c:showBubbleSize val="0"/>
        </c:dLbls>
        <c:axId val="386044864"/>
        <c:axId val="386037664"/>
      </c:scatterChart>
      <c:valAx>
        <c:axId val="386044864"/>
        <c:scaling>
          <c:orientation val="minMax"/>
          <c:max val="84"/>
          <c:min val="20"/>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crossAx val="386037664"/>
        <c:crosses val="autoZero"/>
        <c:crossBetween val="midCat"/>
      </c:valAx>
      <c:valAx>
        <c:axId val="386037664"/>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crossAx val="38604486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Observed vs Gompertz-Fitted Mortality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1"/>
          <c:tx>
            <c:strRef>
              <c:f>Gompertz!$F$1</c:f>
              <c:strCache>
                <c:ptCount val="1"/>
                <c:pt idx="0">
                  <c:v>obs_mx</c:v>
                </c:pt>
              </c:strCache>
            </c:strRef>
          </c:tx>
          <c:spPr>
            <a:ln w="28575" cap="rnd">
              <a:solidFill>
                <a:schemeClr val="accent2"/>
              </a:solidFill>
              <a:round/>
            </a:ln>
            <a:effectLst/>
          </c:spPr>
          <c:marker>
            <c:symbol val="none"/>
          </c:marker>
          <c:cat>
            <c:numRef>
              <c:f>Gompertz!$B$2:$B$66</c:f>
              <c:numCache>
                <c:formatCode>General</c:formatCode>
                <c:ptCount val="65"/>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pt idx="49">
                  <c:v>69</c:v>
                </c:pt>
                <c:pt idx="50">
                  <c:v>70</c:v>
                </c:pt>
                <c:pt idx="51">
                  <c:v>71</c:v>
                </c:pt>
                <c:pt idx="52">
                  <c:v>72</c:v>
                </c:pt>
                <c:pt idx="53">
                  <c:v>73</c:v>
                </c:pt>
                <c:pt idx="54">
                  <c:v>74</c:v>
                </c:pt>
                <c:pt idx="55">
                  <c:v>75</c:v>
                </c:pt>
                <c:pt idx="56">
                  <c:v>76</c:v>
                </c:pt>
                <c:pt idx="57">
                  <c:v>77</c:v>
                </c:pt>
                <c:pt idx="58">
                  <c:v>78</c:v>
                </c:pt>
                <c:pt idx="59">
                  <c:v>79</c:v>
                </c:pt>
                <c:pt idx="60">
                  <c:v>80</c:v>
                </c:pt>
                <c:pt idx="61">
                  <c:v>81</c:v>
                </c:pt>
                <c:pt idx="62">
                  <c:v>82</c:v>
                </c:pt>
                <c:pt idx="63">
                  <c:v>83</c:v>
                </c:pt>
                <c:pt idx="64">
                  <c:v>84</c:v>
                </c:pt>
              </c:numCache>
            </c:numRef>
          </c:cat>
          <c:val>
            <c:numRef>
              <c:f>Gompertz!$F$2:$F$66</c:f>
              <c:numCache>
                <c:formatCode>General</c:formatCode>
                <c:ptCount val="65"/>
                <c:pt idx="0">
                  <c:v>4.1300000000000001E-4</c:v>
                </c:pt>
                <c:pt idx="1">
                  <c:v>4.5399999999999998E-4</c:v>
                </c:pt>
                <c:pt idx="2">
                  <c:v>4.6299999999999998E-4</c:v>
                </c:pt>
                <c:pt idx="3">
                  <c:v>5.5099999999999995E-4</c:v>
                </c:pt>
                <c:pt idx="4">
                  <c:v>5.4199999999999995E-4</c:v>
                </c:pt>
                <c:pt idx="5">
                  <c:v>5.7399999999999997E-4</c:v>
                </c:pt>
                <c:pt idx="6">
                  <c:v>6.1899999999999998E-4</c:v>
                </c:pt>
                <c:pt idx="7">
                  <c:v>6.5700000000000003E-4</c:v>
                </c:pt>
                <c:pt idx="8">
                  <c:v>6.8800000000000003E-4</c:v>
                </c:pt>
                <c:pt idx="9">
                  <c:v>7.2599999999999997E-4</c:v>
                </c:pt>
                <c:pt idx="10">
                  <c:v>8.2799999999999996E-4</c:v>
                </c:pt>
                <c:pt idx="11">
                  <c:v>8.7500000000000002E-4</c:v>
                </c:pt>
                <c:pt idx="12">
                  <c:v>9.1399999999999999E-4</c:v>
                </c:pt>
                <c:pt idx="13">
                  <c:v>1.0380000000000001E-3</c:v>
                </c:pt>
                <c:pt idx="14">
                  <c:v>9.990000000000001E-4</c:v>
                </c:pt>
                <c:pt idx="15">
                  <c:v>1.083E-3</c:v>
                </c:pt>
                <c:pt idx="16">
                  <c:v>1.1329999999999999E-3</c:v>
                </c:pt>
                <c:pt idx="17">
                  <c:v>1.2049999999999999E-3</c:v>
                </c:pt>
                <c:pt idx="18">
                  <c:v>1.343E-3</c:v>
                </c:pt>
                <c:pt idx="19">
                  <c:v>1.407E-3</c:v>
                </c:pt>
                <c:pt idx="20">
                  <c:v>1.4630000000000001E-3</c:v>
                </c:pt>
                <c:pt idx="21">
                  <c:v>1.521E-3</c:v>
                </c:pt>
                <c:pt idx="22">
                  <c:v>1.5659999999999999E-3</c:v>
                </c:pt>
                <c:pt idx="23">
                  <c:v>1.7359999999999999E-3</c:v>
                </c:pt>
                <c:pt idx="24">
                  <c:v>1.7880000000000001E-3</c:v>
                </c:pt>
                <c:pt idx="25">
                  <c:v>1.993E-3</c:v>
                </c:pt>
                <c:pt idx="26">
                  <c:v>2.163E-3</c:v>
                </c:pt>
                <c:pt idx="27">
                  <c:v>2.3310000000000002E-3</c:v>
                </c:pt>
                <c:pt idx="28">
                  <c:v>2.5560000000000001E-3</c:v>
                </c:pt>
                <c:pt idx="29">
                  <c:v>2.7160000000000001E-3</c:v>
                </c:pt>
                <c:pt idx="30">
                  <c:v>2.9989999999999999E-3</c:v>
                </c:pt>
                <c:pt idx="31">
                  <c:v>3.228E-3</c:v>
                </c:pt>
                <c:pt idx="32">
                  <c:v>3.5330000000000001E-3</c:v>
                </c:pt>
                <c:pt idx="33">
                  <c:v>3.8899999999999998E-3</c:v>
                </c:pt>
                <c:pt idx="34">
                  <c:v>4.1910000000000003E-3</c:v>
                </c:pt>
                <c:pt idx="35">
                  <c:v>4.5859999999999998E-3</c:v>
                </c:pt>
                <c:pt idx="36">
                  <c:v>4.9969999999999997E-3</c:v>
                </c:pt>
                <c:pt idx="37">
                  <c:v>5.522E-3</c:v>
                </c:pt>
                <c:pt idx="38">
                  <c:v>5.947E-3</c:v>
                </c:pt>
                <c:pt idx="39">
                  <c:v>6.2550000000000001E-3</c:v>
                </c:pt>
                <c:pt idx="40">
                  <c:v>6.9959999999999996E-3</c:v>
                </c:pt>
                <c:pt idx="41">
                  <c:v>7.4710000000000002E-3</c:v>
                </c:pt>
                <c:pt idx="42">
                  <c:v>7.9989999999999992E-3</c:v>
                </c:pt>
                <c:pt idx="43">
                  <c:v>8.5330000000000007E-3</c:v>
                </c:pt>
                <c:pt idx="44">
                  <c:v>9.0390000000000002E-3</c:v>
                </c:pt>
                <c:pt idx="45">
                  <c:v>9.5650000000000006E-3</c:v>
                </c:pt>
                <c:pt idx="46">
                  <c:v>1.034E-2</c:v>
                </c:pt>
                <c:pt idx="47">
                  <c:v>1.1150999999999999E-2</c:v>
                </c:pt>
                <c:pt idx="48">
                  <c:v>1.2078999999999999E-2</c:v>
                </c:pt>
                <c:pt idx="49">
                  <c:v>1.3070999999999999E-2</c:v>
                </c:pt>
                <c:pt idx="50">
                  <c:v>1.4584E-2</c:v>
                </c:pt>
                <c:pt idx="51">
                  <c:v>1.6147999999999999E-2</c:v>
                </c:pt>
                <c:pt idx="52">
                  <c:v>1.7229000000000001E-2</c:v>
                </c:pt>
                <c:pt idx="53">
                  <c:v>2.0074000000000002E-2</c:v>
                </c:pt>
                <c:pt idx="54">
                  <c:v>2.1066000000000001E-2</c:v>
                </c:pt>
                <c:pt idx="55">
                  <c:v>2.3810999999999999E-2</c:v>
                </c:pt>
                <c:pt idx="56">
                  <c:v>2.5933000000000001E-2</c:v>
                </c:pt>
                <c:pt idx="57">
                  <c:v>2.8867E-2</c:v>
                </c:pt>
                <c:pt idx="58">
                  <c:v>3.1864999999999997E-2</c:v>
                </c:pt>
                <c:pt idx="59">
                  <c:v>3.5298000000000003E-2</c:v>
                </c:pt>
                <c:pt idx="60">
                  <c:v>3.9782999999999999E-2</c:v>
                </c:pt>
                <c:pt idx="61">
                  <c:v>4.3970000000000002E-2</c:v>
                </c:pt>
                <c:pt idx="62">
                  <c:v>4.9896999999999997E-2</c:v>
                </c:pt>
                <c:pt idx="63">
                  <c:v>5.6187000000000001E-2</c:v>
                </c:pt>
                <c:pt idx="64">
                  <c:v>6.1448000000000003E-2</c:v>
                </c:pt>
              </c:numCache>
            </c:numRef>
          </c:val>
          <c:smooth val="0"/>
          <c:extLst>
            <c:ext xmlns:c16="http://schemas.microsoft.com/office/drawing/2014/chart" uri="{C3380CC4-5D6E-409C-BE32-E72D297353CC}">
              <c16:uniqueId val="{00000001-D2BE-4587-8C0D-30B13F37B778}"/>
            </c:ext>
          </c:extLst>
        </c:ser>
        <c:ser>
          <c:idx val="2"/>
          <c:order val="2"/>
          <c:tx>
            <c:strRef>
              <c:f>Gompertz!$H$1</c:f>
              <c:strCache>
                <c:ptCount val="1"/>
                <c:pt idx="0">
                  <c:v>fitted_mx</c:v>
                </c:pt>
              </c:strCache>
            </c:strRef>
          </c:tx>
          <c:spPr>
            <a:ln w="28575" cap="rnd">
              <a:solidFill>
                <a:schemeClr val="accent3"/>
              </a:solidFill>
              <a:prstDash val="sysDash"/>
              <a:round/>
            </a:ln>
            <a:effectLst/>
          </c:spPr>
          <c:marker>
            <c:symbol val="none"/>
          </c:marker>
          <c:cat>
            <c:numRef>
              <c:f>Gompertz!$B$2:$B$66</c:f>
              <c:numCache>
                <c:formatCode>General</c:formatCode>
                <c:ptCount val="65"/>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pt idx="49">
                  <c:v>69</c:v>
                </c:pt>
                <c:pt idx="50">
                  <c:v>70</c:v>
                </c:pt>
                <c:pt idx="51">
                  <c:v>71</c:v>
                </c:pt>
                <c:pt idx="52">
                  <c:v>72</c:v>
                </c:pt>
                <c:pt idx="53">
                  <c:v>73</c:v>
                </c:pt>
                <c:pt idx="54">
                  <c:v>74</c:v>
                </c:pt>
                <c:pt idx="55">
                  <c:v>75</c:v>
                </c:pt>
                <c:pt idx="56">
                  <c:v>76</c:v>
                </c:pt>
                <c:pt idx="57">
                  <c:v>77</c:v>
                </c:pt>
                <c:pt idx="58">
                  <c:v>78</c:v>
                </c:pt>
                <c:pt idx="59">
                  <c:v>79</c:v>
                </c:pt>
                <c:pt idx="60">
                  <c:v>80</c:v>
                </c:pt>
                <c:pt idx="61">
                  <c:v>81</c:v>
                </c:pt>
                <c:pt idx="62">
                  <c:v>82</c:v>
                </c:pt>
                <c:pt idx="63">
                  <c:v>83</c:v>
                </c:pt>
                <c:pt idx="64">
                  <c:v>84</c:v>
                </c:pt>
              </c:numCache>
            </c:numRef>
          </c:cat>
          <c:val>
            <c:numRef>
              <c:f>Gompertz!$H$2:$H$66</c:f>
              <c:numCache>
                <c:formatCode>General</c:formatCode>
                <c:ptCount val="65"/>
                <c:pt idx="0">
                  <c:v>3.4692567293355826E-4</c:v>
                </c:pt>
                <c:pt idx="1">
                  <c:v>3.7435725096301162E-4</c:v>
                </c:pt>
                <c:pt idx="2">
                  <c:v>4.0395785691946451E-4</c:v>
                </c:pt>
                <c:pt idx="3">
                  <c:v>4.3589899687314929E-4</c:v>
                </c:pt>
                <c:pt idx="4">
                  <c:v>4.7036573796087582E-4</c:v>
                </c:pt>
                <c:pt idx="5">
                  <c:v>5.0755778066601822E-4</c:v>
                </c:pt>
                <c:pt idx="6">
                  <c:v>5.4769061588419074E-4</c:v>
                </c:pt>
                <c:pt idx="7">
                  <c:v>5.9099677347865579E-4</c:v>
                </c:pt>
                <c:pt idx="8">
                  <c:v>6.3772716955960468E-4</c:v>
                </c:pt>
                <c:pt idx="9">
                  <c:v>6.8815256029344958E-4</c:v>
                </c:pt>
                <c:pt idx="10">
                  <c:v>7.4256511066550903E-4</c:v>
                </c:pt>
                <c:pt idx="11">
                  <c:v>8.0128008728550611E-4</c:v>
                </c:pt>
                <c:pt idx="12">
                  <c:v>8.6463768504400104E-4</c:v>
                </c:pt>
                <c:pt idx="13">
                  <c:v>9.330049982034192E-4</c:v>
                </c:pt>
                <c:pt idx="14">
                  <c:v>1.0067781473441825E-3</c:v>
                </c:pt>
                <c:pt idx="15">
                  <c:v>1.0863845744894854E-3</c:v>
                </c:pt>
                <c:pt idx="16">
                  <c:v>1.1722855197066767E-3</c:v>
                </c:pt>
                <c:pt idx="17">
                  <c:v>1.2649786935346934E-3</c:v>
                </c:pt>
                <c:pt idx="18">
                  <c:v>1.3650011607216016E-3</c:v>
                </c:pt>
                <c:pt idx="19">
                  <c:v>1.472932451980638E-3</c:v>
                </c:pt>
                <c:pt idx="20">
                  <c:v>1.5893979217942802E-3</c:v>
                </c:pt>
                <c:pt idx="21">
                  <c:v>1.7150723717214865E-3</c:v>
                </c:pt>
                <c:pt idx="22">
                  <c:v>1.8506839602015586E-3</c:v>
                </c:pt>
                <c:pt idx="23">
                  <c:v>1.9970184215080569E-3</c:v>
                </c:pt>
                <c:pt idx="24">
                  <c:v>2.1549236182974154E-3</c:v>
                </c:pt>
                <c:pt idx="25">
                  <c:v>2.3253144541297305E-3</c:v>
                </c:pt>
                <c:pt idx="26">
                  <c:v>2.5091781744249184E-3</c:v>
                </c:pt>
                <c:pt idx="27">
                  <c:v>2.7075800865679861E-3</c:v>
                </c:pt>
                <c:pt idx="28">
                  <c:v>2.921669732305759E-3</c:v>
                </c:pt>
                <c:pt idx="29">
                  <c:v>3.1526875481979453E-3</c:v>
                </c:pt>
                <c:pt idx="30">
                  <c:v>3.4019720527132418E-3</c:v>
                </c:pt>
                <c:pt idx="31">
                  <c:v>3.6709676016125465E-3</c:v>
                </c:pt>
                <c:pt idx="32">
                  <c:v>3.9612327565540064E-3</c:v>
                </c:pt>
                <c:pt idx="33">
                  <c:v>4.2744493154076623E-3</c:v>
                </c:pt>
                <c:pt idx="34">
                  <c:v>4.61243205660135E-3</c:v>
                </c:pt>
                <c:pt idx="35">
                  <c:v>4.9771392539566858E-3</c:v>
                </c:pt>
                <c:pt idx="36">
                  <c:v>5.3706840229381268E-3</c:v>
                </c:pt>
                <c:pt idx="37">
                  <c:v>5.7953465640553448E-3</c:v>
                </c:pt>
                <c:pt idx="38">
                  <c:v>6.2535873743572541E-3</c:v>
                </c:pt>
                <c:pt idx="39">
                  <c:v>6.7480615035651528E-3</c:v>
                </c:pt>
                <c:pt idx="40">
                  <c:v>7.2816339374451016E-3</c:v>
                </c:pt>
                <c:pt idx="41">
                  <c:v>7.8573961975508741E-3</c:v>
                </c:pt>
                <c:pt idx="42">
                  <c:v>8.4786842535164702E-3</c:v>
                </c:pt>
                <c:pt idx="43">
                  <c:v>9.1490978516821451E-3</c:v>
                </c:pt>
                <c:pt idx="44">
                  <c:v>9.8725213720440644E-3</c:v>
                </c:pt>
                <c:pt idx="45">
                  <c:v>1.0653146334372922E-2</c:v>
                </c:pt>
                <c:pt idx="46">
                  <c:v>1.1495495683902046E-2</c:v>
                </c:pt>
                <c:pt idx="47">
                  <c:v>1.2404449997296419E-2</c:v>
                </c:pt>
                <c:pt idx="48">
                  <c:v>1.3385275760740155E-2</c:v>
                </c:pt>
                <c:pt idx="49">
                  <c:v>1.4443655883985791E-2</c:v>
                </c:pt>
                <c:pt idx="50">
                  <c:v>1.5585722627163977E-2</c:v>
                </c:pt>
                <c:pt idx="51">
                  <c:v>1.6818093131131685E-2</c:v>
                </c:pt>
                <c:pt idx="52">
                  <c:v>1.814790775722195E-2</c:v>
                </c:pt>
                <c:pt idx="53">
                  <c:v>1.9582871458535853E-2</c:v>
                </c:pt>
                <c:pt idx="54">
                  <c:v>2.1131298422482285E-2</c:v>
                </c:pt>
                <c:pt idx="55">
                  <c:v>2.2802160243224512E-2</c:v>
                </c:pt>
                <c:pt idx="56">
                  <c:v>2.4605137903145072E-2</c:v>
                </c:pt>
                <c:pt idx="57">
                  <c:v>2.6550677864509788E-2</c:v>
                </c:pt>
                <c:pt idx="58">
                  <c:v>2.8650052596326386E-2</c:v>
                </c:pt>
                <c:pt idx="59">
                  <c:v>3.0915425887090564E-2</c:v>
                </c:pt>
                <c:pt idx="60">
                  <c:v>3.3359923321842025E-2</c:v>
                </c:pt>
                <c:pt idx="61">
                  <c:v>3.599770833187485E-2</c:v>
                </c:pt>
                <c:pt idx="62">
                  <c:v>3.8844064257734637E-2</c:v>
                </c:pt>
                <c:pt idx="63">
                  <c:v>4.1915482900975895E-2</c:v>
                </c:pt>
                <c:pt idx="64">
                  <c:v>4.5229760077748982E-2</c:v>
                </c:pt>
              </c:numCache>
            </c:numRef>
          </c:val>
          <c:smooth val="0"/>
          <c:extLst>
            <c:ext xmlns:c16="http://schemas.microsoft.com/office/drawing/2014/chart" uri="{C3380CC4-5D6E-409C-BE32-E72D297353CC}">
              <c16:uniqueId val="{00000002-D2BE-4587-8C0D-30B13F37B778}"/>
            </c:ext>
          </c:extLst>
        </c:ser>
        <c:dLbls>
          <c:showLegendKey val="0"/>
          <c:showVal val="0"/>
          <c:showCatName val="0"/>
          <c:showSerName val="0"/>
          <c:showPercent val="0"/>
          <c:showBubbleSize val="0"/>
        </c:dLbls>
        <c:smooth val="0"/>
        <c:axId val="819708496"/>
        <c:axId val="819708976"/>
        <c:extLst>
          <c:ext xmlns:c15="http://schemas.microsoft.com/office/drawing/2012/chart" uri="{02D57815-91ED-43cb-92C2-25804820EDAC}">
            <c15:filteredLineSeries>
              <c15:ser>
                <c:idx val="0"/>
                <c:order val="0"/>
                <c:tx>
                  <c:strRef>
                    <c:extLst>
                      <c:ext uri="{02D57815-91ED-43cb-92C2-25804820EDAC}">
                        <c15:formulaRef>
                          <c15:sqref>Gompertz!$B$1</c15:sqref>
                        </c15:formulaRef>
                      </c:ext>
                    </c:extLst>
                    <c:strCache>
                      <c:ptCount val="1"/>
                      <c:pt idx="0">
                        <c:v>Single-Year Ages Code</c:v>
                      </c:pt>
                    </c:strCache>
                  </c:strRef>
                </c:tx>
                <c:spPr>
                  <a:ln w="28575" cap="rnd">
                    <a:solidFill>
                      <a:schemeClr val="accent1"/>
                    </a:solidFill>
                    <a:round/>
                  </a:ln>
                  <a:effectLst/>
                </c:spPr>
                <c:marker>
                  <c:symbol val="none"/>
                </c:marker>
                <c:cat>
                  <c:numRef>
                    <c:extLst>
                      <c:ext uri="{02D57815-91ED-43cb-92C2-25804820EDAC}">
                        <c15:formulaRef>
                          <c15:sqref>Gompertz!$B$2:$B$66</c15:sqref>
                        </c15:formulaRef>
                      </c:ext>
                    </c:extLst>
                    <c:numCache>
                      <c:formatCode>General</c:formatCode>
                      <c:ptCount val="65"/>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pt idx="49">
                        <c:v>69</c:v>
                      </c:pt>
                      <c:pt idx="50">
                        <c:v>70</c:v>
                      </c:pt>
                      <c:pt idx="51">
                        <c:v>71</c:v>
                      </c:pt>
                      <c:pt idx="52">
                        <c:v>72</c:v>
                      </c:pt>
                      <c:pt idx="53">
                        <c:v>73</c:v>
                      </c:pt>
                      <c:pt idx="54">
                        <c:v>74</c:v>
                      </c:pt>
                      <c:pt idx="55">
                        <c:v>75</c:v>
                      </c:pt>
                      <c:pt idx="56">
                        <c:v>76</c:v>
                      </c:pt>
                      <c:pt idx="57">
                        <c:v>77</c:v>
                      </c:pt>
                      <c:pt idx="58">
                        <c:v>78</c:v>
                      </c:pt>
                      <c:pt idx="59">
                        <c:v>79</c:v>
                      </c:pt>
                      <c:pt idx="60">
                        <c:v>80</c:v>
                      </c:pt>
                      <c:pt idx="61">
                        <c:v>81</c:v>
                      </c:pt>
                      <c:pt idx="62">
                        <c:v>82</c:v>
                      </c:pt>
                      <c:pt idx="63">
                        <c:v>83</c:v>
                      </c:pt>
                      <c:pt idx="64">
                        <c:v>84</c:v>
                      </c:pt>
                    </c:numCache>
                  </c:numRef>
                </c:cat>
                <c:val>
                  <c:numRef>
                    <c:extLst>
                      <c:ext uri="{02D57815-91ED-43cb-92C2-25804820EDAC}">
                        <c15:formulaRef>
                          <c15:sqref>Gompertz!$B$2:$B$66</c15:sqref>
                        </c15:formulaRef>
                      </c:ext>
                    </c:extLst>
                    <c:numCache>
                      <c:formatCode>General</c:formatCode>
                      <c:ptCount val="65"/>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pt idx="49">
                        <c:v>69</c:v>
                      </c:pt>
                      <c:pt idx="50">
                        <c:v>70</c:v>
                      </c:pt>
                      <c:pt idx="51">
                        <c:v>71</c:v>
                      </c:pt>
                      <c:pt idx="52">
                        <c:v>72</c:v>
                      </c:pt>
                      <c:pt idx="53">
                        <c:v>73</c:v>
                      </c:pt>
                      <c:pt idx="54">
                        <c:v>74</c:v>
                      </c:pt>
                      <c:pt idx="55">
                        <c:v>75</c:v>
                      </c:pt>
                      <c:pt idx="56">
                        <c:v>76</c:v>
                      </c:pt>
                      <c:pt idx="57">
                        <c:v>77</c:v>
                      </c:pt>
                      <c:pt idx="58">
                        <c:v>78</c:v>
                      </c:pt>
                      <c:pt idx="59">
                        <c:v>79</c:v>
                      </c:pt>
                      <c:pt idx="60">
                        <c:v>80</c:v>
                      </c:pt>
                      <c:pt idx="61">
                        <c:v>81</c:v>
                      </c:pt>
                      <c:pt idx="62">
                        <c:v>82</c:v>
                      </c:pt>
                      <c:pt idx="63">
                        <c:v>83</c:v>
                      </c:pt>
                      <c:pt idx="64">
                        <c:v>84</c:v>
                      </c:pt>
                    </c:numCache>
                  </c:numRef>
                </c:val>
                <c:smooth val="0"/>
                <c:extLst>
                  <c:ext xmlns:c16="http://schemas.microsoft.com/office/drawing/2014/chart" uri="{C3380CC4-5D6E-409C-BE32-E72D297353CC}">
                    <c16:uniqueId val="{00000000-D2BE-4587-8C0D-30B13F37B778}"/>
                  </c:ext>
                </c:extLst>
              </c15:ser>
            </c15:filteredLineSeries>
          </c:ext>
        </c:extLst>
      </c:lineChart>
      <c:catAx>
        <c:axId val="819708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9708976"/>
        <c:crosses val="autoZero"/>
        <c:auto val="1"/>
        <c:lblAlgn val="ctr"/>
        <c:lblOffset val="100"/>
        <c:tickLblSkip val="5"/>
        <c:noMultiLvlLbl val="0"/>
      </c:catAx>
      <c:valAx>
        <c:axId val="819708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97084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LN</a:t>
            </a:r>
            <a:r>
              <a:rPr lang="en-US" baseline="0"/>
              <a:t> </a:t>
            </a:r>
            <a:r>
              <a:rPr lang="en-US"/>
              <a:t>Residual</a:t>
            </a:r>
            <a:r>
              <a:rPr lang="en-US" baseline="0"/>
              <a:t> Plot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tx>
            <c:strRef>
              <c:f>Gompertz!$J$1</c:f>
              <c:strCache>
                <c:ptCount val="1"/>
                <c:pt idx="0">
                  <c:v>ln_residual</c:v>
                </c:pt>
              </c:strCache>
            </c:strRef>
          </c:tx>
          <c:spPr>
            <a:ln w="28575" cap="rnd">
              <a:solidFill>
                <a:schemeClr val="accent2"/>
              </a:solidFill>
              <a:round/>
            </a:ln>
            <a:effectLst/>
          </c:spPr>
          <c:marker>
            <c:symbol val="none"/>
          </c:marker>
          <c:cat>
            <c:numRef>
              <c:f>Gompertz!$B$2:$B$66</c:f>
              <c:numCache>
                <c:formatCode>General</c:formatCode>
                <c:ptCount val="65"/>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pt idx="49">
                  <c:v>69</c:v>
                </c:pt>
                <c:pt idx="50">
                  <c:v>70</c:v>
                </c:pt>
                <c:pt idx="51">
                  <c:v>71</c:v>
                </c:pt>
                <c:pt idx="52">
                  <c:v>72</c:v>
                </c:pt>
                <c:pt idx="53">
                  <c:v>73</c:v>
                </c:pt>
                <c:pt idx="54">
                  <c:v>74</c:v>
                </c:pt>
                <c:pt idx="55">
                  <c:v>75</c:v>
                </c:pt>
                <c:pt idx="56">
                  <c:v>76</c:v>
                </c:pt>
                <c:pt idx="57">
                  <c:v>77</c:v>
                </c:pt>
                <c:pt idx="58">
                  <c:v>78</c:v>
                </c:pt>
                <c:pt idx="59">
                  <c:v>79</c:v>
                </c:pt>
                <c:pt idx="60">
                  <c:v>80</c:v>
                </c:pt>
                <c:pt idx="61">
                  <c:v>81</c:v>
                </c:pt>
                <c:pt idx="62">
                  <c:v>82</c:v>
                </c:pt>
                <c:pt idx="63">
                  <c:v>83</c:v>
                </c:pt>
                <c:pt idx="64">
                  <c:v>84</c:v>
                </c:pt>
              </c:numCache>
            </c:numRef>
          </c:cat>
          <c:val>
            <c:numRef>
              <c:f>Gompertz!$J$2:$J$66</c:f>
              <c:numCache>
                <c:formatCode>General</c:formatCode>
                <c:ptCount val="65"/>
                <c:pt idx="0">
                  <c:v>6.6074327066441751E-5</c:v>
                </c:pt>
                <c:pt idx="1">
                  <c:v>7.9642749036988353E-5</c:v>
                </c:pt>
                <c:pt idx="2">
                  <c:v>5.9042143080535465E-5</c:v>
                </c:pt>
                <c:pt idx="3">
                  <c:v>1.1510100312685066E-4</c:v>
                </c:pt>
                <c:pt idx="4">
                  <c:v>7.1634262039124122E-5</c:v>
                </c:pt>
                <c:pt idx="5">
                  <c:v>6.6442219333981748E-5</c:v>
                </c:pt>
                <c:pt idx="6">
                  <c:v>7.1309384115809233E-5</c:v>
                </c:pt>
                <c:pt idx="7">
                  <c:v>6.6003226521344242E-5</c:v>
                </c:pt>
                <c:pt idx="8">
                  <c:v>5.0272830440395346E-5</c:v>
                </c:pt>
                <c:pt idx="9">
                  <c:v>3.7847439706550391E-5</c:v>
                </c:pt>
                <c:pt idx="10">
                  <c:v>8.5434889334490933E-5</c:v>
                </c:pt>
                <c:pt idx="11">
                  <c:v>7.3719912714493912E-5</c:v>
                </c:pt>
                <c:pt idx="12">
                  <c:v>4.936231495599895E-5</c:v>
                </c:pt>
                <c:pt idx="13">
                  <c:v>1.0499500179658088E-4</c:v>
                </c:pt>
                <c:pt idx="14">
                  <c:v>-7.7781473441823797E-6</c:v>
                </c:pt>
                <c:pt idx="15">
                  <c:v>-3.3845744894854361E-6</c:v>
                </c:pt>
                <c:pt idx="16">
                  <c:v>-3.9285519706676797E-5</c:v>
                </c:pt>
                <c:pt idx="17">
                  <c:v>-5.9978693534693461E-5</c:v>
                </c:pt>
                <c:pt idx="18">
                  <c:v>-2.2001160721601618E-5</c:v>
                </c:pt>
                <c:pt idx="19">
                  <c:v>-6.5932451980637912E-5</c:v>
                </c:pt>
                <c:pt idx="20">
                  <c:v>-1.2639792179428011E-4</c:v>
                </c:pt>
                <c:pt idx="21">
                  <c:v>-1.9407237172148649E-4</c:v>
                </c:pt>
                <c:pt idx="22">
                  <c:v>-2.8468396020155866E-4</c:v>
                </c:pt>
                <c:pt idx="23">
                  <c:v>-2.6101842150805699E-4</c:v>
                </c:pt>
                <c:pt idx="24">
                  <c:v>-3.6692361829741534E-4</c:v>
                </c:pt>
                <c:pt idx="25">
                  <c:v>-3.3231445412973057E-4</c:v>
                </c:pt>
                <c:pt idx="26">
                  <c:v>-3.4617817442491846E-4</c:v>
                </c:pt>
                <c:pt idx="27">
                  <c:v>-3.7658008656798591E-4</c:v>
                </c:pt>
                <c:pt idx="28">
                  <c:v>-3.6566973230575889E-4</c:v>
                </c:pt>
                <c:pt idx="29">
                  <c:v>-4.3668754819794521E-4</c:v>
                </c:pt>
                <c:pt idx="30">
                  <c:v>-4.029720527132419E-4</c:v>
                </c:pt>
                <c:pt idx="31">
                  <c:v>-4.4296760161254651E-4</c:v>
                </c:pt>
                <c:pt idx="32">
                  <c:v>-4.2823275655400625E-4</c:v>
                </c:pt>
                <c:pt idx="33">
                  <c:v>-3.8444931540766248E-4</c:v>
                </c:pt>
                <c:pt idx="34">
                  <c:v>-4.2143205660134971E-4</c:v>
                </c:pt>
                <c:pt idx="35">
                  <c:v>-3.9113925395668596E-4</c:v>
                </c:pt>
                <c:pt idx="36">
                  <c:v>-3.7368402293812709E-4</c:v>
                </c:pt>
                <c:pt idx="37">
                  <c:v>-2.733465640553448E-4</c:v>
                </c:pt>
                <c:pt idx="38">
                  <c:v>-3.0658737435725406E-4</c:v>
                </c:pt>
                <c:pt idx="39">
                  <c:v>-4.9306150356515262E-4</c:v>
                </c:pt>
                <c:pt idx="40">
                  <c:v>-2.8563393744510199E-4</c:v>
                </c:pt>
                <c:pt idx="41">
                  <c:v>-3.8639619755087388E-4</c:v>
                </c:pt>
                <c:pt idx="42">
                  <c:v>-4.7968425351647102E-4</c:v>
                </c:pt>
                <c:pt idx="43">
                  <c:v>-6.1609785168214443E-4</c:v>
                </c:pt>
                <c:pt idx="44">
                  <c:v>-8.3352137204406422E-4</c:v>
                </c:pt>
                <c:pt idx="45">
                  <c:v>-1.0881463343729216E-3</c:v>
                </c:pt>
                <c:pt idx="46">
                  <c:v>-1.1554956839020455E-3</c:v>
                </c:pt>
                <c:pt idx="47">
                  <c:v>-1.2534499972964193E-3</c:v>
                </c:pt>
                <c:pt idx="48">
                  <c:v>-1.3062757607401557E-3</c:v>
                </c:pt>
                <c:pt idx="49">
                  <c:v>-1.3726558839857912E-3</c:v>
                </c:pt>
                <c:pt idx="50">
                  <c:v>-1.001722627163977E-3</c:v>
                </c:pt>
                <c:pt idx="51">
                  <c:v>-6.7009313113168545E-4</c:v>
                </c:pt>
                <c:pt idx="52">
                  <c:v>-9.189077572219484E-4</c:v>
                </c:pt>
                <c:pt idx="53">
                  <c:v>4.9112854146414822E-4</c:v>
                </c:pt>
                <c:pt idx="54">
                  <c:v>-6.5298422482283625E-5</c:v>
                </c:pt>
                <c:pt idx="55">
                  <c:v>1.008839756775487E-3</c:v>
                </c:pt>
                <c:pt idx="56">
                  <c:v>1.3278620968549294E-3</c:v>
                </c:pt>
                <c:pt idx="57">
                  <c:v>2.3163221354902119E-3</c:v>
                </c:pt>
                <c:pt idx="58">
                  <c:v>3.2149474036736111E-3</c:v>
                </c:pt>
                <c:pt idx="59">
                  <c:v>4.3825741129094389E-3</c:v>
                </c:pt>
                <c:pt idx="60">
                  <c:v>6.423076678157974E-3</c:v>
                </c:pt>
                <c:pt idx="61">
                  <c:v>7.9722916681251518E-3</c:v>
                </c:pt>
                <c:pt idx="62">
                  <c:v>1.105293574226536E-2</c:v>
                </c:pt>
                <c:pt idx="63">
                  <c:v>1.4271517099024106E-2</c:v>
                </c:pt>
                <c:pt idx="64">
                  <c:v>1.6218239922251021E-2</c:v>
                </c:pt>
              </c:numCache>
            </c:numRef>
          </c:val>
          <c:smooth val="0"/>
          <c:extLst>
            <c:ext xmlns:c16="http://schemas.microsoft.com/office/drawing/2014/chart" uri="{C3380CC4-5D6E-409C-BE32-E72D297353CC}">
              <c16:uniqueId val="{00000001-BD3C-43BE-8F6F-005ABFD41830}"/>
            </c:ext>
          </c:extLst>
        </c:ser>
        <c:dLbls>
          <c:showLegendKey val="0"/>
          <c:showVal val="0"/>
          <c:showCatName val="0"/>
          <c:showSerName val="0"/>
          <c:showPercent val="0"/>
          <c:showBubbleSize val="0"/>
        </c:dLbls>
        <c:smooth val="0"/>
        <c:axId val="712765280"/>
        <c:axId val="712764800"/>
      </c:lineChart>
      <c:catAx>
        <c:axId val="712765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b"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2764800"/>
        <c:crossesAt val="-4.000000000000001E-3"/>
        <c:auto val="1"/>
        <c:lblAlgn val="ctr"/>
        <c:lblOffset val="100"/>
        <c:tickLblSkip val="5"/>
        <c:noMultiLvlLbl val="0"/>
      </c:catAx>
      <c:valAx>
        <c:axId val="712764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27652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Makeham!$J$1</c:f>
              <c:strCache>
                <c:ptCount val="1"/>
                <c:pt idx="0">
                  <c:v>ln_mx-A</c:v>
                </c:pt>
              </c:strCache>
            </c:strRef>
          </c:tx>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4.33746719160105E-2"/>
                  <c:y val="0.5597685185185185"/>
                </c:manualLayout>
              </c:layout>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baseline="0"/>
                      <a:t>y = 0.0871x - 10.257</a:t>
                    </a:r>
                    <a:br>
                      <a:rPr lang="en-US" sz="1400" baseline="0"/>
                    </a:br>
                    <a:r>
                      <a:rPr lang="en-US" sz="1400" baseline="0"/>
                      <a:t>R² = 0.9971</a:t>
                    </a:r>
                    <a:endParaRPr lang="en-US" sz="1400"/>
                  </a:p>
                </c:rich>
              </c:tx>
              <c:numFmt formatCode="General" sourceLinked="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rendlineLbl>
          </c:trendline>
          <c:xVal>
            <c:numRef>
              <c:f>Makeham!$B$2:$B$66</c:f>
              <c:numCache>
                <c:formatCode>General</c:formatCode>
                <c:ptCount val="65"/>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pt idx="49">
                  <c:v>69</c:v>
                </c:pt>
                <c:pt idx="50">
                  <c:v>70</c:v>
                </c:pt>
                <c:pt idx="51">
                  <c:v>71</c:v>
                </c:pt>
                <c:pt idx="52">
                  <c:v>72</c:v>
                </c:pt>
                <c:pt idx="53">
                  <c:v>73</c:v>
                </c:pt>
                <c:pt idx="54">
                  <c:v>74</c:v>
                </c:pt>
                <c:pt idx="55">
                  <c:v>75</c:v>
                </c:pt>
                <c:pt idx="56">
                  <c:v>76</c:v>
                </c:pt>
                <c:pt idx="57">
                  <c:v>77</c:v>
                </c:pt>
                <c:pt idx="58">
                  <c:v>78</c:v>
                </c:pt>
                <c:pt idx="59">
                  <c:v>79</c:v>
                </c:pt>
                <c:pt idx="60">
                  <c:v>80</c:v>
                </c:pt>
                <c:pt idx="61">
                  <c:v>81</c:v>
                </c:pt>
                <c:pt idx="62">
                  <c:v>82</c:v>
                </c:pt>
                <c:pt idx="63">
                  <c:v>83</c:v>
                </c:pt>
                <c:pt idx="64">
                  <c:v>84</c:v>
                </c:pt>
              </c:numCache>
            </c:numRef>
          </c:xVal>
          <c:yVal>
            <c:numRef>
              <c:f>Makeham!$J$2:$J$66</c:f>
              <c:numCache>
                <c:formatCode>General</c:formatCode>
                <c:ptCount val="65"/>
                <c:pt idx="0">
                  <c:v>-8.8540497414990682</c:v>
                </c:pt>
                <c:pt idx="1">
                  <c:v>-8.6016500984850843</c:v>
                </c:pt>
                <c:pt idx="2">
                  <c:v>-8.5538454980423353</c:v>
                </c:pt>
                <c:pt idx="3">
                  <c:v>-8.1778598677447736</c:v>
                </c:pt>
                <c:pt idx="4">
                  <c:v>-8.2104357726815493</c:v>
                </c:pt>
                <c:pt idx="5">
                  <c:v>-8.099133556762002</c:v>
                </c:pt>
                <c:pt idx="6">
                  <c:v>-7.9610054110119881</c:v>
                </c:pt>
                <c:pt idx="7">
                  <c:v>-7.8575969736097351</c:v>
                </c:pt>
                <c:pt idx="8">
                  <c:v>-7.7805023199561916</c:v>
                </c:pt>
                <c:pt idx="9">
                  <c:v>-7.6934515015368135</c:v>
                </c:pt>
                <c:pt idx="10">
                  <c:v>-7.4915060464174736</c:v>
                </c:pt>
                <c:pt idx="11">
                  <c:v>-7.4106090104165991</c:v>
                </c:pt>
                <c:pt idx="12">
                  <c:v>-7.3481189419287984</c:v>
                </c:pt>
                <c:pt idx="13">
                  <c:v>-7.1719783430204265</c:v>
                </c:pt>
                <c:pt idx="14">
                  <c:v>-7.2241081227224226</c:v>
                </c:pt>
                <c:pt idx="15">
                  <c:v>-7.115022711111318</c:v>
                </c:pt>
                <c:pt idx="16">
                  <c:v>-7.0553250339458655</c:v>
                </c:pt>
                <c:pt idx="17">
                  <c:v>-6.975175546784631</c:v>
                </c:pt>
                <c:pt idx="18">
                  <c:v>-6.8374811273016949</c:v>
                </c:pt>
                <c:pt idx="19">
                  <c:v>-6.7795360006392933</c:v>
                </c:pt>
                <c:pt idx="20">
                  <c:v>-6.7314499069547642</c:v>
                </c:pt>
                <c:pt idx="21">
                  <c:v>-6.6839701323482474</c:v>
                </c:pt>
                <c:pt idx="22">
                  <c:v>-6.6486252764267926</c:v>
                </c:pt>
                <c:pt idx="23">
                  <c:v>-6.5253525744643728</c:v>
                </c:pt>
                <c:pt idx="24">
                  <c:v>-6.4904918776100846</c:v>
                </c:pt>
                <c:pt idx="25">
                  <c:v>-6.3638030979112017</c:v>
                </c:pt>
                <c:pt idx="26">
                  <c:v>-6.2696968752425093</c:v>
                </c:pt>
                <c:pt idx="27">
                  <c:v>-6.1846599295264602</c:v>
                </c:pt>
                <c:pt idx="28">
                  <c:v>-6.081038221514615</c:v>
                </c:pt>
                <c:pt idx="29">
                  <c:v>-6.0133820906589017</c:v>
                </c:pt>
                <c:pt idx="30">
                  <c:v>-5.9038925017786497</c:v>
                </c:pt>
                <c:pt idx="31">
                  <c:v>-5.8233087690301648</c:v>
                </c:pt>
                <c:pt idx="32">
                  <c:v>-5.725168866491968</c:v>
                </c:pt>
                <c:pt idx="33">
                  <c:v>-5.6213358812988474</c:v>
                </c:pt>
                <c:pt idx="34">
                  <c:v>-5.5414589901285183</c:v>
                </c:pt>
                <c:pt idx="35">
                  <c:v>-5.4454720501793528</c:v>
                </c:pt>
                <c:pt idx="36">
                  <c:v>-5.3545063618767559</c:v>
                </c:pt>
                <c:pt idx="37">
                  <c:v>-5.2491839752910989</c:v>
                </c:pt>
                <c:pt idx="38">
                  <c:v>-5.1713671886779444</c:v>
                </c:pt>
                <c:pt idx="39">
                  <c:v>-5.1185319812060301</c:v>
                </c:pt>
                <c:pt idx="40">
                  <c:v>-5.0018040667084458</c:v>
                </c:pt>
                <c:pt idx="41">
                  <c:v>-4.9335628353502887</c:v>
                </c:pt>
                <c:pt idx="42">
                  <c:v>-4.8628013764502729</c:v>
                </c:pt>
                <c:pt idx="43">
                  <c:v>-4.7959914933560102</c:v>
                </c:pt>
                <c:pt idx="44">
                  <c:v>-4.7365550553021789</c:v>
                </c:pt>
                <c:pt idx="45">
                  <c:v>-4.6782999327545145</c:v>
                </c:pt>
                <c:pt idx="46">
                  <c:v>-4.598214209834504</c:v>
                </c:pt>
                <c:pt idx="47">
                  <c:v>-4.5207553039232389</c:v>
                </c:pt>
                <c:pt idx="48">
                  <c:v>-4.4389100720800938</c:v>
                </c:pt>
                <c:pt idx="49">
                  <c:v>-4.3582474341235491</c:v>
                </c:pt>
                <c:pt idx="50">
                  <c:v>-4.2465310148036028</c:v>
                </c:pt>
                <c:pt idx="51">
                  <c:v>-4.1428332300027408</c:v>
                </c:pt>
                <c:pt idx="52">
                  <c:v>-4.0769682730767052</c:v>
                </c:pt>
                <c:pt idx="53">
                  <c:v>-3.9218813268144497</c:v>
                </c:pt>
                <c:pt idx="54">
                  <c:v>-3.8730041274747915</c:v>
                </c:pt>
                <c:pt idx="55">
                  <c:v>-3.7490200973788816</c:v>
                </c:pt>
                <c:pt idx="56">
                  <c:v>-3.6627127187626556</c:v>
                </c:pt>
                <c:pt idx="57">
                  <c:v>-3.5544603767961904</c:v>
                </c:pt>
                <c:pt idx="58">
                  <c:v>-3.4547626576311092</c:v>
                </c:pt>
                <c:pt idx="59">
                  <c:v>-3.3516131827793849</c:v>
                </c:pt>
                <c:pt idx="60">
                  <c:v>-3.2311305519541258</c:v>
                </c:pt>
                <c:pt idx="61">
                  <c:v>-3.1304117020285318</c:v>
                </c:pt>
                <c:pt idx="62">
                  <c:v>-3.0032242232240178</c:v>
                </c:pt>
                <c:pt idx="63">
                  <c:v>-2.8838903670356877</c:v>
                </c:pt>
                <c:pt idx="64">
                  <c:v>-2.7939708635675351</c:v>
                </c:pt>
              </c:numCache>
            </c:numRef>
          </c:yVal>
          <c:smooth val="0"/>
          <c:extLst>
            <c:ext xmlns:c16="http://schemas.microsoft.com/office/drawing/2014/chart" uri="{C3380CC4-5D6E-409C-BE32-E72D297353CC}">
              <c16:uniqueId val="{00000000-096C-4301-B5CF-785D635DCD66}"/>
            </c:ext>
          </c:extLst>
        </c:ser>
        <c:dLbls>
          <c:showLegendKey val="0"/>
          <c:showVal val="0"/>
          <c:showCatName val="0"/>
          <c:showSerName val="0"/>
          <c:showPercent val="0"/>
          <c:showBubbleSize val="0"/>
        </c:dLbls>
        <c:axId val="2080857295"/>
        <c:axId val="2080854415"/>
      </c:scatterChart>
      <c:valAx>
        <c:axId val="2080857295"/>
        <c:scaling>
          <c:orientation val="minMax"/>
          <c:max val="86"/>
          <c:min val="18"/>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0854415"/>
        <c:crosses val="autoZero"/>
        <c:crossBetween val="midCat"/>
      </c:valAx>
      <c:valAx>
        <c:axId val="2080854415"/>
        <c:scaling>
          <c:orientation val="minMax"/>
          <c:max val="-2"/>
          <c:min val="-9"/>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085729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ln_mx</a:t>
            </a:r>
            <a:r>
              <a:rPr lang="en-US" baseline="0"/>
              <a:t> Comparison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Makeham!$E$1</c:f>
              <c:strCache>
                <c:ptCount val="1"/>
                <c:pt idx="0">
                  <c:v>ln_mx</c:v>
                </c:pt>
              </c:strCache>
            </c:strRef>
          </c:tx>
          <c:spPr>
            <a:ln w="44450" cap="rnd">
              <a:solidFill>
                <a:srgbClr val="FE00A3"/>
              </a:solidFill>
              <a:round/>
            </a:ln>
            <a:effectLst/>
          </c:spPr>
          <c:marker>
            <c:symbol val="none"/>
          </c:marker>
          <c:cat>
            <c:numRef>
              <c:f>Makeham!$B$2:$B$66</c:f>
              <c:numCache>
                <c:formatCode>General</c:formatCode>
                <c:ptCount val="65"/>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pt idx="49">
                  <c:v>69</c:v>
                </c:pt>
                <c:pt idx="50">
                  <c:v>70</c:v>
                </c:pt>
                <c:pt idx="51">
                  <c:v>71</c:v>
                </c:pt>
                <c:pt idx="52">
                  <c:v>72</c:v>
                </c:pt>
                <c:pt idx="53">
                  <c:v>73</c:v>
                </c:pt>
                <c:pt idx="54">
                  <c:v>74</c:v>
                </c:pt>
                <c:pt idx="55">
                  <c:v>75</c:v>
                </c:pt>
                <c:pt idx="56">
                  <c:v>76</c:v>
                </c:pt>
                <c:pt idx="57">
                  <c:v>77</c:v>
                </c:pt>
                <c:pt idx="58">
                  <c:v>78</c:v>
                </c:pt>
                <c:pt idx="59">
                  <c:v>79</c:v>
                </c:pt>
                <c:pt idx="60">
                  <c:v>80</c:v>
                </c:pt>
                <c:pt idx="61">
                  <c:v>81</c:v>
                </c:pt>
                <c:pt idx="62">
                  <c:v>82</c:v>
                </c:pt>
                <c:pt idx="63">
                  <c:v>83</c:v>
                </c:pt>
                <c:pt idx="64">
                  <c:v>84</c:v>
                </c:pt>
              </c:numCache>
            </c:numRef>
          </c:cat>
          <c:val>
            <c:numRef>
              <c:f>Makeham!$E$2:$E$66</c:f>
              <c:numCache>
                <c:formatCode>General</c:formatCode>
                <c:ptCount val="65"/>
                <c:pt idx="0">
                  <c:v>-7.7920629650032414</c:v>
                </c:pt>
                <c:pt idx="1">
                  <c:v>-7.6974133599229262</c:v>
                </c:pt>
                <c:pt idx="2">
                  <c:v>-7.6777835038780404</c:v>
                </c:pt>
                <c:pt idx="3">
                  <c:v>-7.5037757488113597</c:v>
                </c:pt>
                <c:pt idx="4">
                  <c:v>-7.5202445565246281</c:v>
                </c:pt>
                <c:pt idx="5">
                  <c:v>-7.4628811616447077</c:v>
                </c:pt>
                <c:pt idx="6">
                  <c:v>-7.3874052852796783</c:v>
                </c:pt>
                <c:pt idx="7">
                  <c:v>-7.3278265394796636</c:v>
                </c:pt>
                <c:pt idx="8">
                  <c:v>-7.2817217200309301</c:v>
                </c:pt>
                <c:pt idx="9">
                  <c:v>-7.2279605431394778</c:v>
                </c:pt>
                <c:pt idx="10">
                  <c:v>-7.096497403579014</c:v>
                </c:pt>
                <c:pt idx="11">
                  <c:v>-7.0412866716066596</c:v>
                </c:pt>
                <c:pt idx="12">
                  <c:v>-6.997679986510124</c:v>
                </c:pt>
                <c:pt idx="13">
                  <c:v>-6.8704594942384398</c:v>
                </c:pt>
                <c:pt idx="14">
                  <c:v>-6.9087557793157206</c:v>
                </c:pt>
                <c:pt idx="15">
                  <c:v>-6.8280203109632831</c:v>
                </c:pt>
                <c:pt idx="16">
                  <c:v>-6.782886296936268</c:v>
                </c:pt>
                <c:pt idx="17">
                  <c:v>-6.7212757120395192</c:v>
                </c:pt>
                <c:pt idx="18">
                  <c:v>-6.6128493614410369</c:v>
                </c:pt>
                <c:pt idx="19">
                  <c:v>-6.5662955008498853</c:v>
                </c:pt>
                <c:pt idx="20">
                  <c:v>-6.5272661569441501</c:v>
                </c:pt>
                <c:pt idx="21">
                  <c:v>-6.488387265704981</c:v>
                </c:pt>
                <c:pt idx="22">
                  <c:v>-6.4592306814135254</c:v>
                </c:pt>
                <c:pt idx="23">
                  <c:v>-6.3561716627439786</c:v>
                </c:pt>
                <c:pt idx="24">
                  <c:v>-6.3266576022308145</c:v>
                </c:pt>
                <c:pt idx="25">
                  <c:v>-6.2181142377514798</c:v>
                </c:pt>
                <c:pt idx="26">
                  <c:v>-6.1362591320112152</c:v>
                </c:pt>
                <c:pt idx="27">
                  <c:v>-6.0614579189285172</c:v>
                </c:pt>
                <c:pt idx="28">
                  <c:v>-5.9693117424668483</c:v>
                </c:pt>
                <c:pt idx="29">
                  <c:v>-5.9085950692856875</c:v>
                </c:pt>
                <c:pt idx="30">
                  <c:v>-5.8094763792152646</c:v>
                </c:pt>
                <c:pt idx="31">
                  <c:v>-5.7358925285744347</c:v>
                </c:pt>
                <c:pt idx="32">
                  <c:v>-5.6456079106051291</c:v>
                </c:pt>
                <c:pt idx="33">
                  <c:v>-5.5493461213517818</c:v>
                </c:pt>
                <c:pt idx="34">
                  <c:v>-5.4748159100392026</c:v>
                </c:pt>
                <c:pt idx="35">
                  <c:v>-5.384747094546424</c:v>
                </c:pt>
                <c:pt idx="36">
                  <c:v>-5.2989175466200695</c:v>
                </c:pt>
                <c:pt idx="37">
                  <c:v>-5.1990151654741741</c:v>
                </c:pt>
                <c:pt idx="38">
                  <c:v>-5.1248683882576804</c:v>
                </c:pt>
                <c:pt idx="39">
                  <c:v>-5.0743741350632625</c:v>
                </c:pt>
                <c:pt idx="40">
                  <c:v>-4.9624167218257815</c:v>
                </c:pt>
                <c:pt idx="41">
                  <c:v>-4.8967264199884726</c:v>
                </c:pt>
                <c:pt idx="42">
                  <c:v>-4.8284387451154522</c:v>
                </c:pt>
                <c:pt idx="43">
                  <c:v>-4.763814279427689</c:v>
                </c:pt>
                <c:pt idx="44">
                  <c:v>-4.7062067301658628</c:v>
                </c:pt>
                <c:pt idx="45">
                  <c:v>-4.6496446760899204</c:v>
                </c:pt>
                <c:pt idx="46">
                  <c:v>-4.5717354099018541</c:v>
                </c:pt>
                <c:pt idx="47">
                  <c:v>-4.4962260989989122</c:v>
                </c:pt>
                <c:pt idx="48">
                  <c:v>-4.416286871358996</c:v>
                </c:pt>
                <c:pt idx="49">
                  <c:v>-4.3373592431787227</c:v>
                </c:pt>
                <c:pt idx="50">
                  <c:v>-4.2278302416057754</c:v>
                </c:pt>
                <c:pt idx="51">
                  <c:v>-4.1259590759914424</c:v>
                </c:pt>
                <c:pt idx="52">
                  <c:v>-4.0611612684318681</c:v>
                </c:pt>
                <c:pt idx="53">
                  <c:v>-3.9083298335905283</c:v>
                </c:pt>
                <c:pt idx="54">
                  <c:v>-3.8600949125677868</c:v>
                </c:pt>
                <c:pt idx="55">
                  <c:v>-3.737607620205289</c:v>
                </c:pt>
                <c:pt idx="56">
                  <c:v>-3.6522389900189443</c:v>
                </c:pt>
                <c:pt idx="57">
                  <c:v>-3.5450562048044163</c:v>
                </c:pt>
                <c:pt idx="58">
                  <c:v>-3.4462470502158795</c:v>
                </c:pt>
                <c:pt idx="59">
                  <c:v>-3.3439289738717632</c:v>
                </c:pt>
                <c:pt idx="60">
                  <c:v>-3.2243155936185657</c:v>
                </c:pt>
                <c:pt idx="61">
                  <c:v>-3.1242476957894181</c:v>
                </c:pt>
                <c:pt idx="62">
                  <c:v>-2.9977943982724393</c:v>
                </c:pt>
                <c:pt idx="63">
                  <c:v>-2.8790698655663105</c:v>
                </c:pt>
                <c:pt idx="64">
                  <c:v>-2.7895639902857563</c:v>
                </c:pt>
              </c:numCache>
            </c:numRef>
          </c:val>
          <c:smooth val="0"/>
          <c:extLst>
            <c:ext xmlns:c16="http://schemas.microsoft.com/office/drawing/2014/chart" uri="{C3380CC4-5D6E-409C-BE32-E72D297353CC}">
              <c16:uniqueId val="{00000000-F647-4208-AB0A-F913A7535AE7}"/>
            </c:ext>
          </c:extLst>
        </c:ser>
        <c:ser>
          <c:idx val="1"/>
          <c:order val="1"/>
          <c:tx>
            <c:v>make_ln_mx</c:v>
          </c:tx>
          <c:spPr>
            <a:ln w="25400" cap="rnd">
              <a:solidFill>
                <a:srgbClr val="2F8DFF"/>
              </a:solidFill>
              <a:prstDash val="lgDash"/>
              <a:round/>
            </a:ln>
            <a:effectLst/>
          </c:spPr>
          <c:marker>
            <c:symbol val="none"/>
          </c:marker>
          <c:cat>
            <c:numRef>
              <c:f>Makeham!$B$2:$B$66</c:f>
              <c:numCache>
                <c:formatCode>General</c:formatCode>
                <c:ptCount val="65"/>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pt idx="49">
                  <c:v>69</c:v>
                </c:pt>
                <c:pt idx="50">
                  <c:v>70</c:v>
                </c:pt>
                <c:pt idx="51">
                  <c:v>71</c:v>
                </c:pt>
                <c:pt idx="52">
                  <c:v>72</c:v>
                </c:pt>
                <c:pt idx="53">
                  <c:v>73</c:v>
                </c:pt>
                <c:pt idx="54">
                  <c:v>74</c:v>
                </c:pt>
                <c:pt idx="55">
                  <c:v>75</c:v>
                </c:pt>
                <c:pt idx="56">
                  <c:v>76</c:v>
                </c:pt>
                <c:pt idx="57">
                  <c:v>77</c:v>
                </c:pt>
                <c:pt idx="58">
                  <c:v>78</c:v>
                </c:pt>
                <c:pt idx="59">
                  <c:v>79</c:v>
                </c:pt>
                <c:pt idx="60">
                  <c:v>80</c:v>
                </c:pt>
                <c:pt idx="61">
                  <c:v>81</c:v>
                </c:pt>
                <c:pt idx="62">
                  <c:v>82</c:v>
                </c:pt>
                <c:pt idx="63">
                  <c:v>83</c:v>
                </c:pt>
                <c:pt idx="64">
                  <c:v>84</c:v>
                </c:pt>
              </c:numCache>
            </c:numRef>
          </c:cat>
          <c:val>
            <c:numRef>
              <c:f>Makeham!$G$2:$G$66</c:f>
              <c:numCache>
                <c:formatCode>General</c:formatCode>
                <c:ptCount val="65"/>
                <c:pt idx="0">
                  <c:v>-7.6533350373409306</c:v>
                </c:pt>
                <c:pt idx="1">
                  <c:v>-7.615088972441372</c:v>
                </c:pt>
                <c:pt idx="2">
                  <c:v>-7.5749820733270203</c:v>
                </c:pt>
                <c:pt idx="3">
                  <c:v>-7.5330022606044249</c:v>
                </c:pt>
                <c:pt idx="4">
                  <c:v>-7.4891444178711319</c:v>
                </c:pt>
                <c:pt idx="5">
                  <c:v>-7.4434104681386346</c:v>
                </c:pt>
                <c:pt idx="6">
                  <c:v>-7.3958093450721067</c:v>
                </c:pt>
                <c:pt idx="7">
                  <c:v>-7.3463568599567743</c:v>
                </c:pt>
                <c:pt idx="8">
                  <c:v>-7.2950754685750452</c:v>
                </c:pt>
                <c:pt idx="9">
                  <c:v>-7.2419939452286348</c:v>
                </c:pt>
                <c:pt idx="10">
                  <c:v>-7.1871469738090656</c:v>
                </c:pt>
                <c:pt idx="11">
                  <c:v>-7.1305746679814161</c:v>
                </c:pt>
                <c:pt idx="12">
                  <c:v>-7.0723220341124993</c:v>
                </c:pt>
                <c:pt idx="13">
                  <c:v>-7.0124383915018296</c:v>
                </c:pt>
                <c:pt idx="14">
                  <c:v>-6.9509767647613856</c:v>
                </c:pt>
                <c:pt idx="15">
                  <c:v>-6.8879932628781715</c:v>
                </c:pt>
                <c:pt idx="16">
                  <c:v>-6.8235464586543335</c:v>
                </c:pt>
                <c:pt idx="17">
                  <c:v>-6.7576967809495878</c:v>
                </c:pt>
                <c:pt idx="18">
                  <c:v>-6.6905059305599925</c:v>
                </c:pt>
                <c:pt idx="19">
                  <c:v>-6.6220363287698598</c:v>
                </c:pt>
                <c:pt idx="20">
                  <c:v>-6.5523506057194796</c:v>
                </c:pt>
                <c:pt idx="21">
                  <c:v>-6.4815111338387092</c:v>
                </c:pt>
                <c:pt idx="22">
                  <c:v>-6.4095796097877544</c:v>
                </c:pt>
                <c:pt idx="23">
                  <c:v>-6.3366166866857787</c:v>
                </c:pt>
                <c:pt idx="24">
                  <c:v>-6.2626816569401607</c:v>
                </c:pt>
                <c:pt idx="25">
                  <c:v>-6.1878321847412341</c:v>
                </c:pt>
                <c:pt idx="26">
                  <c:v>-6.1121240862699668</c:v>
                </c:pt>
                <c:pt idx="27">
                  <c:v>-6.035611154876773</c:v>
                </c:pt>
                <c:pt idx="28">
                  <c:v>-5.958345027915712</c:v>
                </c:pt>
                <c:pt idx="29">
                  <c:v>-5.880375091539662</c:v>
                </c:pt>
                <c:pt idx="30">
                  <c:v>-5.8017484195541202</c:v>
                </c:pt>
                <c:pt idx="31">
                  <c:v>-5.7225097423632789</c:v>
                </c:pt>
                <c:pt idx="32">
                  <c:v>-5.6427014420950901</c:v>
                </c:pt>
                <c:pt idx="33">
                  <c:v>-5.5623635701362844</c:v>
                </c:pt>
                <c:pt idx="34">
                  <c:v>-5.4815338835201501</c:v>
                </c:pt>
                <c:pt idx="35">
                  <c:v>-5.4002478968684411</c:v>
                </c:pt>
                <c:pt idx="36">
                  <c:v>-5.3185389468762292</c:v>
                </c:pt>
                <c:pt idx="37">
                  <c:v>-5.2364382666301328</c:v>
                </c:pt>
                <c:pt idx="38">
                  <c:v>-5.1539750673542946</c:v>
                </c:pt>
                <c:pt idx="39">
                  <c:v>-5.0711766254757666</c:v>
                </c:pt>
                <c:pt idx="40">
                  <c:v>-4.9880683731848272</c:v>
                </c:pt>
                <c:pt idx="41">
                  <c:v>-4.904673990931542</c:v>
                </c:pt>
                <c:pt idx="42">
                  <c:v>-4.8210155005447328</c:v>
                </c:pt>
                <c:pt idx="43">
                  <c:v>-4.737113357881757</c:v>
                </c:pt>
                <c:pt idx="44">
                  <c:v>-4.6529865441166507</c:v>
                </c:pt>
                <c:pt idx="45">
                  <c:v>-4.5686526549505908</c:v>
                </c:pt>
                <c:pt idx="46">
                  <c:v>-4.484127987183129</c:v>
                </c:pt>
                <c:pt idx="47">
                  <c:v>-4.3994276222165514</c:v>
                </c:pt>
                <c:pt idx="48">
                  <c:v>-4.3145655061805801</c:v>
                </c:pt>
                <c:pt idx="49">
                  <c:v>-4.2295545264621746</c:v>
                </c:pt>
                <c:pt idx="50">
                  <c:v>-4.1444065845070748</c:v>
                </c:pt>
                <c:pt idx="51">
                  <c:v>-4.0591326648277608</c:v>
                </c:pt>
                <c:pt idx="52">
                  <c:v>-3.9737429002082845</c:v>
                </c:pt>
                <c:pt idx="53">
                  <c:v>-3.8882466331415433</c:v>
                </c:pt>
                <c:pt idx="54">
                  <c:v>-3.8026524735704328</c:v>
                </c:pt>
                <c:pt idx="55">
                  <c:v>-3.7169683530322741</c:v>
                </c:pt>
                <c:pt idx="56">
                  <c:v>-3.6312015753271369</c:v>
                </c:pt>
                <c:pt idx="57">
                  <c:v>-3.5453588638462064</c:v>
                </c:pt>
                <c:pt idx="58">
                  <c:v>-3.4594464057071366</c:v>
                </c:pt>
                <c:pt idx="59">
                  <c:v>-3.3734698928501885</c:v>
                </c:pt>
                <c:pt idx="60">
                  <c:v>-3.2874345602525614</c:v>
                </c:pt>
                <c:pt idx="61">
                  <c:v>-3.2013452214193547</c:v>
                </c:pt>
                <c:pt idx="62">
                  <c:v>-3.1152063013084805</c:v>
                </c:pt>
                <c:pt idx="63">
                  <c:v>-3.0290218668441411</c:v>
                </c:pt>
                <c:pt idx="64">
                  <c:v>-2.9427956551694359</c:v>
                </c:pt>
              </c:numCache>
            </c:numRef>
          </c:val>
          <c:smooth val="0"/>
          <c:extLst>
            <c:ext xmlns:c16="http://schemas.microsoft.com/office/drawing/2014/chart" uri="{C3380CC4-5D6E-409C-BE32-E72D297353CC}">
              <c16:uniqueId val="{00000001-F647-4208-AB0A-F913A7535AE7}"/>
            </c:ext>
          </c:extLst>
        </c:ser>
        <c:ser>
          <c:idx val="2"/>
          <c:order val="2"/>
          <c:tx>
            <c:strRef>
              <c:f>Makeham!$K$1</c:f>
              <c:strCache>
                <c:ptCount val="1"/>
                <c:pt idx="0">
                  <c:v>gomp_ln_mx</c:v>
                </c:pt>
              </c:strCache>
            </c:strRef>
          </c:tx>
          <c:spPr>
            <a:ln w="25400" cap="rnd">
              <a:solidFill>
                <a:srgbClr val="03DB89"/>
              </a:solidFill>
              <a:prstDash val="dash"/>
              <a:round/>
            </a:ln>
            <a:effectLst/>
          </c:spPr>
          <c:marker>
            <c:symbol val="none"/>
          </c:marker>
          <c:cat>
            <c:numRef>
              <c:f>Makeham!$B$2:$B$66</c:f>
              <c:numCache>
                <c:formatCode>General</c:formatCode>
                <c:ptCount val="65"/>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pt idx="49">
                  <c:v>69</c:v>
                </c:pt>
                <c:pt idx="50">
                  <c:v>70</c:v>
                </c:pt>
                <c:pt idx="51">
                  <c:v>71</c:v>
                </c:pt>
                <c:pt idx="52">
                  <c:v>72</c:v>
                </c:pt>
                <c:pt idx="53">
                  <c:v>73</c:v>
                </c:pt>
                <c:pt idx="54">
                  <c:v>74</c:v>
                </c:pt>
                <c:pt idx="55">
                  <c:v>75</c:v>
                </c:pt>
                <c:pt idx="56">
                  <c:v>76</c:v>
                </c:pt>
                <c:pt idx="57">
                  <c:v>77</c:v>
                </c:pt>
                <c:pt idx="58">
                  <c:v>78</c:v>
                </c:pt>
                <c:pt idx="59">
                  <c:v>79</c:v>
                </c:pt>
                <c:pt idx="60">
                  <c:v>80</c:v>
                </c:pt>
                <c:pt idx="61">
                  <c:v>81</c:v>
                </c:pt>
                <c:pt idx="62">
                  <c:v>82</c:v>
                </c:pt>
                <c:pt idx="63">
                  <c:v>83</c:v>
                </c:pt>
                <c:pt idx="64">
                  <c:v>84</c:v>
                </c:pt>
              </c:numCache>
            </c:numRef>
          </c:cat>
          <c:val>
            <c:numRef>
              <c:f>Makeham!$K$2:$K$66</c:f>
              <c:numCache>
                <c:formatCode>General</c:formatCode>
                <c:ptCount val="65"/>
                <c:pt idx="0">
                  <c:v>-7.9664000000000001</c:v>
                </c:pt>
                <c:pt idx="1">
                  <c:v>-7.8902999999999999</c:v>
                </c:pt>
                <c:pt idx="2">
                  <c:v>-7.8142000000000005</c:v>
                </c:pt>
                <c:pt idx="3">
                  <c:v>-7.7381000000000002</c:v>
                </c:pt>
                <c:pt idx="4">
                  <c:v>-7.6620000000000008</c:v>
                </c:pt>
                <c:pt idx="5">
                  <c:v>-7.5859000000000005</c:v>
                </c:pt>
                <c:pt idx="6">
                  <c:v>-7.5098000000000003</c:v>
                </c:pt>
                <c:pt idx="7">
                  <c:v>-7.4337</c:v>
                </c:pt>
                <c:pt idx="8">
                  <c:v>-7.3576000000000006</c:v>
                </c:pt>
                <c:pt idx="9">
                  <c:v>-7.2815000000000003</c:v>
                </c:pt>
                <c:pt idx="10">
                  <c:v>-7.2054000000000009</c:v>
                </c:pt>
                <c:pt idx="11">
                  <c:v>-7.1293000000000006</c:v>
                </c:pt>
                <c:pt idx="12">
                  <c:v>-7.0532000000000004</c:v>
                </c:pt>
                <c:pt idx="13">
                  <c:v>-6.9771000000000001</c:v>
                </c:pt>
                <c:pt idx="14">
                  <c:v>-6.9009999999999998</c:v>
                </c:pt>
                <c:pt idx="15">
                  <c:v>-6.8249000000000004</c:v>
                </c:pt>
                <c:pt idx="16">
                  <c:v>-6.7488000000000001</c:v>
                </c:pt>
                <c:pt idx="17">
                  <c:v>-6.6727000000000007</c:v>
                </c:pt>
                <c:pt idx="18">
                  <c:v>-6.5966000000000005</c:v>
                </c:pt>
                <c:pt idx="19">
                  <c:v>-6.5205000000000002</c:v>
                </c:pt>
                <c:pt idx="20">
                  <c:v>-6.4443999999999999</c:v>
                </c:pt>
                <c:pt idx="21">
                  <c:v>-6.3683000000000005</c:v>
                </c:pt>
                <c:pt idx="22">
                  <c:v>-6.2922000000000002</c:v>
                </c:pt>
                <c:pt idx="23">
                  <c:v>-6.2161000000000008</c:v>
                </c:pt>
                <c:pt idx="24">
                  <c:v>-6.1400000000000006</c:v>
                </c:pt>
                <c:pt idx="25">
                  <c:v>-6.0639000000000003</c:v>
                </c:pt>
                <c:pt idx="26">
                  <c:v>-5.9878</c:v>
                </c:pt>
                <c:pt idx="27">
                  <c:v>-5.9116999999999997</c:v>
                </c:pt>
                <c:pt idx="28">
                  <c:v>-5.8356000000000003</c:v>
                </c:pt>
                <c:pt idx="29">
                  <c:v>-5.759500000000001</c:v>
                </c:pt>
                <c:pt idx="30">
                  <c:v>-5.6834000000000007</c:v>
                </c:pt>
                <c:pt idx="31">
                  <c:v>-5.6073000000000004</c:v>
                </c:pt>
                <c:pt idx="32">
                  <c:v>-5.5312000000000001</c:v>
                </c:pt>
                <c:pt idx="33">
                  <c:v>-5.4551000000000007</c:v>
                </c:pt>
                <c:pt idx="34">
                  <c:v>-5.3790000000000004</c:v>
                </c:pt>
                <c:pt idx="35">
                  <c:v>-5.3029000000000002</c:v>
                </c:pt>
                <c:pt idx="36">
                  <c:v>-5.2268000000000008</c:v>
                </c:pt>
                <c:pt idx="37">
                  <c:v>-5.1507000000000005</c:v>
                </c:pt>
                <c:pt idx="38">
                  <c:v>-5.0746000000000002</c:v>
                </c:pt>
                <c:pt idx="39">
                  <c:v>-4.9984999999999999</c:v>
                </c:pt>
                <c:pt idx="40">
                  <c:v>-4.9224000000000006</c:v>
                </c:pt>
                <c:pt idx="41">
                  <c:v>-4.8463000000000003</c:v>
                </c:pt>
                <c:pt idx="42">
                  <c:v>-4.7702</c:v>
                </c:pt>
                <c:pt idx="43">
                  <c:v>-4.6941000000000006</c:v>
                </c:pt>
                <c:pt idx="44">
                  <c:v>-4.6180000000000003</c:v>
                </c:pt>
                <c:pt idx="45">
                  <c:v>-4.5419</c:v>
                </c:pt>
                <c:pt idx="46">
                  <c:v>-4.4658000000000007</c:v>
                </c:pt>
                <c:pt idx="47">
                  <c:v>-4.3897000000000004</c:v>
                </c:pt>
                <c:pt idx="48">
                  <c:v>-4.3136000000000001</c:v>
                </c:pt>
                <c:pt idx="49">
                  <c:v>-4.2375000000000007</c:v>
                </c:pt>
                <c:pt idx="50">
                  <c:v>-4.1614000000000004</c:v>
                </c:pt>
                <c:pt idx="51">
                  <c:v>-4.0853000000000002</c:v>
                </c:pt>
                <c:pt idx="52">
                  <c:v>-4.0091999999999999</c:v>
                </c:pt>
                <c:pt idx="53">
                  <c:v>-3.9331000000000005</c:v>
                </c:pt>
                <c:pt idx="54">
                  <c:v>-3.8570000000000002</c:v>
                </c:pt>
                <c:pt idx="55">
                  <c:v>-3.7808999999999999</c:v>
                </c:pt>
                <c:pt idx="56">
                  <c:v>-3.7048000000000005</c:v>
                </c:pt>
                <c:pt idx="57">
                  <c:v>-3.6287000000000003</c:v>
                </c:pt>
                <c:pt idx="58">
                  <c:v>-3.5526</c:v>
                </c:pt>
                <c:pt idx="59">
                  <c:v>-3.4765000000000006</c:v>
                </c:pt>
                <c:pt idx="60">
                  <c:v>-3.4004000000000003</c:v>
                </c:pt>
                <c:pt idx="61">
                  <c:v>-3.3243</c:v>
                </c:pt>
                <c:pt idx="62">
                  <c:v>-3.2482000000000006</c:v>
                </c:pt>
                <c:pt idx="63">
                  <c:v>-3.1721000000000004</c:v>
                </c:pt>
                <c:pt idx="64">
                  <c:v>-3.0960000000000001</c:v>
                </c:pt>
              </c:numCache>
            </c:numRef>
          </c:val>
          <c:smooth val="0"/>
          <c:extLst>
            <c:ext xmlns:c16="http://schemas.microsoft.com/office/drawing/2014/chart" uri="{C3380CC4-5D6E-409C-BE32-E72D297353CC}">
              <c16:uniqueId val="{00000002-F647-4208-AB0A-F913A7535AE7}"/>
            </c:ext>
          </c:extLst>
        </c:ser>
        <c:dLbls>
          <c:showLegendKey val="0"/>
          <c:showVal val="0"/>
          <c:showCatName val="0"/>
          <c:showSerName val="0"/>
          <c:showPercent val="0"/>
          <c:showBubbleSize val="0"/>
        </c:dLbls>
        <c:smooth val="0"/>
        <c:axId val="506371488"/>
        <c:axId val="506368128"/>
      </c:lineChart>
      <c:catAx>
        <c:axId val="506371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368128"/>
        <c:crosses val="autoZero"/>
        <c:auto val="1"/>
        <c:lblAlgn val="ctr"/>
        <c:lblOffset val="100"/>
        <c:tickLblSkip val="5"/>
        <c:noMultiLvlLbl val="0"/>
      </c:catAx>
      <c:valAx>
        <c:axId val="506368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3714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B0F0"/>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Residual Comparisons Makeham</a:t>
            </a:r>
            <a:r>
              <a:rPr lang="en-US" baseline="0"/>
              <a:t> vs Gompertz</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Makeham!$M$1</c:f>
              <c:strCache>
                <c:ptCount val="1"/>
                <c:pt idx="0">
                  <c:v>gomp_r_ei</c:v>
                </c:pt>
              </c:strCache>
            </c:strRef>
          </c:tx>
          <c:spPr>
            <a:ln w="28575" cap="rnd">
              <a:solidFill>
                <a:schemeClr val="accent1"/>
              </a:solidFill>
              <a:round/>
            </a:ln>
            <a:effectLst/>
          </c:spPr>
          <c:marker>
            <c:symbol val="none"/>
          </c:marker>
          <c:cat>
            <c:numRef>
              <c:f>Makeham!$B$2:$B$66</c:f>
              <c:numCache>
                <c:formatCode>General</c:formatCode>
                <c:ptCount val="65"/>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pt idx="49">
                  <c:v>69</c:v>
                </c:pt>
                <c:pt idx="50">
                  <c:v>70</c:v>
                </c:pt>
                <c:pt idx="51">
                  <c:v>71</c:v>
                </c:pt>
                <c:pt idx="52">
                  <c:v>72</c:v>
                </c:pt>
                <c:pt idx="53">
                  <c:v>73</c:v>
                </c:pt>
                <c:pt idx="54">
                  <c:v>74</c:v>
                </c:pt>
                <c:pt idx="55">
                  <c:v>75</c:v>
                </c:pt>
                <c:pt idx="56">
                  <c:v>76</c:v>
                </c:pt>
                <c:pt idx="57">
                  <c:v>77</c:v>
                </c:pt>
                <c:pt idx="58">
                  <c:v>78</c:v>
                </c:pt>
                <c:pt idx="59">
                  <c:v>79</c:v>
                </c:pt>
                <c:pt idx="60">
                  <c:v>80</c:v>
                </c:pt>
                <c:pt idx="61">
                  <c:v>81</c:v>
                </c:pt>
                <c:pt idx="62">
                  <c:v>82</c:v>
                </c:pt>
                <c:pt idx="63">
                  <c:v>83</c:v>
                </c:pt>
                <c:pt idx="64">
                  <c:v>84</c:v>
                </c:pt>
              </c:numCache>
            </c:numRef>
          </c:cat>
          <c:val>
            <c:numRef>
              <c:f>Makeham!$M$2:$M$66</c:f>
              <c:numCache>
                <c:formatCode>0.00%</c:formatCode>
                <c:ptCount val="65"/>
                <c:pt idx="0">
                  <c:v>0.15998626408339406</c:v>
                </c:pt>
                <c:pt idx="1">
                  <c:v>0.17542455735019463</c:v>
                </c:pt>
                <c:pt idx="2">
                  <c:v>0.1275208273877656</c:v>
                </c:pt>
                <c:pt idx="3">
                  <c:v>0.20889474251697038</c:v>
                </c:pt>
                <c:pt idx="4">
                  <c:v>0.13216653512753529</c:v>
                </c:pt>
                <c:pt idx="5">
                  <c:v>0.11575299535536891</c:v>
                </c:pt>
                <c:pt idx="6">
                  <c:v>0.11520094364427987</c:v>
                </c:pt>
                <c:pt idx="7">
                  <c:v>0.10046153199595774</c:v>
                </c:pt>
                <c:pt idx="8">
                  <c:v>7.307097447731882E-2</c:v>
                </c:pt>
                <c:pt idx="9">
                  <c:v>5.2131459650895856E-2</c:v>
                </c:pt>
                <c:pt idx="10">
                  <c:v>0.103182233495762</c:v>
                </c:pt>
                <c:pt idx="11">
                  <c:v>8.4251328816564469E-2</c:v>
                </c:pt>
                <c:pt idx="12">
                  <c:v>5.4006909142230802E-2</c:v>
                </c:pt>
                <c:pt idx="13">
                  <c:v>0.10115125413928792</c:v>
                </c:pt>
                <c:pt idx="14">
                  <c:v>-7.785933277459839E-3</c:v>
                </c:pt>
                <c:pt idx="15">
                  <c:v>-3.1251842008175774E-3</c:v>
                </c:pt>
                <c:pt idx="16">
                  <c:v>-3.4673892062380231E-2</c:v>
                </c:pt>
                <c:pt idx="17">
                  <c:v>-4.9774849406384616E-2</c:v>
                </c:pt>
                <c:pt idx="18">
                  <c:v>-1.6382100313925254E-2</c:v>
                </c:pt>
                <c:pt idx="19">
                  <c:v>-4.6860307022486079E-2</c:v>
                </c:pt>
                <c:pt idx="20">
                  <c:v>-8.6396392203882497E-2</c:v>
                </c:pt>
                <c:pt idx="21">
                  <c:v>-0.12759524768013575</c:v>
                </c:pt>
                <c:pt idx="22">
                  <c:v>-0.18179052375578458</c:v>
                </c:pt>
                <c:pt idx="23">
                  <c:v>-0.15035623358759043</c:v>
                </c:pt>
                <c:pt idx="24">
                  <c:v>-0.20521455162047836</c:v>
                </c:pt>
                <c:pt idx="25">
                  <c:v>-0.16674081993463652</c:v>
                </c:pt>
                <c:pt idx="26">
                  <c:v>-0.16004538808364238</c:v>
                </c:pt>
                <c:pt idx="27">
                  <c:v>-0.16155301869068464</c:v>
                </c:pt>
                <c:pt idx="28">
                  <c:v>-0.14306327554998391</c:v>
                </c:pt>
                <c:pt idx="29">
                  <c:v>-0.16078333880631265</c:v>
                </c:pt>
                <c:pt idx="30">
                  <c:v>-0.1343688071734718</c:v>
                </c:pt>
                <c:pt idx="31">
                  <c:v>-0.13722664238306892</c:v>
                </c:pt>
                <c:pt idx="32">
                  <c:v>-0.1212093848157391</c:v>
                </c:pt>
                <c:pt idx="33">
                  <c:v>-9.8830158202483934E-2</c:v>
                </c:pt>
                <c:pt idx="34">
                  <c:v>-0.10055644395164631</c:v>
                </c:pt>
                <c:pt idx="35">
                  <c:v>-8.5289850404859563E-2</c:v>
                </c:pt>
                <c:pt idx="36">
                  <c:v>-7.4781673591780493E-2</c:v>
                </c:pt>
                <c:pt idx="37">
                  <c:v>-4.9501369803575661E-2</c:v>
                </c:pt>
                <c:pt idx="38">
                  <c:v>-5.1553283059904836E-2</c:v>
                </c:pt>
                <c:pt idx="39">
                  <c:v>-7.8826779147106729E-2</c:v>
                </c:pt>
                <c:pt idx="40">
                  <c:v>-4.0828178594211263E-2</c:v>
                </c:pt>
                <c:pt idx="41">
                  <c:v>-5.1719474976693061E-2</c:v>
                </c:pt>
                <c:pt idx="42">
                  <c:v>-5.9968027693020509E-2</c:v>
                </c:pt>
                <c:pt idx="43">
                  <c:v>-7.2201787376320686E-2</c:v>
                </c:pt>
                <c:pt idx="44">
                  <c:v>-9.2213892249592228E-2</c:v>
                </c:pt>
                <c:pt idx="45">
                  <c:v>-0.11376333866941156</c:v>
                </c:pt>
                <c:pt idx="46">
                  <c:v>-0.11175006614139706</c:v>
                </c:pt>
                <c:pt idx="47">
                  <c:v>-0.11240695877467666</c:v>
                </c:pt>
                <c:pt idx="48">
                  <c:v>-0.10814436300522856</c:v>
                </c:pt>
                <c:pt idx="49">
                  <c:v>-0.10501536867766745</c:v>
                </c:pt>
                <c:pt idx="50">
                  <c:v>-6.8686411626712629E-2</c:v>
                </c:pt>
                <c:pt idx="51">
                  <c:v>-4.1496973689106112E-2</c:v>
                </c:pt>
                <c:pt idx="52">
                  <c:v>-5.3334944408958633E-2</c:v>
                </c:pt>
                <c:pt idx="53">
                  <c:v>2.4465903231251779E-2</c:v>
                </c:pt>
                <c:pt idx="54">
                  <c:v>-3.099706754119606E-3</c:v>
                </c:pt>
                <c:pt idx="55">
                  <c:v>4.2368642928708879E-2</c:v>
                </c:pt>
                <c:pt idx="56">
                  <c:v>5.120356676261633E-2</c:v>
                </c:pt>
                <c:pt idx="57">
                  <c:v>8.0241179737770188E-2</c:v>
                </c:pt>
                <c:pt idx="58">
                  <c:v>0.10089274764392316</c:v>
                </c:pt>
                <c:pt idx="59">
                  <c:v>0.12415927567877609</c:v>
                </c:pt>
                <c:pt idx="60">
                  <c:v>0.161452798385189</c:v>
                </c:pt>
                <c:pt idx="61">
                  <c:v>0.18131206886798162</c:v>
                </c:pt>
                <c:pt idx="62">
                  <c:v>0.22151503581909454</c:v>
                </c:pt>
                <c:pt idx="63">
                  <c:v>0.25400033991891552</c:v>
                </c:pt>
                <c:pt idx="64">
                  <c:v>0.2639343822785285</c:v>
                </c:pt>
              </c:numCache>
            </c:numRef>
          </c:val>
          <c:smooth val="0"/>
          <c:extLst>
            <c:ext xmlns:c16="http://schemas.microsoft.com/office/drawing/2014/chart" uri="{C3380CC4-5D6E-409C-BE32-E72D297353CC}">
              <c16:uniqueId val="{00000000-5086-4107-B605-7DD18BF10D8B}"/>
            </c:ext>
          </c:extLst>
        </c:ser>
        <c:ser>
          <c:idx val="1"/>
          <c:order val="1"/>
          <c:tx>
            <c:strRef>
              <c:f>Makeham!$N$1</c:f>
              <c:strCache>
                <c:ptCount val="1"/>
                <c:pt idx="0">
                  <c:v>make_r_ei</c:v>
                </c:pt>
              </c:strCache>
            </c:strRef>
          </c:tx>
          <c:spPr>
            <a:ln w="28575" cap="rnd">
              <a:solidFill>
                <a:schemeClr val="accent2"/>
              </a:solidFill>
              <a:round/>
            </a:ln>
            <a:effectLst/>
          </c:spPr>
          <c:marker>
            <c:symbol val="none"/>
          </c:marker>
          <c:cat>
            <c:numRef>
              <c:f>Makeham!$B$2:$B$66</c:f>
              <c:numCache>
                <c:formatCode>General</c:formatCode>
                <c:ptCount val="65"/>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pt idx="49">
                  <c:v>69</c:v>
                </c:pt>
                <c:pt idx="50">
                  <c:v>70</c:v>
                </c:pt>
                <c:pt idx="51">
                  <c:v>71</c:v>
                </c:pt>
                <c:pt idx="52">
                  <c:v>72</c:v>
                </c:pt>
                <c:pt idx="53">
                  <c:v>73</c:v>
                </c:pt>
                <c:pt idx="54">
                  <c:v>74</c:v>
                </c:pt>
                <c:pt idx="55">
                  <c:v>75</c:v>
                </c:pt>
                <c:pt idx="56">
                  <c:v>76</c:v>
                </c:pt>
                <c:pt idx="57">
                  <c:v>77</c:v>
                </c:pt>
                <c:pt idx="58">
                  <c:v>78</c:v>
                </c:pt>
                <c:pt idx="59">
                  <c:v>79</c:v>
                </c:pt>
                <c:pt idx="60">
                  <c:v>80</c:v>
                </c:pt>
                <c:pt idx="61">
                  <c:v>81</c:v>
                </c:pt>
                <c:pt idx="62">
                  <c:v>82</c:v>
                </c:pt>
                <c:pt idx="63">
                  <c:v>83</c:v>
                </c:pt>
                <c:pt idx="64">
                  <c:v>84</c:v>
                </c:pt>
              </c:numCache>
            </c:numRef>
          </c:cat>
          <c:val>
            <c:numRef>
              <c:f>Makeham!$N$2:$N$66</c:f>
              <c:numCache>
                <c:formatCode>0.00%</c:formatCode>
                <c:ptCount val="65"/>
                <c:pt idx="0">
                  <c:v>-0.1488114976505773</c:v>
                </c:pt>
                <c:pt idx="1">
                  <c:v>-8.580797522197256E-2</c:v>
                </c:pt>
                <c:pt idx="2">
                  <c:v>-0.10827131840007249</c:v>
                </c:pt>
                <c:pt idx="3">
                  <c:v>2.8803547899936451E-2</c:v>
                </c:pt>
                <c:pt idx="4">
                  <c:v>-3.1588800627894167E-2</c:v>
                </c:pt>
                <c:pt idx="5">
                  <c:v>-1.9661483719695547E-2</c:v>
                </c:pt>
                <c:pt idx="6">
                  <c:v>8.3688444017307947E-3</c:v>
                </c:pt>
                <c:pt idx="7">
                  <c:v>1.8359689662000099E-2</c:v>
                </c:pt>
                <c:pt idx="8">
                  <c:v>1.3264982801793638E-2</c:v>
                </c:pt>
                <c:pt idx="9">
                  <c:v>1.3935392905140587E-2</c:v>
                </c:pt>
                <c:pt idx="10">
                  <c:v>8.666228444804111E-2</c:v>
                </c:pt>
                <c:pt idx="11">
                  <c:v>8.5417860698320608E-2</c:v>
                </c:pt>
                <c:pt idx="12">
                  <c:v>7.1924366223193661E-2</c:v>
                </c:pt>
                <c:pt idx="13">
                  <c:v>0.13236043413804405</c:v>
                </c:pt>
                <c:pt idx="14">
                  <c:v>4.1342092282039111E-2</c:v>
                </c:pt>
                <c:pt idx="15">
                  <c:v>5.8209993143991424E-2</c:v>
                </c:pt>
                <c:pt idx="16">
                  <c:v>3.9844627938089135E-2</c:v>
                </c:pt>
                <c:pt idx="17">
                  <c:v>3.5765801050971303E-2</c:v>
                </c:pt>
                <c:pt idx="18">
                  <c:v>7.471785755491557E-2</c:v>
                </c:pt>
                <c:pt idx="19">
                  <c:v>5.4215775006254914E-2</c:v>
                </c:pt>
                <c:pt idx="20">
                  <c:v>2.4772448221645021E-2</c:v>
                </c:pt>
                <c:pt idx="21">
                  <c:v>-6.8998267395500449E-3</c:v>
                </c:pt>
                <c:pt idx="22">
                  <c:v>-5.0904342050708443E-2</c:v>
                </c:pt>
                <c:pt idx="23">
                  <c:v>-1.9747427013558312E-2</c:v>
                </c:pt>
                <c:pt idx="24">
                  <c:v>-6.606675452715087E-2</c:v>
                </c:pt>
                <c:pt idx="25">
                  <c:v>-3.0745217748932352E-2</c:v>
                </c:pt>
                <c:pt idx="26">
                  <c:v>-2.4428653276446978E-2</c:v>
                </c:pt>
                <c:pt idx="27">
                  <c:v>-2.6183688194240294E-2</c:v>
                </c:pt>
                <c:pt idx="28">
                  <c:v>-1.1027069394826634E-2</c:v>
                </c:pt>
                <c:pt idx="29">
                  <c:v>-2.8621933470071883E-2</c:v>
                </c:pt>
                <c:pt idx="30">
                  <c:v>-7.7578974109578118E-3</c:v>
                </c:pt>
                <c:pt idx="31">
                  <c:v>-1.3472736508510217E-2</c:v>
                </c:pt>
                <c:pt idx="32">
                  <c:v>-2.9106963847083259E-3</c:v>
                </c:pt>
                <c:pt idx="33">
                  <c:v>1.2933088247806916E-2</c:v>
                </c:pt>
                <c:pt idx="34">
                  <c:v>6.6954583440134085E-3</c:v>
                </c:pt>
                <c:pt idx="35">
                  <c:v>1.5381283229858033E-2</c:v>
                </c:pt>
                <c:pt idx="36">
                  <c:v>1.9430153468007756E-2</c:v>
                </c:pt>
                <c:pt idx="37">
                  <c:v>3.6731510893902829E-2</c:v>
                </c:pt>
                <c:pt idx="38">
                  <c:v>2.8687159836888743E-2</c:v>
                </c:pt>
                <c:pt idx="39">
                  <c:v>-3.2026270742273925E-3</c:v>
                </c:pt>
                <c:pt idx="40">
                  <c:v>2.5325442963875799E-2</c:v>
                </c:pt>
                <c:pt idx="41">
                  <c:v>7.9160725017232755E-3</c:v>
                </c:pt>
                <c:pt idx="42">
                  <c:v>-7.4508651531783677E-3</c:v>
                </c:pt>
                <c:pt idx="43">
                  <c:v>-2.7060585132656436E-2</c:v>
                </c:pt>
                <c:pt idx="44">
                  <c:v>-5.4661841379337342E-2</c:v>
                </c:pt>
                <c:pt idx="45">
                  <c:v>-8.4362244556978591E-2</c:v>
                </c:pt>
                <c:pt idx="46">
                  <c:v>-9.1559516435980551E-2</c:v>
                </c:pt>
                <c:pt idx="47">
                  <c:v>-0.10163834554578721</c:v>
                </c:pt>
                <c:pt idx="48">
                  <c:v>-0.10707495911503784</c:v>
                </c:pt>
                <c:pt idx="49">
                  <c:v>-0.11383021172586084</c:v>
                </c:pt>
                <c:pt idx="50">
                  <c:v>-8.7002227221396916E-2</c:v>
                </c:pt>
                <c:pt idx="51">
                  <c:v>-6.9109876526516373E-2</c:v>
                </c:pt>
                <c:pt idx="52">
                  <c:v>-9.1353171708497397E-2</c:v>
                </c:pt>
                <c:pt idx="53">
                  <c:v>-2.0286224767476477E-2</c:v>
                </c:pt>
                <c:pt idx="54">
                  <c:v>-5.9124304643214692E-2</c:v>
                </c:pt>
                <c:pt idx="55">
                  <c:v>-2.0853729756752568E-2</c:v>
                </c:pt>
                <c:pt idx="56">
                  <c:v>-2.1260261060650081E-2</c:v>
                </c:pt>
                <c:pt idx="57">
                  <c:v>3.0261324516230942E-4</c:v>
                </c:pt>
                <c:pt idx="58">
                  <c:v>1.311262600901369E-2</c:v>
                </c:pt>
                <c:pt idx="59">
                  <c:v>2.9108851045606187E-2</c:v>
                </c:pt>
                <c:pt idx="60">
                  <c:v>6.1168222611245944E-2</c:v>
                </c:pt>
                <c:pt idx="61">
                  <c:v>7.4200439981688376E-2</c:v>
                </c:pt>
                <c:pt idx="62">
                  <c:v>0.11078115422349009</c:v>
                </c:pt>
                <c:pt idx="63">
                  <c:v>0.13925070970041398</c:v>
                </c:pt>
                <c:pt idx="64">
                  <c:v>0.14206905368525152</c:v>
                </c:pt>
              </c:numCache>
            </c:numRef>
          </c:val>
          <c:smooth val="0"/>
          <c:extLst>
            <c:ext xmlns:c16="http://schemas.microsoft.com/office/drawing/2014/chart" uri="{C3380CC4-5D6E-409C-BE32-E72D297353CC}">
              <c16:uniqueId val="{00000001-5086-4107-B605-7DD18BF10D8B}"/>
            </c:ext>
          </c:extLst>
        </c:ser>
        <c:dLbls>
          <c:showLegendKey val="0"/>
          <c:showVal val="0"/>
          <c:showCatName val="0"/>
          <c:showSerName val="0"/>
          <c:showPercent val="0"/>
          <c:showBubbleSize val="0"/>
        </c:dLbls>
        <c:smooth val="0"/>
        <c:axId val="723530816"/>
        <c:axId val="723529856"/>
      </c:lineChart>
      <c:catAx>
        <c:axId val="723530816"/>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723529856"/>
        <c:crosses val="autoZero"/>
        <c:auto val="1"/>
        <c:lblAlgn val="ctr"/>
        <c:lblOffset val="100"/>
        <c:tickLblSkip val="5"/>
        <c:noMultiLvlLbl val="0"/>
      </c:catAx>
      <c:valAx>
        <c:axId val="72352985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3530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mx</a:t>
            </a:r>
            <a:r>
              <a:rPr lang="en-US" baseline="0"/>
              <a:t> Comparisons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tx>
            <c:strRef>
              <c:f>MAGraduation!$B$1</c:f>
              <c:strCache>
                <c:ptCount val="1"/>
                <c:pt idx="0">
                  <c:v>obs_mx</c:v>
                </c:pt>
              </c:strCache>
            </c:strRef>
          </c:tx>
          <c:spPr>
            <a:ln w="28575" cap="rnd">
              <a:solidFill>
                <a:schemeClr val="accent2"/>
              </a:solidFill>
              <a:round/>
            </a:ln>
            <a:effectLst/>
          </c:spPr>
          <c:marker>
            <c:symbol val="none"/>
          </c:marker>
          <c:cat>
            <c:numRef>
              <c:f>MAGraduation!$A$2:$A$66</c:f>
              <c:numCache>
                <c:formatCode>General</c:formatCode>
                <c:ptCount val="65"/>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pt idx="49">
                  <c:v>69</c:v>
                </c:pt>
                <c:pt idx="50">
                  <c:v>70</c:v>
                </c:pt>
                <c:pt idx="51">
                  <c:v>71</c:v>
                </c:pt>
                <c:pt idx="52">
                  <c:v>72</c:v>
                </c:pt>
                <c:pt idx="53">
                  <c:v>73</c:v>
                </c:pt>
                <c:pt idx="54">
                  <c:v>74</c:v>
                </c:pt>
                <c:pt idx="55">
                  <c:v>75</c:v>
                </c:pt>
                <c:pt idx="56">
                  <c:v>76</c:v>
                </c:pt>
                <c:pt idx="57">
                  <c:v>77</c:v>
                </c:pt>
                <c:pt idx="58">
                  <c:v>78</c:v>
                </c:pt>
                <c:pt idx="59">
                  <c:v>79</c:v>
                </c:pt>
                <c:pt idx="60">
                  <c:v>80</c:v>
                </c:pt>
                <c:pt idx="61">
                  <c:v>81</c:v>
                </c:pt>
                <c:pt idx="62">
                  <c:v>82</c:v>
                </c:pt>
                <c:pt idx="63">
                  <c:v>83</c:v>
                </c:pt>
                <c:pt idx="64">
                  <c:v>84</c:v>
                </c:pt>
              </c:numCache>
            </c:numRef>
          </c:cat>
          <c:val>
            <c:numRef>
              <c:f>MAGraduation!$B$2:$B$66</c:f>
              <c:numCache>
                <c:formatCode>General</c:formatCode>
                <c:ptCount val="65"/>
                <c:pt idx="0">
                  <c:v>4.1300000000000001E-4</c:v>
                </c:pt>
                <c:pt idx="1">
                  <c:v>4.5399999999999998E-4</c:v>
                </c:pt>
                <c:pt idx="2">
                  <c:v>4.6299999999999998E-4</c:v>
                </c:pt>
                <c:pt idx="3">
                  <c:v>5.5099999999999995E-4</c:v>
                </c:pt>
                <c:pt idx="4">
                  <c:v>5.4199999999999995E-4</c:v>
                </c:pt>
                <c:pt idx="5">
                  <c:v>5.7399999999999997E-4</c:v>
                </c:pt>
                <c:pt idx="6">
                  <c:v>6.1899999999999998E-4</c:v>
                </c:pt>
                <c:pt idx="7">
                  <c:v>6.5700000000000003E-4</c:v>
                </c:pt>
                <c:pt idx="8">
                  <c:v>6.8800000000000003E-4</c:v>
                </c:pt>
                <c:pt idx="9">
                  <c:v>7.2599999999999997E-4</c:v>
                </c:pt>
                <c:pt idx="10">
                  <c:v>8.2799999999999996E-4</c:v>
                </c:pt>
                <c:pt idx="11">
                  <c:v>8.7500000000000002E-4</c:v>
                </c:pt>
                <c:pt idx="12">
                  <c:v>9.1399999999999999E-4</c:v>
                </c:pt>
                <c:pt idx="13">
                  <c:v>1.0380000000000001E-3</c:v>
                </c:pt>
                <c:pt idx="14">
                  <c:v>9.990000000000001E-4</c:v>
                </c:pt>
                <c:pt idx="15">
                  <c:v>1.083E-3</c:v>
                </c:pt>
                <c:pt idx="16">
                  <c:v>1.1329999999999999E-3</c:v>
                </c:pt>
                <c:pt idx="17">
                  <c:v>1.2049999999999999E-3</c:v>
                </c:pt>
                <c:pt idx="18">
                  <c:v>1.343E-3</c:v>
                </c:pt>
                <c:pt idx="19">
                  <c:v>1.407E-3</c:v>
                </c:pt>
                <c:pt idx="20">
                  <c:v>1.4630000000000001E-3</c:v>
                </c:pt>
                <c:pt idx="21">
                  <c:v>1.521E-3</c:v>
                </c:pt>
                <c:pt idx="22">
                  <c:v>1.5659999999999999E-3</c:v>
                </c:pt>
                <c:pt idx="23">
                  <c:v>1.7359999999999999E-3</c:v>
                </c:pt>
                <c:pt idx="24">
                  <c:v>1.7880000000000001E-3</c:v>
                </c:pt>
                <c:pt idx="25">
                  <c:v>1.993E-3</c:v>
                </c:pt>
                <c:pt idx="26">
                  <c:v>2.163E-3</c:v>
                </c:pt>
                <c:pt idx="27">
                  <c:v>2.3310000000000002E-3</c:v>
                </c:pt>
                <c:pt idx="28">
                  <c:v>2.5560000000000001E-3</c:v>
                </c:pt>
                <c:pt idx="29">
                  <c:v>2.7160000000000001E-3</c:v>
                </c:pt>
                <c:pt idx="30">
                  <c:v>2.9989999999999999E-3</c:v>
                </c:pt>
                <c:pt idx="31">
                  <c:v>3.228E-3</c:v>
                </c:pt>
                <c:pt idx="32">
                  <c:v>3.5330000000000001E-3</c:v>
                </c:pt>
                <c:pt idx="33">
                  <c:v>3.8899999999999998E-3</c:v>
                </c:pt>
                <c:pt idx="34">
                  <c:v>4.1910000000000003E-3</c:v>
                </c:pt>
                <c:pt idx="35">
                  <c:v>4.5859999999999998E-3</c:v>
                </c:pt>
                <c:pt idx="36">
                  <c:v>4.9969999999999997E-3</c:v>
                </c:pt>
                <c:pt idx="37">
                  <c:v>5.522E-3</c:v>
                </c:pt>
                <c:pt idx="38">
                  <c:v>5.947E-3</c:v>
                </c:pt>
                <c:pt idx="39">
                  <c:v>6.2550000000000001E-3</c:v>
                </c:pt>
                <c:pt idx="40">
                  <c:v>6.9959999999999996E-3</c:v>
                </c:pt>
                <c:pt idx="41">
                  <c:v>7.4710000000000002E-3</c:v>
                </c:pt>
                <c:pt idx="42">
                  <c:v>7.9989999999999992E-3</c:v>
                </c:pt>
                <c:pt idx="43">
                  <c:v>8.5330000000000007E-3</c:v>
                </c:pt>
                <c:pt idx="44">
                  <c:v>9.0390000000000002E-3</c:v>
                </c:pt>
                <c:pt idx="45">
                  <c:v>9.5650000000000006E-3</c:v>
                </c:pt>
                <c:pt idx="46">
                  <c:v>1.034E-2</c:v>
                </c:pt>
                <c:pt idx="47">
                  <c:v>1.1150999999999999E-2</c:v>
                </c:pt>
                <c:pt idx="48">
                  <c:v>1.2078999999999999E-2</c:v>
                </c:pt>
                <c:pt idx="49">
                  <c:v>1.3070999999999999E-2</c:v>
                </c:pt>
                <c:pt idx="50">
                  <c:v>1.4584E-2</c:v>
                </c:pt>
                <c:pt idx="51">
                  <c:v>1.6147999999999999E-2</c:v>
                </c:pt>
                <c:pt idx="52">
                  <c:v>1.7229000000000001E-2</c:v>
                </c:pt>
                <c:pt idx="53">
                  <c:v>2.0074000000000002E-2</c:v>
                </c:pt>
                <c:pt idx="54">
                  <c:v>2.1066000000000001E-2</c:v>
                </c:pt>
                <c:pt idx="55">
                  <c:v>2.3810999999999999E-2</c:v>
                </c:pt>
                <c:pt idx="56">
                  <c:v>2.5933000000000001E-2</c:v>
                </c:pt>
                <c:pt idx="57">
                  <c:v>2.8867E-2</c:v>
                </c:pt>
                <c:pt idx="58">
                  <c:v>3.1864999999999997E-2</c:v>
                </c:pt>
                <c:pt idx="59">
                  <c:v>3.5298000000000003E-2</c:v>
                </c:pt>
                <c:pt idx="60">
                  <c:v>3.9782999999999999E-2</c:v>
                </c:pt>
                <c:pt idx="61">
                  <c:v>4.3970000000000002E-2</c:v>
                </c:pt>
                <c:pt idx="62">
                  <c:v>4.9896999999999997E-2</c:v>
                </c:pt>
                <c:pt idx="63">
                  <c:v>5.6187000000000001E-2</c:v>
                </c:pt>
                <c:pt idx="64">
                  <c:v>6.1448000000000003E-2</c:v>
                </c:pt>
              </c:numCache>
            </c:numRef>
          </c:val>
          <c:smooth val="0"/>
          <c:extLst>
            <c:ext xmlns:c16="http://schemas.microsoft.com/office/drawing/2014/chart" uri="{C3380CC4-5D6E-409C-BE32-E72D297353CC}">
              <c16:uniqueId val="{00000001-6B23-44D6-A032-F2123391FF2E}"/>
            </c:ext>
          </c:extLst>
        </c:ser>
        <c:ser>
          <c:idx val="2"/>
          <c:order val="1"/>
          <c:tx>
            <c:strRef>
              <c:f>MAGraduation!$C$1</c:f>
              <c:strCache>
                <c:ptCount val="1"/>
                <c:pt idx="0">
                  <c:v>gomp_mx</c:v>
                </c:pt>
              </c:strCache>
            </c:strRef>
          </c:tx>
          <c:spPr>
            <a:ln w="28575" cap="rnd">
              <a:solidFill>
                <a:schemeClr val="accent3"/>
              </a:solidFill>
              <a:round/>
            </a:ln>
            <a:effectLst/>
          </c:spPr>
          <c:marker>
            <c:symbol val="none"/>
          </c:marker>
          <c:cat>
            <c:numRef>
              <c:f>MAGraduation!$A$2:$A$66</c:f>
              <c:numCache>
                <c:formatCode>General</c:formatCode>
                <c:ptCount val="65"/>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pt idx="49">
                  <c:v>69</c:v>
                </c:pt>
                <c:pt idx="50">
                  <c:v>70</c:v>
                </c:pt>
                <c:pt idx="51">
                  <c:v>71</c:v>
                </c:pt>
                <c:pt idx="52">
                  <c:v>72</c:v>
                </c:pt>
                <c:pt idx="53">
                  <c:v>73</c:v>
                </c:pt>
                <c:pt idx="54">
                  <c:v>74</c:v>
                </c:pt>
                <c:pt idx="55">
                  <c:v>75</c:v>
                </c:pt>
                <c:pt idx="56">
                  <c:v>76</c:v>
                </c:pt>
                <c:pt idx="57">
                  <c:v>77</c:v>
                </c:pt>
                <c:pt idx="58">
                  <c:v>78</c:v>
                </c:pt>
                <c:pt idx="59">
                  <c:v>79</c:v>
                </c:pt>
                <c:pt idx="60">
                  <c:v>80</c:v>
                </c:pt>
                <c:pt idx="61">
                  <c:v>81</c:v>
                </c:pt>
                <c:pt idx="62">
                  <c:v>82</c:v>
                </c:pt>
                <c:pt idx="63">
                  <c:v>83</c:v>
                </c:pt>
                <c:pt idx="64">
                  <c:v>84</c:v>
                </c:pt>
              </c:numCache>
            </c:numRef>
          </c:cat>
          <c:val>
            <c:numRef>
              <c:f>MAGraduation!$C$2:$C$66</c:f>
              <c:numCache>
                <c:formatCode>General</c:formatCode>
                <c:ptCount val="65"/>
                <c:pt idx="0">
                  <c:v>3.4692567293355826E-4</c:v>
                </c:pt>
                <c:pt idx="1">
                  <c:v>3.7435725096301162E-4</c:v>
                </c:pt>
                <c:pt idx="2">
                  <c:v>4.0395785691946451E-4</c:v>
                </c:pt>
                <c:pt idx="3">
                  <c:v>4.3589899687314929E-4</c:v>
                </c:pt>
                <c:pt idx="4">
                  <c:v>4.7036573796087582E-4</c:v>
                </c:pt>
                <c:pt idx="5">
                  <c:v>5.0755778066601822E-4</c:v>
                </c:pt>
                <c:pt idx="6">
                  <c:v>5.4769061588419074E-4</c:v>
                </c:pt>
                <c:pt idx="7">
                  <c:v>5.9099677347865579E-4</c:v>
                </c:pt>
                <c:pt idx="8">
                  <c:v>6.3772716955960468E-4</c:v>
                </c:pt>
                <c:pt idx="9">
                  <c:v>6.8815256029344958E-4</c:v>
                </c:pt>
                <c:pt idx="10">
                  <c:v>7.4256511066550903E-4</c:v>
                </c:pt>
                <c:pt idx="11">
                  <c:v>8.0128008728550611E-4</c:v>
                </c:pt>
                <c:pt idx="12">
                  <c:v>8.6463768504400104E-4</c:v>
                </c:pt>
                <c:pt idx="13">
                  <c:v>9.330049982034192E-4</c:v>
                </c:pt>
                <c:pt idx="14">
                  <c:v>1.0067781473441825E-3</c:v>
                </c:pt>
                <c:pt idx="15">
                  <c:v>1.0863845744894854E-3</c:v>
                </c:pt>
                <c:pt idx="16">
                  <c:v>1.1722855197066767E-3</c:v>
                </c:pt>
                <c:pt idx="17">
                  <c:v>1.2649786935346934E-3</c:v>
                </c:pt>
                <c:pt idx="18">
                  <c:v>1.3650011607216016E-3</c:v>
                </c:pt>
                <c:pt idx="19">
                  <c:v>1.472932451980638E-3</c:v>
                </c:pt>
                <c:pt idx="20">
                  <c:v>1.5893979217942802E-3</c:v>
                </c:pt>
                <c:pt idx="21">
                  <c:v>1.7150723717214865E-3</c:v>
                </c:pt>
                <c:pt idx="22">
                  <c:v>1.8506839602015586E-3</c:v>
                </c:pt>
                <c:pt idx="23">
                  <c:v>1.9970184215080569E-3</c:v>
                </c:pt>
                <c:pt idx="24">
                  <c:v>2.1549236182974154E-3</c:v>
                </c:pt>
                <c:pt idx="25">
                  <c:v>2.3253144541297305E-3</c:v>
                </c:pt>
                <c:pt idx="26">
                  <c:v>2.5091781744249184E-3</c:v>
                </c:pt>
                <c:pt idx="27">
                  <c:v>2.7075800865679861E-3</c:v>
                </c:pt>
                <c:pt idx="28">
                  <c:v>2.921669732305759E-3</c:v>
                </c:pt>
                <c:pt idx="29">
                  <c:v>3.1526875481979453E-3</c:v>
                </c:pt>
                <c:pt idx="30">
                  <c:v>3.4019720527132418E-3</c:v>
                </c:pt>
                <c:pt idx="31">
                  <c:v>3.6709676016125465E-3</c:v>
                </c:pt>
                <c:pt idx="32">
                  <c:v>3.9612327565540064E-3</c:v>
                </c:pt>
                <c:pt idx="33">
                  <c:v>4.2744493154076623E-3</c:v>
                </c:pt>
                <c:pt idx="34">
                  <c:v>4.61243205660135E-3</c:v>
                </c:pt>
                <c:pt idx="35">
                  <c:v>4.9771392539566858E-3</c:v>
                </c:pt>
                <c:pt idx="36">
                  <c:v>5.3706840229381268E-3</c:v>
                </c:pt>
                <c:pt idx="37">
                  <c:v>5.7953465640553448E-3</c:v>
                </c:pt>
                <c:pt idx="38">
                  <c:v>6.2535873743572541E-3</c:v>
                </c:pt>
                <c:pt idx="39">
                  <c:v>6.7480615035651528E-3</c:v>
                </c:pt>
                <c:pt idx="40">
                  <c:v>7.2816339374451016E-3</c:v>
                </c:pt>
                <c:pt idx="41">
                  <c:v>7.8573961975508741E-3</c:v>
                </c:pt>
                <c:pt idx="42">
                  <c:v>8.4786842535164702E-3</c:v>
                </c:pt>
                <c:pt idx="43">
                  <c:v>9.1490978516821451E-3</c:v>
                </c:pt>
                <c:pt idx="44">
                  <c:v>9.8725213720440644E-3</c:v>
                </c:pt>
                <c:pt idx="45">
                  <c:v>1.0653146334372922E-2</c:v>
                </c:pt>
                <c:pt idx="46">
                  <c:v>1.1495495683902046E-2</c:v>
                </c:pt>
                <c:pt idx="47">
                  <c:v>1.2404449997296419E-2</c:v>
                </c:pt>
                <c:pt idx="48">
                  <c:v>1.3385275760740155E-2</c:v>
                </c:pt>
                <c:pt idx="49">
                  <c:v>1.4443655883985791E-2</c:v>
                </c:pt>
                <c:pt idx="50">
                  <c:v>1.5585722627163977E-2</c:v>
                </c:pt>
                <c:pt idx="51">
                  <c:v>1.6818093131131685E-2</c:v>
                </c:pt>
                <c:pt idx="52">
                  <c:v>1.814790775722195E-2</c:v>
                </c:pt>
                <c:pt idx="53">
                  <c:v>1.9582871458535853E-2</c:v>
                </c:pt>
                <c:pt idx="54">
                  <c:v>2.1131298422482285E-2</c:v>
                </c:pt>
                <c:pt idx="55">
                  <c:v>2.2802160243224512E-2</c:v>
                </c:pt>
                <c:pt idx="56">
                  <c:v>2.4605137903145072E-2</c:v>
                </c:pt>
                <c:pt idx="57">
                  <c:v>2.6550677864509788E-2</c:v>
                </c:pt>
                <c:pt idx="58">
                  <c:v>2.8650052596326386E-2</c:v>
                </c:pt>
                <c:pt idx="59">
                  <c:v>3.0915425887090564E-2</c:v>
                </c:pt>
                <c:pt idx="60">
                  <c:v>3.3359923321842025E-2</c:v>
                </c:pt>
                <c:pt idx="61">
                  <c:v>3.599770833187485E-2</c:v>
                </c:pt>
                <c:pt idx="62">
                  <c:v>3.8844064257734637E-2</c:v>
                </c:pt>
                <c:pt idx="63">
                  <c:v>4.1915482900975895E-2</c:v>
                </c:pt>
                <c:pt idx="64">
                  <c:v>4.5229760077748982E-2</c:v>
                </c:pt>
              </c:numCache>
            </c:numRef>
          </c:val>
          <c:smooth val="0"/>
          <c:extLst>
            <c:ext xmlns:c16="http://schemas.microsoft.com/office/drawing/2014/chart" uri="{C3380CC4-5D6E-409C-BE32-E72D297353CC}">
              <c16:uniqueId val="{00000002-6B23-44D6-A032-F2123391FF2E}"/>
            </c:ext>
          </c:extLst>
        </c:ser>
        <c:ser>
          <c:idx val="3"/>
          <c:order val="2"/>
          <c:tx>
            <c:strRef>
              <c:f>MAGraduation!$D$1</c:f>
              <c:strCache>
                <c:ptCount val="1"/>
                <c:pt idx="0">
                  <c:v>MA3_mx</c:v>
                </c:pt>
              </c:strCache>
            </c:strRef>
          </c:tx>
          <c:spPr>
            <a:ln w="28575" cap="rnd">
              <a:solidFill>
                <a:schemeClr val="accent4"/>
              </a:solidFill>
              <a:round/>
            </a:ln>
            <a:effectLst/>
          </c:spPr>
          <c:marker>
            <c:symbol val="none"/>
          </c:marker>
          <c:cat>
            <c:numRef>
              <c:f>MAGraduation!$A$2:$A$66</c:f>
              <c:numCache>
                <c:formatCode>General</c:formatCode>
                <c:ptCount val="65"/>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pt idx="49">
                  <c:v>69</c:v>
                </c:pt>
                <c:pt idx="50">
                  <c:v>70</c:v>
                </c:pt>
                <c:pt idx="51">
                  <c:v>71</c:v>
                </c:pt>
                <c:pt idx="52">
                  <c:v>72</c:v>
                </c:pt>
                <c:pt idx="53">
                  <c:v>73</c:v>
                </c:pt>
                <c:pt idx="54">
                  <c:v>74</c:v>
                </c:pt>
                <c:pt idx="55">
                  <c:v>75</c:v>
                </c:pt>
                <c:pt idx="56">
                  <c:v>76</c:v>
                </c:pt>
                <c:pt idx="57">
                  <c:v>77</c:v>
                </c:pt>
                <c:pt idx="58">
                  <c:v>78</c:v>
                </c:pt>
                <c:pt idx="59">
                  <c:v>79</c:v>
                </c:pt>
                <c:pt idx="60">
                  <c:v>80</c:v>
                </c:pt>
                <c:pt idx="61">
                  <c:v>81</c:v>
                </c:pt>
                <c:pt idx="62">
                  <c:v>82</c:v>
                </c:pt>
                <c:pt idx="63">
                  <c:v>83</c:v>
                </c:pt>
                <c:pt idx="64">
                  <c:v>84</c:v>
                </c:pt>
              </c:numCache>
            </c:numRef>
          </c:cat>
          <c:val>
            <c:numRef>
              <c:f>MAGraduation!$D$2:$D$66</c:f>
              <c:numCache>
                <c:formatCode>General</c:formatCode>
                <c:ptCount val="65"/>
                <c:pt idx="0">
                  <c:v>4.3349999999999997E-4</c:v>
                </c:pt>
                <c:pt idx="1">
                  <c:v>4.4333333333333334E-4</c:v>
                </c:pt>
                <c:pt idx="2">
                  <c:v>4.8933333333333327E-4</c:v>
                </c:pt>
                <c:pt idx="3">
                  <c:v>5.1866666666666662E-4</c:v>
                </c:pt>
                <c:pt idx="4">
                  <c:v>5.5566666666666655E-4</c:v>
                </c:pt>
                <c:pt idx="5">
                  <c:v>5.7833333333333326E-4</c:v>
                </c:pt>
                <c:pt idx="6">
                  <c:v>6.1666666666666673E-4</c:v>
                </c:pt>
                <c:pt idx="7">
                  <c:v>6.5466666666666668E-4</c:v>
                </c:pt>
                <c:pt idx="8">
                  <c:v>6.9033333333333327E-4</c:v>
                </c:pt>
                <c:pt idx="9">
                  <c:v>7.4733333333333336E-4</c:v>
                </c:pt>
                <c:pt idx="10">
                  <c:v>8.0966666666666654E-4</c:v>
                </c:pt>
                <c:pt idx="11">
                  <c:v>8.7233333333333336E-4</c:v>
                </c:pt>
                <c:pt idx="12">
                  <c:v>9.4233333333333333E-4</c:v>
                </c:pt>
                <c:pt idx="13">
                  <c:v>9.8366666666666676E-4</c:v>
                </c:pt>
                <c:pt idx="14">
                  <c:v>1.0400000000000001E-3</c:v>
                </c:pt>
                <c:pt idx="15">
                  <c:v>1.0716666666666667E-3</c:v>
                </c:pt>
                <c:pt idx="16">
                  <c:v>1.1403333333333333E-3</c:v>
                </c:pt>
                <c:pt idx="17">
                  <c:v>1.227E-3</c:v>
                </c:pt>
                <c:pt idx="18">
                  <c:v>1.3183333333333335E-3</c:v>
                </c:pt>
                <c:pt idx="19">
                  <c:v>1.4043333333333332E-3</c:v>
                </c:pt>
                <c:pt idx="20">
                  <c:v>1.4636666666666667E-3</c:v>
                </c:pt>
                <c:pt idx="21">
                  <c:v>1.5166666666666668E-3</c:v>
                </c:pt>
                <c:pt idx="22">
                  <c:v>1.6076666666666667E-3</c:v>
                </c:pt>
                <c:pt idx="23">
                  <c:v>1.6966666666666666E-3</c:v>
                </c:pt>
                <c:pt idx="24">
                  <c:v>1.8390000000000001E-3</c:v>
                </c:pt>
                <c:pt idx="25">
                  <c:v>1.9813333333333332E-3</c:v>
                </c:pt>
                <c:pt idx="26">
                  <c:v>2.1623333333333334E-3</c:v>
                </c:pt>
                <c:pt idx="27">
                  <c:v>2.3500000000000001E-3</c:v>
                </c:pt>
                <c:pt idx="28">
                  <c:v>2.5343333333333333E-3</c:v>
                </c:pt>
                <c:pt idx="29">
                  <c:v>2.7570000000000003E-3</c:v>
                </c:pt>
                <c:pt idx="30">
                  <c:v>2.9809999999999997E-3</c:v>
                </c:pt>
                <c:pt idx="31">
                  <c:v>3.2533333333333333E-3</c:v>
                </c:pt>
                <c:pt idx="32">
                  <c:v>3.5503333333333329E-3</c:v>
                </c:pt>
                <c:pt idx="33">
                  <c:v>3.871333333333333E-3</c:v>
                </c:pt>
                <c:pt idx="34">
                  <c:v>4.2223333333333331E-3</c:v>
                </c:pt>
                <c:pt idx="35">
                  <c:v>4.5913333333333336E-3</c:v>
                </c:pt>
                <c:pt idx="36">
                  <c:v>5.0350000000000004E-3</c:v>
                </c:pt>
                <c:pt idx="37">
                  <c:v>5.4886666666666669E-3</c:v>
                </c:pt>
                <c:pt idx="38">
                  <c:v>5.9080000000000001E-3</c:v>
                </c:pt>
                <c:pt idx="39">
                  <c:v>6.3993333333333333E-3</c:v>
                </c:pt>
                <c:pt idx="40">
                  <c:v>6.9073333333333322E-3</c:v>
                </c:pt>
                <c:pt idx="41">
                  <c:v>7.4886666666666669E-3</c:v>
                </c:pt>
                <c:pt idx="42">
                  <c:v>8.0009999999999994E-3</c:v>
                </c:pt>
                <c:pt idx="43">
                  <c:v>8.5236666666666655E-3</c:v>
                </c:pt>
                <c:pt idx="44">
                  <c:v>9.0456666666666671E-3</c:v>
                </c:pt>
                <c:pt idx="45">
                  <c:v>9.6480000000000021E-3</c:v>
                </c:pt>
                <c:pt idx="46">
                  <c:v>1.0352E-2</c:v>
                </c:pt>
                <c:pt idx="47">
                  <c:v>1.119E-2</c:v>
                </c:pt>
                <c:pt idx="48">
                  <c:v>1.2100333333333333E-2</c:v>
                </c:pt>
                <c:pt idx="49">
                  <c:v>1.3244666666666667E-2</c:v>
                </c:pt>
                <c:pt idx="50">
                  <c:v>1.4600999999999998E-2</c:v>
                </c:pt>
                <c:pt idx="51">
                  <c:v>1.5987000000000001E-2</c:v>
                </c:pt>
                <c:pt idx="52">
                  <c:v>1.7817000000000003E-2</c:v>
                </c:pt>
                <c:pt idx="53">
                  <c:v>1.9456333333333336E-2</c:v>
                </c:pt>
                <c:pt idx="54">
                  <c:v>2.1650333333333337E-2</c:v>
                </c:pt>
                <c:pt idx="55">
                  <c:v>2.3603333333333334E-2</c:v>
                </c:pt>
                <c:pt idx="56">
                  <c:v>2.6203666666666667E-2</c:v>
                </c:pt>
                <c:pt idx="57">
                  <c:v>2.8888333333333332E-2</c:v>
                </c:pt>
                <c:pt idx="58">
                  <c:v>3.2010000000000004E-2</c:v>
                </c:pt>
                <c:pt idx="59">
                  <c:v>3.5648666666666669E-2</c:v>
                </c:pt>
                <c:pt idx="60">
                  <c:v>3.9683666666666673E-2</c:v>
                </c:pt>
                <c:pt idx="61">
                  <c:v>4.4549999999999999E-2</c:v>
                </c:pt>
                <c:pt idx="62">
                  <c:v>5.0018000000000007E-2</c:v>
                </c:pt>
                <c:pt idx="63">
                  <c:v>5.5844000000000005E-2</c:v>
                </c:pt>
                <c:pt idx="64">
                  <c:v>5.8817500000000002E-2</c:v>
                </c:pt>
              </c:numCache>
            </c:numRef>
          </c:val>
          <c:smooth val="0"/>
          <c:extLst>
            <c:ext xmlns:c16="http://schemas.microsoft.com/office/drawing/2014/chart" uri="{C3380CC4-5D6E-409C-BE32-E72D297353CC}">
              <c16:uniqueId val="{00000003-6B23-44D6-A032-F2123391FF2E}"/>
            </c:ext>
          </c:extLst>
        </c:ser>
        <c:ser>
          <c:idx val="4"/>
          <c:order val="3"/>
          <c:tx>
            <c:strRef>
              <c:f>MAGraduation!$E$1</c:f>
              <c:strCache>
                <c:ptCount val="1"/>
                <c:pt idx="0">
                  <c:v>MA5_mx</c:v>
                </c:pt>
              </c:strCache>
            </c:strRef>
          </c:tx>
          <c:spPr>
            <a:ln w="28575" cap="rnd">
              <a:solidFill>
                <a:schemeClr val="accent5"/>
              </a:solidFill>
              <a:round/>
            </a:ln>
            <a:effectLst/>
          </c:spPr>
          <c:marker>
            <c:symbol val="none"/>
          </c:marker>
          <c:cat>
            <c:numRef>
              <c:f>MAGraduation!$A$2:$A$66</c:f>
              <c:numCache>
                <c:formatCode>General</c:formatCode>
                <c:ptCount val="65"/>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pt idx="49">
                  <c:v>69</c:v>
                </c:pt>
                <c:pt idx="50">
                  <c:v>70</c:v>
                </c:pt>
                <c:pt idx="51">
                  <c:v>71</c:v>
                </c:pt>
                <c:pt idx="52">
                  <c:v>72</c:v>
                </c:pt>
                <c:pt idx="53">
                  <c:v>73</c:v>
                </c:pt>
                <c:pt idx="54">
                  <c:v>74</c:v>
                </c:pt>
                <c:pt idx="55">
                  <c:v>75</c:v>
                </c:pt>
                <c:pt idx="56">
                  <c:v>76</c:v>
                </c:pt>
                <c:pt idx="57">
                  <c:v>77</c:v>
                </c:pt>
                <c:pt idx="58">
                  <c:v>78</c:v>
                </c:pt>
                <c:pt idx="59">
                  <c:v>79</c:v>
                </c:pt>
                <c:pt idx="60">
                  <c:v>80</c:v>
                </c:pt>
                <c:pt idx="61">
                  <c:v>81</c:v>
                </c:pt>
                <c:pt idx="62">
                  <c:v>82</c:v>
                </c:pt>
                <c:pt idx="63">
                  <c:v>83</c:v>
                </c:pt>
                <c:pt idx="64">
                  <c:v>84</c:v>
                </c:pt>
              </c:numCache>
            </c:numRef>
          </c:cat>
          <c:val>
            <c:numRef>
              <c:f>MAGraduation!$E$2:$E$66</c:f>
              <c:numCache>
                <c:formatCode>General</c:formatCode>
                <c:ptCount val="65"/>
                <c:pt idx="0">
                  <c:v>4.4333333333333334E-4</c:v>
                </c:pt>
                <c:pt idx="1">
                  <c:v>4.7024999999999996E-4</c:v>
                </c:pt>
                <c:pt idx="2">
                  <c:v>4.8459999999999996E-4</c:v>
                </c:pt>
                <c:pt idx="3">
                  <c:v>5.1679999999999988E-4</c:v>
                </c:pt>
                <c:pt idx="4">
                  <c:v>5.4979999999999992E-4</c:v>
                </c:pt>
                <c:pt idx="5">
                  <c:v>5.886E-4</c:v>
                </c:pt>
                <c:pt idx="6">
                  <c:v>6.1600000000000001E-4</c:v>
                </c:pt>
                <c:pt idx="7">
                  <c:v>6.5280000000000004E-4</c:v>
                </c:pt>
                <c:pt idx="8">
                  <c:v>7.0360000000000008E-4</c:v>
                </c:pt>
                <c:pt idx="9">
                  <c:v>7.5479999999999992E-4</c:v>
                </c:pt>
                <c:pt idx="10">
                  <c:v>8.0619999999999997E-4</c:v>
                </c:pt>
                <c:pt idx="11">
                  <c:v>8.7619999999999994E-4</c:v>
                </c:pt>
                <c:pt idx="12">
                  <c:v>9.3080000000000007E-4</c:v>
                </c:pt>
                <c:pt idx="13">
                  <c:v>9.8180000000000012E-4</c:v>
                </c:pt>
                <c:pt idx="14">
                  <c:v>1.0333999999999999E-3</c:v>
                </c:pt>
                <c:pt idx="15">
                  <c:v>1.0915999999999999E-3</c:v>
                </c:pt>
                <c:pt idx="16">
                  <c:v>1.1526000000000002E-3</c:v>
                </c:pt>
                <c:pt idx="17">
                  <c:v>1.2342E-3</c:v>
                </c:pt>
                <c:pt idx="18">
                  <c:v>1.3101999999999999E-3</c:v>
                </c:pt>
                <c:pt idx="19">
                  <c:v>1.3878E-3</c:v>
                </c:pt>
                <c:pt idx="20">
                  <c:v>1.4599999999999999E-3</c:v>
                </c:pt>
                <c:pt idx="21">
                  <c:v>1.5385999999999998E-3</c:v>
                </c:pt>
                <c:pt idx="22">
                  <c:v>1.6148E-3</c:v>
                </c:pt>
                <c:pt idx="23">
                  <c:v>1.7208000000000002E-3</c:v>
                </c:pt>
                <c:pt idx="24">
                  <c:v>1.8492000000000001E-3</c:v>
                </c:pt>
                <c:pt idx="25">
                  <c:v>2.0022E-3</c:v>
                </c:pt>
                <c:pt idx="26">
                  <c:v>2.1662000000000001E-3</c:v>
                </c:pt>
                <c:pt idx="27">
                  <c:v>2.3517999999999998E-3</c:v>
                </c:pt>
                <c:pt idx="28">
                  <c:v>2.5530000000000001E-3</c:v>
                </c:pt>
                <c:pt idx="29">
                  <c:v>2.7660000000000002E-3</c:v>
                </c:pt>
                <c:pt idx="30">
                  <c:v>3.0064000000000002E-3</c:v>
                </c:pt>
                <c:pt idx="31">
                  <c:v>3.2731999999999995E-3</c:v>
                </c:pt>
                <c:pt idx="32">
                  <c:v>3.5681999999999997E-3</c:v>
                </c:pt>
                <c:pt idx="33">
                  <c:v>3.8856000000000003E-3</c:v>
                </c:pt>
                <c:pt idx="34">
                  <c:v>4.2393999999999999E-3</c:v>
                </c:pt>
                <c:pt idx="35">
                  <c:v>4.6371999999999993E-3</c:v>
                </c:pt>
                <c:pt idx="36">
                  <c:v>5.0486000000000003E-3</c:v>
                </c:pt>
                <c:pt idx="37">
                  <c:v>5.4613999999999999E-3</c:v>
                </c:pt>
                <c:pt idx="38">
                  <c:v>5.9433999999999997E-3</c:v>
                </c:pt>
                <c:pt idx="39">
                  <c:v>6.4381999999999998E-3</c:v>
                </c:pt>
                <c:pt idx="40">
                  <c:v>6.9335999999999998E-3</c:v>
                </c:pt>
                <c:pt idx="41">
                  <c:v>7.4507999999999987E-3</c:v>
                </c:pt>
                <c:pt idx="42">
                  <c:v>8.0076000000000001E-3</c:v>
                </c:pt>
                <c:pt idx="43">
                  <c:v>8.5214000000000019E-3</c:v>
                </c:pt>
                <c:pt idx="44">
                  <c:v>9.0952000000000012E-3</c:v>
                </c:pt>
                <c:pt idx="45">
                  <c:v>9.7256000000000009E-3</c:v>
                </c:pt>
                <c:pt idx="46">
                  <c:v>1.0434800000000001E-2</c:v>
                </c:pt>
                <c:pt idx="47">
                  <c:v>1.12412E-2</c:v>
                </c:pt>
                <c:pt idx="48">
                  <c:v>1.2245000000000001E-2</c:v>
                </c:pt>
                <c:pt idx="49">
                  <c:v>1.3406599999999999E-2</c:v>
                </c:pt>
                <c:pt idx="50">
                  <c:v>1.4622200000000002E-2</c:v>
                </c:pt>
                <c:pt idx="51">
                  <c:v>1.6221199999999998E-2</c:v>
                </c:pt>
                <c:pt idx="52">
                  <c:v>1.7820200000000001E-2</c:v>
                </c:pt>
                <c:pt idx="53">
                  <c:v>1.9665599999999998E-2</c:v>
                </c:pt>
                <c:pt idx="54">
                  <c:v>2.1622599999999999E-2</c:v>
                </c:pt>
                <c:pt idx="55">
                  <c:v>2.3950200000000001E-2</c:v>
                </c:pt>
                <c:pt idx="56">
                  <c:v>2.6308399999999999E-2</c:v>
                </c:pt>
                <c:pt idx="57">
                  <c:v>2.9154799999999998E-2</c:v>
                </c:pt>
                <c:pt idx="58">
                  <c:v>3.2349200000000002E-2</c:v>
                </c:pt>
                <c:pt idx="59">
                  <c:v>3.5956600000000005E-2</c:v>
                </c:pt>
                <c:pt idx="60">
                  <c:v>4.01626E-2</c:v>
                </c:pt>
                <c:pt idx="61">
                  <c:v>4.5027000000000005E-2</c:v>
                </c:pt>
                <c:pt idx="62">
                  <c:v>5.0256999999999996E-2</c:v>
                </c:pt>
                <c:pt idx="63">
                  <c:v>5.2875500000000006E-2</c:v>
                </c:pt>
                <c:pt idx="64">
                  <c:v>5.5844000000000005E-2</c:v>
                </c:pt>
              </c:numCache>
            </c:numRef>
          </c:val>
          <c:smooth val="0"/>
          <c:extLst>
            <c:ext xmlns:c16="http://schemas.microsoft.com/office/drawing/2014/chart" uri="{C3380CC4-5D6E-409C-BE32-E72D297353CC}">
              <c16:uniqueId val="{00000004-6B23-44D6-A032-F2123391FF2E}"/>
            </c:ext>
          </c:extLst>
        </c:ser>
        <c:dLbls>
          <c:showLegendKey val="0"/>
          <c:showVal val="0"/>
          <c:showCatName val="0"/>
          <c:showSerName val="0"/>
          <c:showPercent val="0"/>
          <c:showBubbleSize val="0"/>
        </c:dLbls>
        <c:smooth val="0"/>
        <c:axId val="2126901024"/>
        <c:axId val="2126904864"/>
      </c:lineChart>
      <c:catAx>
        <c:axId val="2126901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6904864"/>
        <c:crosses val="autoZero"/>
        <c:auto val="1"/>
        <c:lblAlgn val="ctr"/>
        <c:lblOffset val="100"/>
        <c:tickLblSkip val="5"/>
        <c:noMultiLvlLbl val="0"/>
      </c:catAx>
      <c:valAx>
        <c:axId val="2126904864"/>
        <c:scaling>
          <c:orientation val="minMax"/>
          <c:max val="6.5000000000000016E-2"/>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69010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Residual</a:t>
            </a:r>
            <a:r>
              <a:rPr lang="en-US" baseline="0"/>
              <a:t> Comparisons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MAGraduation!$F$1</c:f>
              <c:strCache>
                <c:ptCount val="1"/>
                <c:pt idx="0">
                  <c:v>res_gomp</c:v>
                </c:pt>
              </c:strCache>
            </c:strRef>
          </c:tx>
          <c:spPr>
            <a:ln w="28575" cap="rnd">
              <a:solidFill>
                <a:schemeClr val="accent1"/>
              </a:solidFill>
              <a:round/>
            </a:ln>
            <a:effectLst/>
          </c:spPr>
          <c:marker>
            <c:symbol val="none"/>
          </c:marker>
          <c:cat>
            <c:numRef>
              <c:f>MAGraduation!$A$2:$A$66</c:f>
              <c:numCache>
                <c:formatCode>General</c:formatCode>
                <c:ptCount val="65"/>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pt idx="49">
                  <c:v>69</c:v>
                </c:pt>
                <c:pt idx="50">
                  <c:v>70</c:v>
                </c:pt>
                <c:pt idx="51">
                  <c:v>71</c:v>
                </c:pt>
                <c:pt idx="52">
                  <c:v>72</c:v>
                </c:pt>
                <c:pt idx="53">
                  <c:v>73</c:v>
                </c:pt>
                <c:pt idx="54">
                  <c:v>74</c:v>
                </c:pt>
                <c:pt idx="55">
                  <c:v>75</c:v>
                </c:pt>
                <c:pt idx="56">
                  <c:v>76</c:v>
                </c:pt>
                <c:pt idx="57">
                  <c:v>77</c:v>
                </c:pt>
                <c:pt idx="58">
                  <c:v>78</c:v>
                </c:pt>
                <c:pt idx="59">
                  <c:v>79</c:v>
                </c:pt>
                <c:pt idx="60">
                  <c:v>80</c:v>
                </c:pt>
                <c:pt idx="61">
                  <c:v>81</c:v>
                </c:pt>
                <c:pt idx="62">
                  <c:v>82</c:v>
                </c:pt>
                <c:pt idx="63">
                  <c:v>83</c:v>
                </c:pt>
                <c:pt idx="64">
                  <c:v>84</c:v>
                </c:pt>
              </c:numCache>
            </c:numRef>
          </c:cat>
          <c:val>
            <c:numRef>
              <c:f>MAGraduation!$F$2:$F$66</c:f>
              <c:numCache>
                <c:formatCode>General</c:formatCode>
                <c:ptCount val="65"/>
                <c:pt idx="0">
                  <c:v>6.6074327066441751E-5</c:v>
                </c:pt>
                <c:pt idx="1">
                  <c:v>7.9642749036988353E-5</c:v>
                </c:pt>
                <c:pt idx="2">
                  <c:v>5.9042143080535465E-5</c:v>
                </c:pt>
                <c:pt idx="3">
                  <c:v>1.1510100312685066E-4</c:v>
                </c:pt>
                <c:pt idx="4">
                  <c:v>7.1634262039124122E-5</c:v>
                </c:pt>
                <c:pt idx="5">
                  <c:v>6.6442219333981748E-5</c:v>
                </c:pt>
                <c:pt idx="6">
                  <c:v>7.1309384115809233E-5</c:v>
                </c:pt>
                <c:pt idx="7">
                  <c:v>6.6003226521344242E-5</c:v>
                </c:pt>
                <c:pt idx="8">
                  <c:v>5.0272830440395346E-5</c:v>
                </c:pt>
                <c:pt idx="9">
                  <c:v>3.7847439706550391E-5</c:v>
                </c:pt>
                <c:pt idx="10">
                  <c:v>8.5434889334490933E-5</c:v>
                </c:pt>
                <c:pt idx="11">
                  <c:v>7.3719912714493912E-5</c:v>
                </c:pt>
                <c:pt idx="12">
                  <c:v>4.936231495599895E-5</c:v>
                </c:pt>
                <c:pt idx="13">
                  <c:v>1.0499500179658088E-4</c:v>
                </c:pt>
                <c:pt idx="14">
                  <c:v>-7.7781473441823797E-6</c:v>
                </c:pt>
                <c:pt idx="15">
                  <c:v>-3.3845744894854361E-6</c:v>
                </c:pt>
                <c:pt idx="16">
                  <c:v>-3.9285519706676797E-5</c:v>
                </c:pt>
                <c:pt idx="17">
                  <c:v>-5.9978693534693461E-5</c:v>
                </c:pt>
                <c:pt idx="18">
                  <c:v>-2.2001160721601618E-5</c:v>
                </c:pt>
                <c:pt idx="19">
                  <c:v>-6.5932451980637912E-5</c:v>
                </c:pt>
                <c:pt idx="20">
                  <c:v>-1.2639792179428011E-4</c:v>
                </c:pt>
                <c:pt idx="21">
                  <c:v>-1.9407237172148649E-4</c:v>
                </c:pt>
                <c:pt idx="22">
                  <c:v>-2.8468396020155866E-4</c:v>
                </c:pt>
                <c:pt idx="23">
                  <c:v>-2.6101842150805699E-4</c:v>
                </c:pt>
                <c:pt idx="24">
                  <c:v>-3.6692361829741534E-4</c:v>
                </c:pt>
                <c:pt idx="25">
                  <c:v>-3.3231445412973057E-4</c:v>
                </c:pt>
                <c:pt idx="26">
                  <c:v>-3.4617817442491846E-4</c:v>
                </c:pt>
                <c:pt idx="27">
                  <c:v>-3.7658008656798591E-4</c:v>
                </c:pt>
                <c:pt idx="28">
                  <c:v>-3.6566973230575889E-4</c:v>
                </c:pt>
                <c:pt idx="29">
                  <c:v>-4.3668754819794521E-4</c:v>
                </c:pt>
                <c:pt idx="30">
                  <c:v>-4.029720527132419E-4</c:v>
                </c:pt>
                <c:pt idx="31">
                  <c:v>-4.4296760161254651E-4</c:v>
                </c:pt>
                <c:pt idx="32">
                  <c:v>-4.2823275655400625E-4</c:v>
                </c:pt>
                <c:pt idx="33">
                  <c:v>-3.8444931540766248E-4</c:v>
                </c:pt>
                <c:pt idx="34">
                  <c:v>-4.2143205660134971E-4</c:v>
                </c:pt>
                <c:pt idx="35">
                  <c:v>-3.9113925395668596E-4</c:v>
                </c:pt>
                <c:pt idx="36">
                  <c:v>-3.7368402293812709E-4</c:v>
                </c:pt>
                <c:pt idx="37">
                  <c:v>-2.733465640553448E-4</c:v>
                </c:pt>
                <c:pt idx="38">
                  <c:v>-3.0658737435725406E-4</c:v>
                </c:pt>
                <c:pt idx="39">
                  <c:v>-4.9306150356515262E-4</c:v>
                </c:pt>
                <c:pt idx="40">
                  <c:v>-2.8563393744510199E-4</c:v>
                </c:pt>
                <c:pt idx="41">
                  <c:v>-3.8639619755087388E-4</c:v>
                </c:pt>
                <c:pt idx="42">
                  <c:v>-4.7968425351647102E-4</c:v>
                </c:pt>
                <c:pt idx="43">
                  <c:v>-6.1609785168214443E-4</c:v>
                </c:pt>
                <c:pt idx="44">
                  <c:v>-8.3352137204406422E-4</c:v>
                </c:pt>
                <c:pt idx="45">
                  <c:v>-1.0881463343729216E-3</c:v>
                </c:pt>
                <c:pt idx="46">
                  <c:v>-1.1554956839020455E-3</c:v>
                </c:pt>
                <c:pt idx="47">
                  <c:v>-1.2534499972964193E-3</c:v>
                </c:pt>
                <c:pt idx="48">
                  <c:v>-1.3062757607401557E-3</c:v>
                </c:pt>
                <c:pt idx="49">
                  <c:v>-1.3726558839857912E-3</c:v>
                </c:pt>
                <c:pt idx="50">
                  <c:v>-1.001722627163977E-3</c:v>
                </c:pt>
                <c:pt idx="51">
                  <c:v>-6.7009313113168545E-4</c:v>
                </c:pt>
                <c:pt idx="52">
                  <c:v>-9.189077572219484E-4</c:v>
                </c:pt>
                <c:pt idx="53">
                  <c:v>4.9112854146414822E-4</c:v>
                </c:pt>
                <c:pt idx="54">
                  <c:v>-6.5298422482283625E-5</c:v>
                </c:pt>
                <c:pt idx="55">
                  <c:v>1.008839756775487E-3</c:v>
                </c:pt>
                <c:pt idx="56">
                  <c:v>1.3278620968549294E-3</c:v>
                </c:pt>
                <c:pt idx="57">
                  <c:v>2.3163221354902119E-3</c:v>
                </c:pt>
                <c:pt idx="58">
                  <c:v>3.2149474036736111E-3</c:v>
                </c:pt>
                <c:pt idx="59">
                  <c:v>4.3825741129094389E-3</c:v>
                </c:pt>
                <c:pt idx="60">
                  <c:v>6.423076678157974E-3</c:v>
                </c:pt>
                <c:pt idx="61">
                  <c:v>7.9722916681251518E-3</c:v>
                </c:pt>
                <c:pt idx="62">
                  <c:v>1.105293574226536E-2</c:v>
                </c:pt>
                <c:pt idx="63">
                  <c:v>1.4271517099024106E-2</c:v>
                </c:pt>
                <c:pt idx="64">
                  <c:v>1.6218239922251021E-2</c:v>
                </c:pt>
              </c:numCache>
            </c:numRef>
          </c:val>
          <c:smooth val="0"/>
          <c:extLst>
            <c:ext xmlns:c16="http://schemas.microsoft.com/office/drawing/2014/chart" uri="{C3380CC4-5D6E-409C-BE32-E72D297353CC}">
              <c16:uniqueId val="{00000000-4E3D-4B70-AE25-9B4497F57632}"/>
            </c:ext>
          </c:extLst>
        </c:ser>
        <c:ser>
          <c:idx val="1"/>
          <c:order val="1"/>
          <c:tx>
            <c:strRef>
              <c:f>MAGraduation!$G$1</c:f>
              <c:strCache>
                <c:ptCount val="1"/>
                <c:pt idx="0">
                  <c:v>res_MA3</c:v>
                </c:pt>
              </c:strCache>
            </c:strRef>
          </c:tx>
          <c:spPr>
            <a:ln w="28575" cap="rnd">
              <a:solidFill>
                <a:schemeClr val="accent2"/>
              </a:solidFill>
              <a:round/>
            </a:ln>
            <a:effectLst/>
          </c:spPr>
          <c:marker>
            <c:symbol val="none"/>
          </c:marker>
          <c:cat>
            <c:numRef>
              <c:f>MAGraduation!$A$2:$A$66</c:f>
              <c:numCache>
                <c:formatCode>General</c:formatCode>
                <c:ptCount val="65"/>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pt idx="49">
                  <c:v>69</c:v>
                </c:pt>
                <c:pt idx="50">
                  <c:v>70</c:v>
                </c:pt>
                <c:pt idx="51">
                  <c:v>71</c:v>
                </c:pt>
                <c:pt idx="52">
                  <c:v>72</c:v>
                </c:pt>
                <c:pt idx="53">
                  <c:v>73</c:v>
                </c:pt>
                <c:pt idx="54">
                  <c:v>74</c:v>
                </c:pt>
                <c:pt idx="55">
                  <c:v>75</c:v>
                </c:pt>
                <c:pt idx="56">
                  <c:v>76</c:v>
                </c:pt>
                <c:pt idx="57">
                  <c:v>77</c:v>
                </c:pt>
                <c:pt idx="58">
                  <c:v>78</c:v>
                </c:pt>
                <c:pt idx="59">
                  <c:v>79</c:v>
                </c:pt>
                <c:pt idx="60">
                  <c:v>80</c:v>
                </c:pt>
                <c:pt idx="61">
                  <c:v>81</c:v>
                </c:pt>
                <c:pt idx="62">
                  <c:v>82</c:v>
                </c:pt>
                <c:pt idx="63">
                  <c:v>83</c:v>
                </c:pt>
                <c:pt idx="64">
                  <c:v>84</c:v>
                </c:pt>
              </c:numCache>
            </c:numRef>
          </c:cat>
          <c:val>
            <c:numRef>
              <c:f>MAGraduation!$G$2:$G$66</c:f>
              <c:numCache>
                <c:formatCode>General</c:formatCode>
                <c:ptCount val="65"/>
                <c:pt idx="0">
                  <c:v>-2.0499999999999956E-5</c:v>
                </c:pt>
                <c:pt idx="1">
                  <c:v>1.0666666666666637E-5</c:v>
                </c:pt>
                <c:pt idx="2">
                  <c:v>-2.6333333333333287E-5</c:v>
                </c:pt>
                <c:pt idx="3">
                  <c:v>3.2333333333333324E-5</c:v>
                </c:pt>
                <c:pt idx="4">
                  <c:v>-1.3666666666666601E-5</c:v>
                </c:pt>
                <c:pt idx="5">
                  <c:v>-4.3333333333332941E-6</c:v>
                </c:pt>
                <c:pt idx="6">
                  <c:v>2.3333333333332455E-6</c:v>
                </c:pt>
                <c:pt idx="7">
                  <c:v>2.3333333333333539E-6</c:v>
                </c:pt>
                <c:pt idx="8">
                  <c:v>-2.3333333333332455E-6</c:v>
                </c:pt>
                <c:pt idx="9">
                  <c:v>-2.1333333333333382E-5</c:v>
                </c:pt>
                <c:pt idx="10">
                  <c:v>1.8333333333333418E-5</c:v>
                </c:pt>
                <c:pt idx="11">
                  <c:v>2.6666666666666592E-6</c:v>
                </c:pt>
                <c:pt idx="12">
                  <c:v>-2.8333333333333335E-5</c:v>
                </c:pt>
                <c:pt idx="13">
                  <c:v>5.4333333333333317E-5</c:v>
                </c:pt>
                <c:pt idx="14">
                  <c:v>-4.1000000000000021E-5</c:v>
                </c:pt>
                <c:pt idx="15">
                  <c:v>1.1333333333333247E-5</c:v>
                </c:pt>
                <c:pt idx="16">
                  <c:v>-7.333333333333367E-6</c:v>
                </c:pt>
                <c:pt idx="17">
                  <c:v>-2.2000000000000101E-5</c:v>
                </c:pt>
                <c:pt idx="18">
                  <c:v>2.4666666666666543E-5</c:v>
                </c:pt>
                <c:pt idx="19">
                  <c:v>2.666666666666876E-6</c:v>
                </c:pt>
                <c:pt idx="20">
                  <c:v>-6.6666666666661059E-7</c:v>
                </c:pt>
                <c:pt idx="21">
                  <c:v>4.3333333333331857E-6</c:v>
                </c:pt>
                <c:pt idx="22">
                  <c:v>-4.1666666666666848E-5</c:v>
                </c:pt>
                <c:pt idx="23">
                  <c:v>3.9333333333333277E-5</c:v>
                </c:pt>
                <c:pt idx="24">
                  <c:v>-5.1000000000000047E-5</c:v>
                </c:pt>
                <c:pt idx="25">
                  <c:v>1.166666666666677E-5</c:v>
                </c:pt>
                <c:pt idx="26">
                  <c:v>6.6666666666661059E-7</c:v>
                </c:pt>
                <c:pt idx="27">
                  <c:v>-1.899999999999992E-5</c:v>
                </c:pt>
                <c:pt idx="28">
                  <c:v>2.1666666666666796E-5</c:v>
                </c:pt>
                <c:pt idx="29">
                  <c:v>-4.1000000000000238E-5</c:v>
                </c:pt>
                <c:pt idx="30">
                  <c:v>1.8000000000000221E-5</c:v>
                </c:pt>
                <c:pt idx="31">
                  <c:v>-2.5333333333333371E-5</c:v>
                </c:pt>
                <c:pt idx="32">
                  <c:v>-1.7333333333332743E-5</c:v>
                </c:pt>
                <c:pt idx="33">
                  <c:v>1.8666666666666831E-5</c:v>
                </c:pt>
                <c:pt idx="34">
                  <c:v>-3.1333333333332866E-5</c:v>
                </c:pt>
                <c:pt idx="35">
                  <c:v>-5.3333333333337521E-6</c:v>
                </c:pt>
                <c:pt idx="36">
                  <c:v>-3.8000000000000707E-5</c:v>
                </c:pt>
                <c:pt idx="37">
                  <c:v>3.3333333333333132E-5</c:v>
                </c:pt>
                <c:pt idx="38">
                  <c:v>3.8999999999999972E-5</c:v>
                </c:pt>
                <c:pt idx="39">
                  <c:v>-1.4433333333333312E-4</c:v>
                </c:pt>
                <c:pt idx="40">
                  <c:v>8.8666666666667449E-5</c:v>
                </c:pt>
                <c:pt idx="41">
                  <c:v>-1.7666666666666699E-5</c:v>
                </c:pt>
                <c:pt idx="42">
                  <c:v>-2.0000000000002655E-6</c:v>
                </c:pt>
                <c:pt idx="43">
                  <c:v>9.3333333333351504E-6</c:v>
                </c:pt>
                <c:pt idx="44">
                  <c:v>-6.6666666666669733E-6</c:v>
                </c:pt>
                <c:pt idx="45">
                  <c:v>-8.3000000000001475E-5</c:v>
                </c:pt>
                <c:pt idx="46">
                  <c:v>-1.1999999999999858E-5</c:v>
                </c:pt>
                <c:pt idx="47">
                  <c:v>-3.900000000000084E-5</c:v>
                </c:pt>
                <c:pt idx="48">
                  <c:v>-2.1333333333333274E-5</c:v>
                </c:pt>
                <c:pt idx="49">
                  <c:v>-1.7366666666666745E-4</c:v>
                </c:pt>
                <c:pt idx="50">
                  <c:v>-1.699999999999792E-5</c:v>
                </c:pt>
                <c:pt idx="51">
                  <c:v>1.6099999999999795E-4</c:v>
                </c:pt>
                <c:pt idx="52">
                  <c:v>-5.8800000000000172E-4</c:v>
                </c:pt>
                <c:pt idx="53">
                  <c:v>6.1766666666666567E-4</c:v>
                </c:pt>
                <c:pt idx="54">
                  <c:v>-5.8433333333333601E-4</c:v>
                </c:pt>
                <c:pt idx="55">
                  <c:v>2.0766666666666503E-4</c:v>
                </c:pt>
                <c:pt idx="56">
                  <c:v>-2.7066666666666558E-4</c:v>
                </c:pt>
                <c:pt idx="57">
                  <c:v>-2.1333333333331539E-5</c:v>
                </c:pt>
                <c:pt idx="58">
                  <c:v>-1.4500000000000624E-4</c:v>
                </c:pt>
                <c:pt idx="59">
                  <c:v>-3.5066666666666579E-4</c:v>
                </c:pt>
                <c:pt idx="60">
                  <c:v>9.9333333333326279E-5</c:v>
                </c:pt>
                <c:pt idx="61">
                  <c:v>-5.7999999999999718E-4</c:v>
                </c:pt>
                <c:pt idx="62">
                  <c:v>-1.2100000000000999E-4</c:v>
                </c:pt>
                <c:pt idx="63">
                  <c:v>3.4299999999999609E-4</c:v>
                </c:pt>
                <c:pt idx="64">
                  <c:v>2.6305000000000009E-3</c:v>
                </c:pt>
              </c:numCache>
            </c:numRef>
          </c:val>
          <c:smooth val="0"/>
          <c:extLst>
            <c:ext xmlns:c16="http://schemas.microsoft.com/office/drawing/2014/chart" uri="{C3380CC4-5D6E-409C-BE32-E72D297353CC}">
              <c16:uniqueId val="{00000001-4E3D-4B70-AE25-9B4497F57632}"/>
            </c:ext>
          </c:extLst>
        </c:ser>
        <c:ser>
          <c:idx val="2"/>
          <c:order val="2"/>
          <c:tx>
            <c:strRef>
              <c:f>MAGraduation!$H$1</c:f>
              <c:strCache>
                <c:ptCount val="1"/>
                <c:pt idx="0">
                  <c:v>res_MA5</c:v>
                </c:pt>
              </c:strCache>
            </c:strRef>
          </c:tx>
          <c:spPr>
            <a:ln w="28575" cap="rnd">
              <a:solidFill>
                <a:schemeClr val="accent3"/>
              </a:solidFill>
              <a:round/>
            </a:ln>
            <a:effectLst/>
          </c:spPr>
          <c:marker>
            <c:symbol val="none"/>
          </c:marker>
          <c:cat>
            <c:numRef>
              <c:f>MAGraduation!$A$2:$A$66</c:f>
              <c:numCache>
                <c:formatCode>General</c:formatCode>
                <c:ptCount val="65"/>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pt idx="49">
                  <c:v>69</c:v>
                </c:pt>
                <c:pt idx="50">
                  <c:v>70</c:v>
                </c:pt>
                <c:pt idx="51">
                  <c:v>71</c:v>
                </c:pt>
                <c:pt idx="52">
                  <c:v>72</c:v>
                </c:pt>
                <c:pt idx="53">
                  <c:v>73</c:v>
                </c:pt>
                <c:pt idx="54">
                  <c:v>74</c:v>
                </c:pt>
                <c:pt idx="55">
                  <c:v>75</c:v>
                </c:pt>
                <c:pt idx="56">
                  <c:v>76</c:v>
                </c:pt>
                <c:pt idx="57">
                  <c:v>77</c:v>
                </c:pt>
                <c:pt idx="58">
                  <c:v>78</c:v>
                </c:pt>
                <c:pt idx="59">
                  <c:v>79</c:v>
                </c:pt>
                <c:pt idx="60">
                  <c:v>80</c:v>
                </c:pt>
                <c:pt idx="61">
                  <c:v>81</c:v>
                </c:pt>
                <c:pt idx="62">
                  <c:v>82</c:v>
                </c:pt>
                <c:pt idx="63">
                  <c:v>83</c:v>
                </c:pt>
                <c:pt idx="64">
                  <c:v>84</c:v>
                </c:pt>
              </c:numCache>
            </c:numRef>
          </c:cat>
          <c:val>
            <c:numRef>
              <c:f>MAGraduation!$H$2:$H$66</c:f>
              <c:numCache>
                <c:formatCode>General</c:formatCode>
                <c:ptCount val="65"/>
                <c:pt idx="0">
                  <c:v>-3.033333333333333E-5</c:v>
                </c:pt>
                <c:pt idx="1">
                  <c:v>-1.6249999999999988E-5</c:v>
                </c:pt>
                <c:pt idx="2">
                  <c:v>-2.1599999999999983E-5</c:v>
                </c:pt>
                <c:pt idx="3">
                  <c:v>3.4200000000000072E-5</c:v>
                </c:pt>
                <c:pt idx="4">
                  <c:v>-7.7999999999999728E-6</c:v>
                </c:pt>
                <c:pt idx="5">
                  <c:v>-1.460000000000003E-5</c:v>
                </c:pt>
                <c:pt idx="6">
                  <c:v>2.9999999999999645E-6</c:v>
                </c:pt>
                <c:pt idx="7">
                  <c:v>4.1999999999999937E-6</c:v>
                </c:pt>
                <c:pt idx="8">
                  <c:v>-1.5600000000000054E-5</c:v>
                </c:pt>
                <c:pt idx="9">
                  <c:v>-2.8799999999999941E-5</c:v>
                </c:pt>
                <c:pt idx="10">
                  <c:v>2.1799999999999988E-5</c:v>
                </c:pt>
                <c:pt idx="11">
                  <c:v>-1.1999999999999207E-6</c:v>
                </c:pt>
                <c:pt idx="12">
                  <c:v>-1.6800000000000083E-5</c:v>
                </c:pt>
                <c:pt idx="13">
                  <c:v>5.6199999999999957E-5</c:v>
                </c:pt>
                <c:pt idx="14">
                  <c:v>-3.4399999999999752E-5</c:v>
                </c:pt>
                <c:pt idx="15">
                  <c:v>-8.5999999999998838E-6</c:v>
                </c:pt>
                <c:pt idx="16">
                  <c:v>-1.960000000000026E-5</c:v>
                </c:pt>
                <c:pt idx="17">
                  <c:v>-2.9200000000000059E-5</c:v>
                </c:pt>
                <c:pt idx="18">
                  <c:v>3.2800000000000147E-5</c:v>
                </c:pt>
                <c:pt idx="19">
                  <c:v>1.9200000000000033E-5</c:v>
                </c:pt>
                <c:pt idx="20">
                  <c:v>3.0000000000001813E-6</c:v>
                </c:pt>
                <c:pt idx="21">
                  <c:v>-1.7599999999999777E-5</c:v>
                </c:pt>
                <c:pt idx="22">
                  <c:v>-4.8800000000000102E-5</c:v>
                </c:pt>
                <c:pt idx="23">
                  <c:v>1.5199999999999719E-5</c:v>
                </c:pt>
                <c:pt idx="24">
                  <c:v>-6.119999999999997E-5</c:v>
                </c:pt>
                <c:pt idx="25">
                  <c:v>-9.2000000000000068E-6</c:v>
                </c:pt>
                <c:pt idx="26">
                  <c:v>-3.2000000000000778E-6</c:v>
                </c:pt>
                <c:pt idx="27">
                  <c:v>-2.0799999999999638E-5</c:v>
                </c:pt>
                <c:pt idx="28">
                  <c:v>2.9999999999999645E-6</c:v>
                </c:pt>
                <c:pt idx="29">
                  <c:v>-5.0000000000000131E-5</c:v>
                </c:pt>
                <c:pt idx="30">
                  <c:v>-7.4000000000002883E-6</c:v>
                </c:pt>
                <c:pt idx="31">
                  <c:v>-4.5199999999999581E-5</c:v>
                </c:pt>
                <c:pt idx="32">
                  <c:v>-3.5199999999999555E-5</c:v>
                </c:pt>
                <c:pt idx="33">
                  <c:v>4.3999999999994564E-6</c:v>
                </c:pt>
                <c:pt idx="34">
                  <c:v>-4.8399999999999659E-5</c:v>
                </c:pt>
                <c:pt idx="35">
                  <c:v>-5.119999999999951E-5</c:v>
                </c:pt>
                <c:pt idx="36">
                  <c:v>-5.1600000000000604E-5</c:v>
                </c:pt>
                <c:pt idx="37">
                  <c:v>6.0600000000000064E-5</c:v>
                </c:pt>
                <c:pt idx="38">
                  <c:v>3.6000000000003043E-6</c:v>
                </c:pt>
                <c:pt idx="39">
                  <c:v>-1.8319999999999968E-4</c:v>
                </c:pt>
                <c:pt idx="40">
                  <c:v>6.2399999999999782E-5</c:v>
                </c:pt>
                <c:pt idx="41">
                  <c:v>2.0200000000001467E-5</c:v>
                </c:pt>
                <c:pt idx="42">
                  <c:v>-8.600000000000968E-6</c:v>
                </c:pt>
                <c:pt idx="43">
                  <c:v>1.1599999999998764E-5</c:v>
                </c:pt>
                <c:pt idx="44">
                  <c:v>-5.6200000000001041E-5</c:v>
                </c:pt>
                <c:pt idx="45">
                  <c:v>-1.6060000000000033E-4</c:v>
                </c:pt>
                <c:pt idx="46">
                  <c:v>-9.4800000000000786E-5</c:v>
                </c:pt>
                <c:pt idx="47">
                  <c:v>-9.0200000000000349E-5</c:v>
                </c:pt>
                <c:pt idx="48">
                  <c:v>-1.6600000000000122E-4</c:v>
                </c:pt>
                <c:pt idx="49">
                  <c:v>-3.3560000000000013E-4</c:v>
                </c:pt>
                <c:pt idx="50">
                  <c:v>-3.8200000000002121E-5</c:v>
                </c:pt>
                <c:pt idx="51">
                  <c:v>-7.319999999999896E-5</c:v>
                </c:pt>
                <c:pt idx="52">
                  <c:v>-5.9120000000000006E-4</c:v>
                </c:pt>
                <c:pt idx="53">
                  <c:v>4.084000000000032E-4</c:v>
                </c:pt>
                <c:pt idx="54">
                  <c:v>-5.5659999999999737E-4</c:v>
                </c:pt>
                <c:pt idx="55">
                  <c:v>-1.3920000000000252E-4</c:v>
                </c:pt>
                <c:pt idx="56">
                  <c:v>-3.7539999999999796E-4</c:v>
                </c:pt>
                <c:pt idx="57">
                  <c:v>-2.8779999999999778E-4</c:v>
                </c:pt>
                <c:pt idx="58">
                  <c:v>-4.8420000000000407E-4</c:v>
                </c:pt>
                <c:pt idx="59">
                  <c:v>-6.5860000000000224E-4</c:v>
                </c:pt>
                <c:pt idx="60">
                  <c:v>-3.7960000000000077E-4</c:v>
                </c:pt>
                <c:pt idx="61">
                  <c:v>-1.0570000000000024E-3</c:v>
                </c:pt>
                <c:pt idx="62">
                  <c:v>-3.5999999999999921E-4</c:v>
                </c:pt>
                <c:pt idx="63">
                  <c:v>3.311499999999995E-3</c:v>
                </c:pt>
                <c:pt idx="64">
                  <c:v>5.6039999999999979E-3</c:v>
                </c:pt>
              </c:numCache>
            </c:numRef>
          </c:val>
          <c:smooth val="0"/>
          <c:extLst>
            <c:ext xmlns:c16="http://schemas.microsoft.com/office/drawing/2014/chart" uri="{C3380CC4-5D6E-409C-BE32-E72D297353CC}">
              <c16:uniqueId val="{00000002-4E3D-4B70-AE25-9B4497F57632}"/>
            </c:ext>
          </c:extLst>
        </c:ser>
        <c:dLbls>
          <c:showLegendKey val="0"/>
          <c:showVal val="0"/>
          <c:showCatName val="0"/>
          <c:showSerName val="0"/>
          <c:showPercent val="0"/>
          <c:showBubbleSize val="0"/>
        </c:dLbls>
        <c:smooth val="0"/>
        <c:axId val="1636350208"/>
        <c:axId val="1636351168"/>
      </c:lineChart>
      <c:catAx>
        <c:axId val="1636350208"/>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b"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6351168"/>
        <c:crosses val="autoZero"/>
        <c:auto val="1"/>
        <c:lblAlgn val="ctr"/>
        <c:lblOffset val="100"/>
        <c:tickLblSkip val="5"/>
        <c:noMultiLvlLbl val="0"/>
      </c:catAx>
      <c:valAx>
        <c:axId val="1636351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63502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
            </a:r>
            <a:r>
              <a:rPr lang="en-US" baseline="0"/>
              <a:t> Residual Comparison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MAGraduation!$I$1</c:f>
              <c:strCache>
                <c:ptCount val="1"/>
                <c:pt idx="0">
                  <c:v>%res_gomp</c:v>
                </c:pt>
              </c:strCache>
            </c:strRef>
          </c:tx>
          <c:spPr>
            <a:ln w="28575" cap="rnd">
              <a:solidFill>
                <a:schemeClr val="accent1"/>
              </a:solidFill>
              <a:round/>
            </a:ln>
            <a:effectLst/>
          </c:spPr>
          <c:marker>
            <c:symbol val="none"/>
          </c:marker>
          <c:cat>
            <c:numRef>
              <c:f>MAGraduation!$A$2:$A$66</c:f>
              <c:numCache>
                <c:formatCode>General</c:formatCode>
                <c:ptCount val="65"/>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pt idx="49">
                  <c:v>69</c:v>
                </c:pt>
                <c:pt idx="50">
                  <c:v>70</c:v>
                </c:pt>
                <c:pt idx="51">
                  <c:v>71</c:v>
                </c:pt>
                <c:pt idx="52">
                  <c:v>72</c:v>
                </c:pt>
                <c:pt idx="53">
                  <c:v>73</c:v>
                </c:pt>
                <c:pt idx="54">
                  <c:v>74</c:v>
                </c:pt>
                <c:pt idx="55">
                  <c:v>75</c:v>
                </c:pt>
                <c:pt idx="56">
                  <c:v>76</c:v>
                </c:pt>
                <c:pt idx="57">
                  <c:v>77</c:v>
                </c:pt>
                <c:pt idx="58">
                  <c:v>78</c:v>
                </c:pt>
                <c:pt idx="59">
                  <c:v>79</c:v>
                </c:pt>
                <c:pt idx="60">
                  <c:v>80</c:v>
                </c:pt>
                <c:pt idx="61">
                  <c:v>81</c:v>
                </c:pt>
                <c:pt idx="62">
                  <c:v>82</c:v>
                </c:pt>
                <c:pt idx="63">
                  <c:v>83</c:v>
                </c:pt>
                <c:pt idx="64">
                  <c:v>84</c:v>
                </c:pt>
              </c:numCache>
            </c:numRef>
          </c:cat>
          <c:val>
            <c:numRef>
              <c:f>MAGraduation!$I$2:$I$66</c:f>
              <c:numCache>
                <c:formatCode>0.00%</c:formatCode>
                <c:ptCount val="65"/>
                <c:pt idx="0">
                  <c:v>-0.15998626408339406</c:v>
                </c:pt>
                <c:pt idx="1">
                  <c:v>-0.17542455735019463</c:v>
                </c:pt>
                <c:pt idx="2">
                  <c:v>-0.1275208273877656</c:v>
                </c:pt>
                <c:pt idx="3">
                  <c:v>-0.20889474251697038</c:v>
                </c:pt>
                <c:pt idx="4">
                  <c:v>-0.13216653512753529</c:v>
                </c:pt>
                <c:pt idx="5">
                  <c:v>-0.11575299535536891</c:v>
                </c:pt>
                <c:pt idx="6">
                  <c:v>-0.11520094364427987</c:v>
                </c:pt>
                <c:pt idx="7">
                  <c:v>-0.10046153199595774</c:v>
                </c:pt>
                <c:pt idx="8">
                  <c:v>-7.307097447731882E-2</c:v>
                </c:pt>
                <c:pt idx="9">
                  <c:v>-5.2131459650895856E-2</c:v>
                </c:pt>
                <c:pt idx="10">
                  <c:v>-0.103182233495762</c:v>
                </c:pt>
                <c:pt idx="11">
                  <c:v>-8.4251328816564469E-2</c:v>
                </c:pt>
                <c:pt idx="12">
                  <c:v>-5.4006909142230802E-2</c:v>
                </c:pt>
                <c:pt idx="13">
                  <c:v>-0.10115125413928792</c:v>
                </c:pt>
                <c:pt idx="14">
                  <c:v>7.785933277459839E-3</c:v>
                </c:pt>
                <c:pt idx="15">
                  <c:v>3.1251842008175774E-3</c:v>
                </c:pt>
                <c:pt idx="16">
                  <c:v>3.4673892062380231E-2</c:v>
                </c:pt>
                <c:pt idx="17">
                  <c:v>4.9774849406384616E-2</c:v>
                </c:pt>
                <c:pt idx="18">
                  <c:v>1.6382100313925254E-2</c:v>
                </c:pt>
                <c:pt idx="19">
                  <c:v>4.6860307022486079E-2</c:v>
                </c:pt>
                <c:pt idx="20">
                  <c:v>8.6396392203882497E-2</c:v>
                </c:pt>
                <c:pt idx="21">
                  <c:v>0.12759524768013575</c:v>
                </c:pt>
                <c:pt idx="22">
                  <c:v>0.18179052375578458</c:v>
                </c:pt>
                <c:pt idx="23">
                  <c:v>0.15035623358759043</c:v>
                </c:pt>
                <c:pt idx="24">
                  <c:v>0.20521455162047836</c:v>
                </c:pt>
                <c:pt idx="25">
                  <c:v>0.16674081993463652</c:v>
                </c:pt>
                <c:pt idx="26">
                  <c:v>0.16004538808364238</c:v>
                </c:pt>
                <c:pt idx="27">
                  <c:v>0.16155301869068464</c:v>
                </c:pt>
                <c:pt idx="28">
                  <c:v>0.14306327554998391</c:v>
                </c:pt>
                <c:pt idx="29">
                  <c:v>0.16078333880631265</c:v>
                </c:pt>
                <c:pt idx="30">
                  <c:v>0.1343688071734718</c:v>
                </c:pt>
                <c:pt idx="31">
                  <c:v>0.13722664238306892</c:v>
                </c:pt>
                <c:pt idx="32">
                  <c:v>0.1212093848157391</c:v>
                </c:pt>
                <c:pt idx="33">
                  <c:v>9.8830158202483934E-2</c:v>
                </c:pt>
                <c:pt idx="34">
                  <c:v>0.10055644395164631</c:v>
                </c:pt>
                <c:pt idx="35">
                  <c:v>8.5289850404859563E-2</c:v>
                </c:pt>
                <c:pt idx="36">
                  <c:v>7.4781673591780493E-2</c:v>
                </c:pt>
                <c:pt idx="37">
                  <c:v>4.9501369803575661E-2</c:v>
                </c:pt>
                <c:pt idx="38">
                  <c:v>5.1553283059904836E-2</c:v>
                </c:pt>
                <c:pt idx="39">
                  <c:v>7.8826779147106729E-2</c:v>
                </c:pt>
                <c:pt idx="40">
                  <c:v>4.0828178594211263E-2</c:v>
                </c:pt>
                <c:pt idx="41">
                  <c:v>5.1719474976693061E-2</c:v>
                </c:pt>
                <c:pt idx="42">
                  <c:v>5.9968027693020509E-2</c:v>
                </c:pt>
                <c:pt idx="43">
                  <c:v>7.2201787376320686E-2</c:v>
                </c:pt>
                <c:pt idx="44">
                  <c:v>9.2213892249592228E-2</c:v>
                </c:pt>
                <c:pt idx="45">
                  <c:v>0.11376333866941156</c:v>
                </c:pt>
                <c:pt idx="46">
                  <c:v>0.11175006614139706</c:v>
                </c:pt>
                <c:pt idx="47">
                  <c:v>0.11240695877467666</c:v>
                </c:pt>
                <c:pt idx="48">
                  <c:v>0.10814436300522856</c:v>
                </c:pt>
                <c:pt idx="49">
                  <c:v>0.10501536867766745</c:v>
                </c:pt>
                <c:pt idx="50">
                  <c:v>6.8686411626712629E-2</c:v>
                </c:pt>
                <c:pt idx="51">
                  <c:v>4.1496973689106112E-2</c:v>
                </c:pt>
                <c:pt idx="52">
                  <c:v>5.3334944408958633E-2</c:v>
                </c:pt>
                <c:pt idx="53">
                  <c:v>-2.4465903231251779E-2</c:v>
                </c:pt>
                <c:pt idx="54">
                  <c:v>3.099706754119606E-3</c:v>
                </c:pt>
                <c:pt idx="55">
                  <c:v>-4.2368642928708879E-2</c:v>
                </c:pt>
                <c:pt idx="56">
                  <c:v>-5.120356676261633E-2</c:v>
                </c:pt>
                <c:pt idx="57">
                  <c:v>-8.0241179737770188E-2</c:v>
                </c:pt>
                <c:pt idx="58">
                  <c:v>-0.10089274764392316</c:v>
                </c:pt>
                <c:pt idx="59">
                  <c:v>-0.12415927567877609</c:v>
                </c:pt>
                <c:pt idx="60">
                  <c:v>-0.161452798385189</c:v>
                </c:pt>
                <c:pt idx="61">
                  <c:v>-0.18131206886798162</c:v>
                </c:pt>
                <c:pt idx="62">
                  <c:v>-0.22151503581909454</c:v>
                </c:pt>
                <c:pt idx="63">
                  <c:v>-0.25400033991891552</c:v>
                </c:pt>
                <c:pt idx="64">
                  <c:v>-0.2639343822785285</c:v>
                </c:pt>
              </c:numCache>
            </c:numRef>
          </c:val>
          <c:smooth val="0"/>
          <c:extLst>
            <c:ext xmlns:c16="http://schemas.microsoft.com/office/drawing/2014/chart" uri="{C3380CC4-5D6E-409C-BE32-E72D297353CC}">
              <c16:uniqueId val="{00000000-51D2-442D-9D97-BFA7A1245F20}"/>
            </c:ext>
          </c:extLst>
        </c:ser>
        <c:ser>
          <c:idx val="1"/>
          <c:order val="1"/>
          <c:tx>
            <c:strRef>
              <c:f>MAGraduation!$J$1</c:f>
              <c:strCache>
                <c:ptCount val="1"/>
                <c:pt idx="0">
                  <c:v>%MA3_mx</c:v>
                </c:pt>
              </c:strCache>
            </c:strRef>
          </c:tx>
          <c:spPr>
            <a:ln w="28575" cap="rnd">
              <a:solidFill>
                <a:schemeClr val="accent2"/>
              </a:solidFill>
              <a:round/>
            </a:ln>
            <a:effectLst/>
          </c:spPr>
          <c:marker>
            <c:symbol val="none"/>
          </c:marker>
          <c:cat>
            <c:numRef>
              <c:f>MAGraduation!$A$2:$A$66</c:f>
              <c:numCache>
                <c:formatCode>General</c:formatCode>
                <c:ptCount val="65"/>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pt idx="49">
                  <c:v>69</c:v>
                </c:pt>
                <c:pt idx="50">
                  <c:v>70</c:v>
                </c:pt>
                <c:pt idx="51">
                  <c:v>71</c:v>
                </c:pt>
                <c:pt idx="52">
                  <c:v>72</c:v>
                </c:pt>
                <c:pt idx="53">
                  <c:v>73</c:v>
                </c:pt>
                <c:pt idx="54">
                  <c:v>74</c:v>
                </c:pt>
                <c:pt idx="55">
                  <c:v>75</c:v>
                </c:pt>
                <c:pt idx="56">
                  <c:v>76</c:v>
                </c:pt>
                <c:pt idx="57">
                  <c:v>77</c:v>
                </c:pt>
                <c:pt idx="58">
                  <c:v>78</c:v>
                </c:pt>
                <c:pt idx="59">
                  <c:v>79</c:v>
                </c:pt>
                <c:pt idx="60">
                  <c:v>80</c:v>
                </c:pt>
                <c:pt idx="61">
                  <c:v>81</c:v>
                </c:pt>
                <c:pt idx="62">
                  <c:v>82</c:v>
                </c:pt>
                <c:pt idx="63">
                  <c:v>83</c:v>
                </c:pt>
                <c:pt idx="64">
                  <c:v>84</c:v>
                </c:pt>
              </c:numCache>
            </c:numRef>
          </c:cat>
          <c:val>
            <c:numRef>
              <c:f>MAGraduation!$J$2:$J$66</c:f>
              <c:numCache>
                <c:formatCode>0.00%</c:formatCode>
                <c:ptCount val="65"/>
                <c:pt idx="0">
                  <c:v>4.9636803874091903E-2</c:v>
                </c:pt>
                <c:pt idx="1">
                  <c:v>-2.3494860499265722E-2</c:v>
                </c:pt>
                <c:pt idx="2">
                  <c:v>5.6875449964002782E-2</c:v>
                </c:pt>
                <c:pt idx="3">
                  <c:v>-5.8681185722927999E-2</c:v>
                </c:pt>
                <c:pt idx="4">
                  <c:v>2.5215252152521406E-2</c:v>
                </c:pt>
                <c:pt idx="5">
                  <c:v>7.5493612078977252E-3</c:v>
                </c:pt>
                <c:pt idx="6">
                  <c:v>-3.7695207323638863E-3</c:v>
                </c:pt>
                <c:pt idx="7">
                  <c:v>-3.5514967021816647E-3</c:v>
                </c:pt>
                <c:pt idx="8">
                  <c:v>3.3914728682169263E-3</c:v>
                </c:pt>
                <c:pt idx="9">
                  <c:v>2.9384756657483999E-2</c:v>
                </c:pt>
                <c:pt idx="10">
                  <c:v>-2.2141706924315722E-2</c:v>
                </c:pt>
                <c:pt idx="11">
                  <c:v>-3.047619047619039E-3</c:v>
                </c:pt>
                <c:pt idx="12">
                  <c:v>3.0999270605397523E-2</c:v>
                </c:pt>
                <c:pt idx="13">
                  <c:v>-5.2344251766217063E-2</c:v>
                </c:pt>
                <c:pt idx="14">
                  <c:v>4.104104104104106E-2</c:v>
                </c:pt>
                <c:pt idx="15">
                  <c:v>-1.0464758387195981E-2</c:v>
                </c:pt>
                <c:pt idx="16">
                  <c:v>6.4724919093851439E-3</c:v>
                </c:pt>
                <c:pt idx="17">
                  <c:v>1.8257261410788466E-2</c:v>
                </c:pt>
                <c:pt idx="18">
                  <c:v>-1.8366840407048803E-2</c:v>
                </c:pt>
                <c:pt idx="19">
                  <c:v>-1.8952854773751783E-3</c:v>
                </c:pt>
                <c:pt idx="20">
                  <c:v>4.5568466621094365E-4</c:v>
                </c:pt>
                <c:pt idx="21">
                  <c:v>-2.849002849002752E-3</c:v>
                </c:pt>
                <c:pt idx="22">
                  <c:v>2.6607066836952013E-2</c:v>
                </c:pt>
                <c:pt idx="23">
                  <c:v>-2.2657450076804884E-2</c:v>
                </c:pt>
                <c:pt idx="24">
                  <c:v>2.8523489932885931E-2</c:v>
                </c:pt>
                <c:pt idx="25">
                  <c:v>-5.8538217093159909E-3</c:v>
                </c:pt>
                <c:pt idx="26">
                  <c:v>-3.0821390044688421E-4</c:v>
                </c:pt>
                <c:pt idx="27">
                  <c:v>8.1510081510081153E-3</c:v>
                </c:pt>
                <c:pt idx="28">
                  <c:v>-8.476786645800781E-3</c:v>
                </c:pt>
                <c:pt idx="29">
                  <c:v>1.5095729013254873E-2</c:v>
                </c:pt>
                <c:pt idx="30">
                  <c:v>-6.0020006668890366E-3</c:v>
                </c:pt>
                <c:pt idx="31">
                  <c:v>7.8479966955803497E-3</c:v>
                </c:pt>
                <c:pt idx="32">
                  <c:v>4.9061232191714528E-3</c:v>
                </c:pt>
                <c:pt idx="33">
                  <c:v>-4.7986289631534269E-3</c:v>
                </c:pt>
                <c:pt idx="34">
                  <c:v>7.4763381849994905E-3</c:v>
                </c:pt>
                <c:pt idx="35">
                  <c:v>1.162959732519353E-3</c:v>
                </c:pt>
                <c:pt idx="36">
                  <c:v>7.6045627376427278E-3</c:v>
                </c:pt>
                <c:pt idx="37">
                  <c:v>-6.0364602197271154E-3</c:v>
                </c:pt>
                <c:pt idx="38">
                  <c:v>-6.5579283672439837E-3</c:v>
                </c:pt>
                <c:pt idx="39">
                  <c:v>2.3074873434585631E-2</c:v>
                </c:pt>
                <c:pt idx="40">
                  <c:v>-1.2673908900324106E-2</c:v>
                </c:pt>
                <c:pt idx="41">
                  <c:v>2.3646990585820772E-3</c:v>
                </c:pt>
                <c:pt idx="42">
                  <c:v>2.5003125390677154E-4</c:v>
                </c:pt>
                <c:pt idx="43">
                  <c:v>-1.0937927262785832E-3</c:v>
                </c:pt>
                <c:pt idx="44">
                  <c:v>7.3754471364829879E-4</c:v>
                </c:pt>
                <c:pt idx="45">
                  <c:v>8.6774699424988465E-3</c:v>
                </c:pt>
                <c:pt idx="46">
                  <c:v>1.1605415860734872E-3</c:v>
                </c:pt>
                <c:pt idx="47">
                  <c:v>3.4974441754103526E-3</c:v>
                </c:pt>
                <c:pt idx="48">
                  <c:v>1.7661506195325171E-3</c:v>
                </c:pt>
                <c:pt idx="49">
                  <c:v>1.3286410119093218E-2</c:v>
                </c:pt>
                <c:pt idx="50">
                  <c:v>1.1656609983542183E-3</c:v>
                </c:pt>
                <c:pt idx="51">
                  <c:v>-9.9702749566508517E-3</c:v>
                </c:pt>
                <c:pt idx="52">
                  <c:v>3.4128504266063134E-2</c:v>
                </c:pt>
                <c:pt idx="53">
                  <c:v>-3.0769486234266494E-2</c:v>
                </c:pt>
                <c:pt idx="54">
                  <c:v>2.7738219563910375E-2</c:v>
                </c:pt>
                <c:pt idx="55">
                  <c:v>-8.7214592695252207E-3</c:v>
                </c:pt>
                <c:pt idx="56">
                  <c:v>1.0437152148485156E-2</c:v>
                </c:pt>
                <c:pt idx="57">
                  <c:v>7.3902148935918314E-4</c:v>
                </c:pt>
                <c:pt idx="58">
                  <c:v>4.5504471991214893E-3</c:v>
                </c:pt>
                <c:pt idx="59">
                  <c:v>9.9344627646514184E-3</c:v>
                </c:pt>
                <c:pt idx="60">
                  <c:v>-2.496878901373106E-3</c:v>
                </c:pt>
                <c:pt idx="61">
                  <c:v>1.319081191721622E-2</c:v>
                </c:pt>
                <c:pt idx="62">
                  <c:v>2.4249954907110648E-3</c:v>
                </c:pt>
                <c:pt idx="63">
                  <c:v>-6.1046149465178081E-3</c:v>
                </c:pt>
                <c:pt idx="64">
                  <c:v>-4.2808553573753433E-2</c:v>
                </c:pt>
              </c:numCache>
            </c:numRef>
          </c:val>
          <c:smooth val="0"/>
          <c:extLst>
            <c:ext xmlns:c16="http://schemas.microsoft.com/office/drawing/2014/chart" uri="{C3380CC4-5D6E-409C-BE32-E72D297353CC}">
              <c16:uniqueId val="{00000001-51D2-442D-9D97-BFA7A1245F20}"/>
            </c:ext>
          </c:extLst>
        </c:ser>
        <c:ser>
          <c:idx val="2"/>
          <c:order val="2"/>
          <c:tx>
            <c:strRef>
              <c:f>MAGraduation!$K$1</c:f>
              <c:strCache>
                <c:ptCount val="1"/>
                <c:pt idx="0">
                  <c:v>%MA5_mx</c:v>
                </c:pt>
              </c:strCache>
            </c:strRef>
          </c:tx>
          <c:spPr>
            <a:ln w="28575" cap="rnd">
              <a:solidFill>
                <a:schemeClr val="accent3"/>
              </a:solidFill>
              <a:round/>
            </a:ln>
            <a:effectLst/>
          </c:spPr>
          <c:marker>
            <c:symbol val="none"/>
          </c:marker>
          <c:cat>
            <c:numRef>
              <c:f>MAGraduation!$A$2:$A$66</c:f>
              <c:numCache>
                <c:formatCode>General</c:formatCode>
                <c:ptCount val="65"/>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pt idx="49">
                  <c:v>69</c:v>
                </c:pt>
                <c:pt idx="50">
                  <c:v>70</c:v>
                </c:pt>
                <c:pt idx="51">
                  <c:v>71</c:v>
                </c:pt>
                <c:pt idx="52">
                  <c:v>72</c:v>
                </c:pt>
                <c:pt idx="53">
                  <c:v>73</c:v>
                </c:pt>
                <c:pt idx="54">
                  <c:v>74</c:v>
                </c:pt>
                <c:pt idx="55">
                  <c:v>75</c:v>
                </c:pt>
                <c:pt idx="56">
                  <c:v>76</c:v>
                </c:pt>
                <c:pt idx="57">
                  <c:v>77</c:v>
                </c:pt>
                <c:pt idx="58">
                  <c:v>78</c:v>
                </c:pt>
                <c:pt idx="59">
                  <c:v>79</c:v>
                </c:pt>
                <c:pt idx="60">
                  <c:v>80</c:v>
                </c:pt>
                <c:pt idx="61">
                  <c:v>81</c:v>
                </c:pt>
                <c:pt idx="62">
                  <c:v>82</c:v>
                </c:pt>
                <c:pt idx="63">
                  <c:v>83</c:v>
                </c:pt>
                <c:pt idx="64">
                  <c:v>84</c:v>
                </c:pt>
              </c:numCache>
            </c:numRef>
          </c:cat>
          <c:val>
            <c:numRef>
              <c:f>MAGraduation!$K$2:$K$66</c:f>
              <c:numCache>
                <c:formatCode>0.00%</c:formatCode>
                <c:ptCount val="65"/>
                <c:pt idx="0">
                  <c:v>7.3446327683615809E-2</c:v>
                </c:pt>
                <c:pt idx="1">
                  <c:v>3.57929515418502E-2</c:v>
                </c:pt>
                <c:pt idx="2">
                  <c:v>4.6652267818574476E-2</c:v>
                </c:pt>
                <c:pt idx="3">
                  <c:v>-6.2068965517241517E-2</c:v>
                </c:pt>
                <c:pt idx="4">
                  <c:v>1.4391143911439065E-2</c:v>
                </c:pt>
                <c:pt idx="5">
                  <c:v>2.5435540069686464E-2</c:v>
                </c:pt>
                <c:pt idx="6">
                  <c:v>-4.8465266558965501E-3</c:v>
                </c:pt>
                <c:pt idx="7">
                  <c:v>-6.3926940639269306E-3</c:v>
                </c:pt>
                <c:pt idx="8">
                  <c:v>2.2674418604651241E-2</c:v>
                </c:pt>
                <c:pt idx="9">
                  <c:v>3.9669421487603225E-2</c:v>
                </c:pt>
                <c:pt idx="10">
                  <c:v>-2.6328502415458924E-2</c:v>
                </c:pt>
                <c:pt idx="11">
                  <c:v>1.3714285714284808E-3</c:v>
                </c:pt>
                <c:pt idx="12">
                  <c:v>1.8380743982494622E-2</c:v>
                </c:pt>
                <c:pt idx="13">
                  <c:v>-5.4142581888246583E-2</c:v>
                </c:pt>
                <c:pt idx="14">
                  <c:v>3.4434434434434183E-2</c:v>
                </c:pt>
                <c:pt idx="15">
                  <c:v>7.9409048938133744E-3</c:v>
                </c:pt>
                <c:pt idx="16">
                  <c:v>1.7299205648720443E-2</c:v>
                </c:pt>
                <c:pt idx="17">
                  <c:v>2.4232365145228266E-2</c:v>
                </c:pt>
                <c:pt idx="18">
                  <c:v>-2.4422933730454316E-2</c:v>
                </c:pt>
                <c:pt idx="19">
                  <c:v>-1.3646055437100237E-2</c:v>
                </c:pt>
                <c:pt idx="20">
                  <c:v>-2.0505809979495426E-3</c:v>
                </c:pt>
                <c:pt idx="21">
                  <c:v>1.1571334648257579E-2</c:v>
                </c:pt>
                <c:pt idx="22">
                  <c:v>3.1162196679438127E-2</c:v>
                </c:pt>
                <c:pt idx="23">
                  <c:v>-8.7557603686634327E-3</c:v>
                </c:pt>
                <c:pt idx="24">
                  <c:v>3.4228187919463068E-2</c:v>
                </c:pt>
                <c:pt idx="25">
                  <c:v>4.6161565479177153E-3</c:v>
                </c:pt>
                <c:pt idx="26">
                  <c:v>1.4794267221452048E-3</c:v>
                </c:pt>
                <c:pt idx="27">
                  <c:v>8.9232089232087666E-3</c:v>
                </c:pt>
                <c:pt idx="28">
                  <c:v>-1.1737089201877796E-3</c:v>
                </c:pt>
                <c:pt idx="29">
                  <c:v>1.840942562592052E-2</c:v>
                </c:pt>
                <c:pt idx="30">
                  <c:v>2.4674891630544478E-3</c:v>
                </c:pt>
                <c:pt idx="31">
                  <c:v>1.4002478314745843E-2</c:v>
                </c:pt>
                <c:pt idx="32">
                  <c:v>9.9632040758560868E-3</c:v>
                </c:pt>
                <c:pt idx="33">
                  <c:v>-1.1311053984574438E-3</c:v>
                </c:pt>
                <c:pt idx="34">
                  <c:v>1.1548556430446113E-2</c:v>
                </c:pt>
                <c:pt idx="35">
                  <c:v>1.1164413432184803E-2</c:v>
                </c:pt>
                <c:pt idx="36">
                  <c:v>1.032619571743058E-2</c:v>
                </c:pt>
                <c:pt idx="37">
                  <c:v>-1.0974284679463974E-2</c:v>
                </c:pt>
                <c:pt idx="38">
                  <c:v>-6.0534723389949624E-4</c:v>
                </c:pt>
                <c:pt idx="39">
                  <c:v>2.9288569144684203E-2</c:v>
                </c:pt>
                <c:pt idx="40">
                  <c:v>-8.9193825042881338E-3</c:v>
                </c:pt>
                <c:pt idx="41">
                  <c:v>-2.7037879801902645E-3</c:v>
                </c:pt>
                <c:pt idx="42">
                  <c:v>1.0751343917990959E-3</c:v>
                </c:pt>
                <c:pt idx="43">
                  <c:v>-1.3594281026601152E-3</c:v>
                </c:pt>
                <c:pt idx="44">
                  <c:v>6.2175019360549881E-3</c:v>
                </c:pt>
                <c:pt idx="45">
                  <c:v>1.6790381599581843E-2</c:v>
                </c:pt>
                <c:pt idx="46">
                  <c:v>9.1682785299807331E-3</c:v>
                </c:pt>
                <c:pt idx="47">
                  <c:v>8.0889606313335437E-3</c:v>
                </c:pt>
                <c:pt idx="48">
                  <c:v>1.3742859508237538E-2</c:v>
                </c:pt>
                <c:pt idx="49">
                  <c:v>2.5675158748374276E-2</c:v>
                </c:pt>
                <c:pt idx="50">
                  <c:v>2.6193088315964153E-3</c:v>
                </c:pt>
                <c:pt idx="51">
                  <c:v>4.5330691107257227E-3</c:v>
                </c:pt>
                <c:pt idx="52">
                  <c:v>3.4314237622613035E-2</c:v>
                </c:pt>
                <c:pt idx="53">
                  <c:v>-2.0344724519278826E-2</c:v>
                </c:pt>
                <c:pt idx="54">
                  <c:v>2.6421722206398809E-2</c:v>
                </c:pt>
                <c:pt idx="55">
                  <c:v>5.846037545672274E-3</c:v>
                </c:pt>
                <c:pt idx="56">
                  <c:v>1.4475764469980255E-2</c:v>
                </c:pt>
                <c:pt idx="57">
                  <c:v>9.9698617798869918E-3</c:v>
                </c:pt>
                <c:pt idx="58">
                  <c:v>1.5195355405617578E-2</c:v>
                </c:pt>
                <c:pt idx="59">
                  <c:v>1.8658280922431929E-2</c:v>
                </c:pt>
                <c:pt idx="60">
                  <c:v>9.541764070080205E-3</c:v>
                </c:pt>
                <c:pt idx="61">
                  <c:v>2.403911758016835E-2</c:v>
                </c:pt>
                <c:pt idx="62">
                  <c:v>7.2148626169909859E-3</c:v>
                </c:pt>
                <c:pt idx="63">
                  <c:v>-5.8937120686279654E-2</c:v>
                </c:pt>
                <c:pt idx="64">
                  <c:v>-9.1199062622054378E-2</c:v>
                </c:pt>
              </c:numCache>
            </c:numRef>
          </c:val>
          <c:smooth val="0"/>
          <c:extLst>
            <c:ext xmlns:c16="http://schemas.microsoft.com/office/drawing/2014/chart" uri="{C3380CC4-5D6E-409C-BE32-E72D297353CC}">
              <c16:uniqueId val="{00000002-51D2-442D-9D97-BFA7A1245F20}"/>
            </c:ext>
          </c:extLst>
        </c:ser>
        <c:dLbls>
          <c:showLegendKey val="0"/>
          <c:showVal val="0"/>
          <c:showCatName val="0"/>
          <c:showSerName val="0"/>
          <c:showPercent val="0"/>
          <c:showBubbleSize val="0"/>
        </c:dLbls>
        <c:smooth val="0"/>
        <c:axId val="162093408"/>
        <c:axId val="162090048"/>
      </c:lineChart>
      <c:catAx>
        <c:axId val="162093408"/>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090048"/>
        <c:crosses val="autoZero"/>
        <c:auto val="1"/>
        <c:lblAlgn val="ctr"/>
        <c:lblOffset val="100"/>
        <c:tickLblSkip val="5"/>
        <c:noMultiLvlLbl val="0"/>
      </c:catAx>
      <c:valAx>
        <c:axId val="162090048"/>
        <c:scaling>
          <c:orientation val="minMax"/>
          <c:max val="0.22000000000000003"/>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0934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Lambda</a:t>
            </a:r>
            <a:r>
              <a:rPr lang="en-US" baseline="0"/>
              <a:t> Comparison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Whittaker!$C$1</c:f>
              <c:strCache>
                <c:ptCount val="1"/>
                <c:pt idx="0">
                  <c:v>ln_mx</c:v>
                </c:pt>
              </c:strCache>
            </c:strRef>
          </c:tx>
          <c:spPr>
            <a:ln w="38100" cap="rnd">
              <a:solidFill>
                <a:schemeClr val="accent1">
                  <a:alpha val="60000"/>
                </a:schemeClr>
              </a:solidFill>
              <a:round/>
            </a:ln>
            <a:effectLst/>
          </c:spPr>
          <c:marker>
            <c:symbol val="none"/>
          </c:marker>
          <c:cat>
            <c:numRef>
              <c:f>Whittaker!$A$2:$A$66</c:f>
              <c:numCache>
                <c:formatCode>General</c:formatCode>
                <c:ptCount val="65"/>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pt idx="49">
                  <c:v>69</c:v>
                </c:pt>
                <c:pt idx="50">
                  <c:v>70</c:v>
                </c:pt>
                <c:pt idx="51">
                  <c:v>71</c:v>
                </c:pt>
                <c:pt idx="52">
                  <c:v>72</c:v>
                </c:pt>
                <c:pt idx="53">
                  <c:v>73</c:v>
                </c:pt>
                <c:pt idx="54">
                  <c:v>74</c:v>
                </c:pt>
                <c:pt idx="55">
                  <c:v>75</c:v>
                </c:pt>
                <c:pt idx="56">
                  <c:v>76</c:v>
                </c:pt>
                <c:pt idx="57">
                  <c:v>77</c:v>
                </c:pt>
                <c:pt idx="58">
                  <c:v>78</c:v>
                </c:pt>
                <c:pt idx="59">
                  <c:v>79</c:v>
                </c:pt>
                <c:pt idx="60">
                  <c:v>80</c:v>
                </c:pt>
                <c:pt idx="61">
                  <c:v>81</c:v>
                </c:pt>
                <c:pt idx="62">
                  <c:v>82</c:v>
                </c:pt>
                <c:pt idx="63">
                  <c:v>83</c:v>
                </c:pt>
                <c:pt idx="64">
                  <c:v>84</c:v>
                </c:pt>
              </c:numCache>
            </c:numRef>
          </c:cat>
          <c:val>
            <c:numRef>
              <c:f>Whittaker!$C$2:$C$66</c:f>
              <c:numCache>
                <c:formatCode>General</c:formatCode>
                <c:ptCount val="65"/>
                <c:pt idx="0">
                  <c:v>-7.7920629650032396</c:v>
                </c:pt>
                <c:pt idx="1">
                  <c:v>-7.6974133599229262</c:v>
                </c:pt>
                <c:pt idx="2">
                  <c:v>-7.6777835038780404</c:v>
                </c:pt>
                <c:pt idx="3">
                  <c:v>-7.5037757488113597</c:v>
                </c:pt>
                <c:pt idx="4">
                  <c:v>-7.5202445565246281</c:v>
                </c:pt>
                <c:pt idx="5">
                  <c:v>-7.4628811616447077</c:v>
                </c:pt>
                <c:pt idx="6">
                  <c:v>-7.3874052852796783</c:v>
                </c:pt>
                <c:pt idx="7">
                  <c:v>-7.3278265394796636</c:v>
                </c:pt>
                <c:pt idx="8">
                  <c:v>-7.2817217200309301</c:v>
                </c:pt>
                <c:pt idx="9">
                  <c:v>-7.2279605431394778</c:v>
                </c:pt>
                <c:pt idx="10">
                  <c:v>-7.096497403579014</c:v>
                </c:pt>
                <c:pt idx="11">
                  <c:v>-7.0412866716066596</c:v>
                </c:pt>
                <c:pt idx="12">
                  <c:v>-6.997679986510124</c:v>
                </c:pt>
                <c:pt idx="13">
                  <c:v>-6.8704594942384398</c:v>
                </c:pt>
                <c:pt idx="14">
                  <c:v>-6.9087557793157206</c:v>
                </c:pt>
                <c:pt idx="15">
                  <c:v>-6.8280203109632831</c:v>
                </c:pt>
                <c:pt idx="16">
                  <c:v>-6.782886296936268</c:v>
                </c:pt>
                <c:pt idx="17">
                  <c:v>-6.7212757120395192</c:v>
                </c:pt>
                <c:pt idx="18">
                  <c:v>-6.6128493614410369</c:v>
                </c:pt>
                <c:pt idx="19">
                  <c:v>-6.5662955008498853</c:v>
                </c:pt>
                <c:pt idx="20">
                  <c:v>-6.5272661569441501</c:v>
                </c:pt>
                <c:pt idx="21">
                  <c:v>-6.488387265704981</c:v>
                </c:pt>
                <c:pt idx="22">
                  <c:v>-6.4592306814135254</c:v>
                </c:pt>
                <c:pt idx="23">
                  <c:v>-6.3561716627439786</c:v>
                </c:pt>
                <c:pt idx="24">
                  <c:v>-6.3266576022308145</c:v>
                </c:pt>
                <c:pt idx="25">
                  <c:v>-6.2181142377514798</c:v>
                </c:pt>
                <c:pt idx="26">
                  <c:v>-6.1362591320112152</c:v>
                </c:pt>
                <c:pt idx="27">
                  <c:v>-6.0614579189285172</c:v>
                </c:pt>
                <c:pt idx="28">
                  <c:v>-5.9693117424668483</c:v>
                </c:pt>
                <c:pt idx="29">
                  <c:v>-5.9085950692856875</c:v>
                </c:pt>
                <c:pt idx="30">
                  <c:v>-5.8094763792152646</c:v>
                </c:pt>
                <c:pt idx="31">
                  <c:v>-5.7358925285744347</c:v>
                </c:pt>
                <c:pt idx="32">
                  <c:v>-5.6456079106051291</c:v>
                </c:pt>
                <c:pt idx="33">
                  <c:v>-5.5493461213517818</c:v>
                </c:pt>
                <c:pt idx="34">
                  <c:v>-5.4748159100392026</c:v>
                </c:pt>
                <c:pt idx="35">
                  <c:v>-5.384747094546424</c:v>
                </c:pt>
                <c:pt idx="36">
                  <c:v>-5.2989175466200695</c:v>
                </c:pt>
                <c:pt idx="37">
                  <c:v>-5.1990151654741741</c:v>
                </c:pt>
                <c:pt idx="38">
                  <c:v>-5.1248683882576804</c:v>
                </c:pt>
                <c:pt idx="39">
                  <c:v>-5.0743741350632625</c:v>
                </c:pt>
                <c:pt idx="40">
                  <c:v>-4.9624167218257815</c:v>
                </c:pt>
                <c:pt idx="41">
                  <c:v>-4.8967264199884726</c:v>
                </c:pt>
                <c:pt idx="42">
                  <c:v>-4.8284387451154522</c:v>
                </c:pt>
                <c:pt idx="43">
                  <c:v>-4.763814279427689</c:v>
                </c:pt>
                <c:pt idx="44">
                  <c:v>-4.7062067301658628</c:v>
                </c:pt>
                <c:pt idx="45">
                  <c:v>-4.6496446760899204</c:v>
                </c:pt>
                <c:pt idx="46">
                  <c:v>-4.5717354099018541</c:v>
                </c:pt>
                <c:pt idx="47">
                  <c:v>-4.4962260989989122</c:v>
                </c:pt>
                <c:pt idx="48">
                  <c:v>-4.416286871358996</c:v>
                </c:pt>
                <c:pt idx="49">
                  <c:v>-4.3373592431787227</c:v>
                </c:pt>
                <c:pt idx="50">
                  <c:v>-4.2278302416057754</c:v>
                </c:pt>
                <c:pt idx="51">
                  <c:v>-4.1259590759914424</c:v>
                </c:pt>
                <c:pt idx="52">
                  <c:v>-4.0611612684318681</c:v>
                </c:pt>
                <c:pt idx="53">
                  <c:v>-3.9083298335905283</c:v>
                </c:pt>
                <c:pt idx="54">
                  <c:v>-3.8600949125677868</c:v>
                </c:pt>
                <c:pt idx="55">
                  <c:v>-3.737607620205289</c:v>
                </c:pt>
                <c:pt idx="56">
                  <c:v>-3.6522389900189443</c:v>
                </c:pt>
                <c:pt idx="57">
                  <c:v>-3.5450562048044163</c:v>
                </c:pt>
                <c:pt idx="58">
                  <c:v>-3.4462470502158795</c:v>
                </c:pt>
                <c:pt idx="59">
                  <c:v>-3.3439289738717632</c:v>
                </c:pt>
                <c:pt idx="60">
                  <c:v>-3.2243155936185657</c:v>
                </c:pt>
                <c:pt idx="61">
                  <c:v>-3.1242476957894181</c:v>
                </c:pt>
                <c:pt idx="62">
                  <c:v>-2.9977943982724393</c:v>
                </c:pt>
                <c:pt idx="63">
                  <c:v>-2.8790698655663105</c:v>
                </c:pt>
                <c:pt idx="64">
                  <c:v>-2.7895639902857563</c:v>
                </c:pt>
              </c:numCache>
            </c:numRef>
          </c:val>
          <c:smooth val="0"/>
          <c:extLst>
            <c:ext xmlns:c16="http://schemas.microsoft.com/office/drawing/2014/chart" uri="{C3380CC4-5D6E-409C-BE32-E72D297353CC}">
              <c16:uniqueId val="{00000000-4D48-47B8-A0A1-EF94DF489E7D}"/>
            </c:ext>
          </c:extLst>
        </c:ser>
        <c:ser>
          <c:idx val="1"/>
          <c:order val="1"/>
          <c:tx>
            <c:strRef>
              <c:f>Whittaker!$I$1</c:f>
              <c:strCache>
                <c:ptCount val="1"/>
                <c:pt idx="0">
                  <c:v>WH_ln_mx_100</c:v>
                </c:pt>
              </c:strCache>
            </c:strRef>
          </c:tx>
          <c:spPr>
            <a:ln w="19050" cap="rnd">
              <a:solidFill>
                <a:schemeClr val="accent2"/>
              </a:solidFill>
              <a:prstDash val="sysDash"/>
              <a:round/>
            </a:ln>
            <a:effectLst/>
          </c:spPr>
          <c:marker>
            <c:symbol val="none"/>
          </c:marker>
          <c:cat>
            <c:numRef>
              <c:f>Whittaker!$A$2:$A$66</c:f>
              <c:numCache>
                <c:formatCode>General</c:formatCode>
                <c:ptCount val="65"/>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pt idx="49">
                  <c:v>69</c:v>
                </c:pt>
                <c:pt idx="50">
                  <c:v>70</c:v>
                </c:pt>
                <c:pt idx="51">
                  <c:v>71</c:v>
                </c:pt>
                <c:pt idx="52">
                  <c:v>72</c:v>
                </c:pt>
                <c:pt idx="53">
                  <c:v>73</c:v>
                </c:pt>
                <c:pt idx="54">
                  <c:v>74</c:v>
                </c:pt>
                <c:pt idx="55">
                  <c:v>75</c:v>
                </c:pt>
                <c:pt idx="56">
                  <c:v>76</c:v>
                </c:pt>
                <c:pt idx="57">
                  <c:v>77</c:v>
                </c:pt>
                <c:pt idx="58">
                  <c:v>78</c:v>
                </c:pt>
                <c:pt idx="59">
                  <c:v>79</c:v>
                </c:pt>
                <c:pt idx="60">
                  <c:v>80</c:v>
                </c:pt>
                <c:pt idx="61">
                  <c:v>81</c:v>
                </c:pt>
                <c:pt idx="62">
                  <c:v>82</c:v>
                </c:pt>
                <c:pt idx="63">
                  <c:v>83</c:v>
                </c:pt>
                <c:pt idx="64">
                  <c:v>84</c:v>
                </c:pt>
              </c:numCache>
            </c:numRef>
          </c:cat>
          <c:val>
            <c:numRef>
              <c:f>Whittaker!$I$2:$I$66</c:f>
              <c:numCache>
                <c:formatCode>General</c:formatCode>
                <c:ptCount val="65"/>
                <c:pt idx="0">
                  <c:v>-7.6016279713928245</c:v>
                </c:pt>
                <c:pt idx="1">
                  <c:v>-7.5839311997502694</c:v>
                </c:pt>
                <c:pt idx="2">
                  <c:v>-7.5658049008515906</c:v>
                </c:pt>
                <c:pt idx="3">
                  <c:v>-7.5424042577448231</c:v>
                </c:pt>
                <c:pt idx="4">
                  <c:v>-7.5102457506606735</c:v>
                </c:pt>
                <c:pt idx="5">
                  <c:v>-7.4703236254396677</c:v>
                </c:pt>
                <c:pt idx="6">
                  <c:v>-7.4235209790971464</c:v>
                </c:pt>
                <c:pt idx="7">
                  <c:v>-7.3724722223659018</c:v>
                </c:pt>
                <c:pt idx="8">
                  <c:v>-7.3197666785176478</c:v>
                </c:pt>
                <c:pt idx="9">
                  <c:v>-7.26101617893036</c:v>
                </c:pt>
                <c:pt idx="10">
                  <c:v>-7.1950131981467225</c:v>
                </c:pt>
                <c:pt idx="11">
                  <c:v>-7.1247070742772287</c:v>
                </c:pt>
                <c:pt idx="12">
                  <c:v>-7.0483207534764523</c:v>
                </c:pt>
                <c:pt idx="13">
                  <c:v>-6.968641516788721</c:v>
                </c:pt>
                <c:pt idx="14">
                  <c:v>-6.8920633628813794</c:v>
                </c:pt>
                <c:pt idx="15">
                  <c:v>-6.823508730095261</c:v>
                </c:pt>
                <c:pt idx="16">
                  <c:v>-6.7625721771986989</c:v>
                </c:pt>
                <c:pt idx="17">
                  <c:v>-6.7024811651772662</c:v>
                </c:pt>
                <c:pt idx="18">
                  <c:v>-6.6444834356321145</c:v>
                </c:pt>
                <c:pt idx="19">
                  <c:v>-6.5877588491060042</c:v>
                </c:pt>
                <c:pt idx="20">
                  <c:v>-6.5296486348006049</c:v>
                </c:pt>
                <c:pt idx="21">
                  <c:v>-6.4713962889375658</c:v>
                </c:pt>
                <c:pt idx="22">
                  <c:v>-6.410489335652743</c:v>
                </c:pt>
                <c:pt idx="23">
                  <c:v>-6.3494713775680385</c:v>
                </c:pt>
                <c:pt idx="24">
                  <c:v>-6.2855306819344881</c:v>
                </c:pt>
                <c:pt idx="25">
                  <c:v>-6.2177195731118076</c:v>
                </c:pt>
                <c:pt idx="26">
                  <c:v>-6.143675321877053</c:v>
                </c:pt>
                <c:pt idx="27">
                  <c:v>-6.0646860522485859</c:v>
                </c:pt>
                <c:pt idx="28">
                  <c:v>-5.9818299602563485</c:v>
                </c:pt>
                <c:pt idx="29">
                  <c:v>-5.8961697390336187</c:v>
                </c:pt>
                <c:pt idx="30">
                  <c:v>-5.8111210495822467</c:v>
                </c:pt>
                <c:pt idx="31">
                  <c:v>-5.7251324520710973</c:v>
                </c:pt>
                <c:pt idx="32">
                  <c:v>-5.6396097484933314</c:v>
                </c:pt>
                <c:pt idx="33">
                  <c:v>-5.5542435519741495</c:v>
                </c:pt>
                <c:pt idx="34">
                  <c:v>-5.4713180404947668</c:v>
                </c:pt>
                <c:pt idx="35">
                  <c:v>-5.390908423996831</c:v>
                </c:pt>
                <c:pt idx="36">
                  <c:v>-5.3110886675116724</c:v>
                </c:pt>
                <c:pt idx="37">
                  <c:v>-5.2284454184198088</c:v>
                </c:pt>
                <c:pt idx="38">
                  <c:v>-5.1457091254175378</c:v>
                </c:pt>
                <c:pt idx="39">
                  <c:v>-5.0646131845440738</c:v>
                </c:pt>
                <c:pt idx="40">
                  <c:v>-4.9854382311542542</c:v>
                </c:pt>
                <c:pt idx="41">
                  <c:v>-4.9070797758924396</c:v>
                </c:pt>
                <c:pt idx="42">
                  <c:v>-4.8295529696250838</c:v>
                </c:pt>
                <c:pt idx="43">
                  <c:v>-4.7521108096952833</c:v>
                </c:pt>
                <c:pt idx="44">
                  <c:v>-4.6771497067061318</c:v>
                </c:pt>
                <c:pt idx="45">
                  <c:v>-4.6091797963538879</c:v>
                </c:pt>
                <c:pt idx="46">
                  <c:v>-4.5472744139857735</c:v>
                </c:pt>
                <c:pt idx="47">
                  <c:v>-4.4899104773804703</c:v>
                </c:pt>
                <c:pt idx="48">
                  <c:v>-4.4358947825610349</c:v>
                </c:pt>
                <c:pt idx="49">
                  <c:v>-4.3827634770503945</c:v>
                </c:pt>
                <c:pt idx="50">
                  <c:v>-4.3250004139591187</c:v>
                </c:pt>
                <c:pt idx="51">
                  <c:v>-4.2609531007381785</c:v>
                </c:pt>
                <c:pt idx="52">
                  <c:v>-4.1834430025817539</c:v>
                </c:pt>
                <c:pt idx="53">
                  <c:v>-4.084723587669421</c:v>
                </c:pt>
                <c:pt idx="54">
                  <c:v>-3.9556981365403527</c:v>
                </c:pt>
                <c:pt idx="55">
                  <c:v>-3.7902719994073513</c:v>
                </c:pt>
                <c:pt idx="56">
                  <c:v>-3.5785123392605516</c:v>
                </c:pt>
                <c:pt idx="57">
                  <c:v>-3.312845532249034</c:v>
                </c:pt>
                <c:pt idx="58">
                  <c:v>-2.987096784884979</c:v>
                </c:pt>
                <c:pt idx="59">
                  <c:v>-2.6006586145493147</c:v>
                </c:pt>
                <c:pt idx="60">
                  <c:v>-2.1562224304696285</c:v>
                </c:pt>
                <c:pt idx="61">
                  <c:v>-1.667616821947095</c:v>
                </c:pt>
                <c:pt idx="62">
                  <c:v>-1.1599794238808796</c:v>
                </c:pt>
                <c:pt idx="63">
                  <c:v>-0.67149472719103653</c:v>
                </c:pt>
                <c:pt idx="64">
                  <c:v>-0.25809695936593707</c:v>
                </c:pt>
              </c:numCache>
            </c:numRef>
          </c:val>
          <c:smooth val="0"/>
          <c:extLst>
            <c:ext xmlns:c16="http://schemas.microsoft.com/office/drawing/2014/chart" uri="{C3380CC4-5D6E-409C-BE32-E72D297353CC}">
              <c16:uniqueId val="{00000001-4D48-47B8-A0A1-EF94DF489E7D}"/>
            </c:ext>
          </c:extLst>
        </c:ser>
        <c:ser>
          <c:idx val="2"/>
          <c:order val="2"/>
          <c:tx>
            <c:strRef>
              <c:f>Whittaker!$J$1</c:f>
              <c:strCache>
                <c:ptCount val="1"/>
                <c:pt idx="0">
                  <c:v>WH_ln_mx_10</c:v>
                </c:pt>
              </c:strCache>
            </c:strRef>
          </c:tx>
          <c:spPr>
            <a:ln w="22225" cap="rnd">
              <a:solidFill>
                <a:schemeClr val="accent3"/>
              </a:solidFill>
              <a:prstDash val="lgDash"/>
              <a:round/>
            </a:ln>
            <a:effectLst/>
          </c:spPr>
          <c:marker>
            <c:symbol val="none"/>
          </c:marker>
          <c:cat>
            <c:numRef>
              <c:f>Whittaker!$A$2:$A$66</c:f>
              <c:numCache>
                <c:formatCode>General</c:formatCode>
                <c:ptCount val="65"/>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pt idx="49">
                  <c:v>69</c:v>
                </c:pt>
                <c:pt idx="50">
                  <c:v>70</c:v>
                </c:pt>
                <c:pt idx="51">
                  <c:v>71</c:v>
                </c:pt>
                <c:pt idx="52">
                  <c:v>72</c:v>
                </c:pt>
                <c:pt idx="53">
                  <c:v>73</c:v>
                </c:pt>
                <c:pt idx="54">
                  <c:v>74</c:v>
                </c:pt>
                <c:pt idx="55">
                  <c:v>75</c:v>
                </c:pt>
                <c:pt idx="56">
                  <c:v>76</c:v>
                </c:pt>
                <c:pt idx="57">
                  <c:v>77</c:v>
                </c:pt>
                <c:pt idx="58">
                  <c:v>78</c:v>
                </c:pt>
                <c:pt idx="59">
                  <c:v>79</c:v>
                </c:pt>
                <c:pt idx="60">
                  <c:v>80</c:v>
                </c:pt>
                <c:pt idx="61">
                  <c:v>81</c:v>
                </c:pt>
                <c:pt idx="62">
                  <c:v>82</c:v>
                </c:pt>
                <c:pt idx="63">
                  <c:v>83</c:v>
                </c:pt>
                <c:pt idx="64">
                  <c:v>84</c:v>
                </c:pt>
              </c:numCache>
            </c:numRef>
          </c:cat>
          <c:val>
            <c:numRef>
              <c:f>Whittaker!$J$2:$J$66</c:f>
              <c:numCache>
                <c:formatCode>General</c:formatCode>
                <c:ptCount val="65"/>
                <c:pt idx="0">
                  <c:v>-7.7787810208892827</c:v>
                </c:pt>
                <c:pt idx="1">
                  <c:v>-7.7088512495220547</c:v>
                </c:pt>
                <c:pt idx="2">
                  <c:v>-7.6401600238839915</c:v>
                </c:pt>
                <c:pt idx="3">
                  <c:v>-7.572752803287532</c:v>
                </c:pt>
                <c:pt idx="4">
                  <c:v>-7.510355467008953</c:v>
                </c:pt>
                <c:pt idx="5">
                  <c:v>-7.4498728854563412</c:v>
                </c:pt>
                <c:pt idx="6">
                  <c:v>-7.3889738741598965</c:v>
                </c:pt>
                <c:pt idx="7">
                  <c:v>-7.3268181557619343</c:v>
                </c:pt>
                <c:pt idx="8">
                  <c:v>-7.2621911019669918</c:v>
                </c:pt>
                <c:pt idx="9">
                  <c:v>-7.1942266300416726</c:v>
                </c:pt>
                <c:pt idx="10">
                  <c:v>-7.1238367559042786</c:v>
                </c:pt>
                <c:pt idx="11">
                  <c:v>-7.0554647962077777</c:v>
                </c:pt>
                <c:pt idx="12">
                  <c:v>-6.9908198030484527</c:v>
                </c:pt>
                <c:pt idx="13">
                  <c:v>-6.9302216609317249</c:v>
                </c:pt>
                <c:pt idx="14">
                  <c:v>-6.8747198412311494</c:v>
                </c:pt>
                <c:pt idx="15">
                  <c:v>-6.8194432505605622</c:v>
                </c:pt>
                <c:pt idx="16">
                  <c:v>-6.7629818681348048</c:v>
                </c:pt>
                <c:pt idx="17">
                  <c:v>-6.7044034187275772</c:v>
                </c:pt>
                <c:pt idx="18">
                  <c:v>-6.6458555992507637</c:v>
                </c:pt>
                <c:pt idx="19">
                  <c:v>-6.5897157125589461</c:v>
                </c:pt>
                <c:pt idx="20">
                  <c:v>-6.5363396209369746</c:v>
                </c:pt>
                <c:pt idx="21">
                  <c:v>-6.48355924503349</c:v>
                </c:pt>
                <c:pt idx="22">
                  <c:v>-6.4273894614635436</c:v>
                </c:pt>
                <c:pt idx="23">
                  <c:v>-6.3650492337611455</c:v>
                </c:pt>
                <c:pt idx="24">
                  <c:v>-6.297318761251999</c:v>
                </c:pt>
                <c:pt idx="25">
                  <c:v>-6.2233144647675882</c:v>
                </c:pt>
                <c:pt idx="26">
                  <c:v>-6.144757008277363</c:v>
                </c:pt>
                <c:pt idx="27">
                  <c:v>-6.0637707606404572</c:v>
                </c:pt>
                <c:pt idx="28">
                  <c:v>-5.981721510936107</c:v>
                </c:pt>
                <c:pt idx="29">
                  <c:v>-5.8992342669305922</c:v>
                </c:pt>
                <c:pt idx="30">
                  <c:v>-5.8150039954095165</c:v>
                </c:pt>
                <c:pt idx="31">
                  <c:v>-5.7294257289695869</c:v>
                </c:pt>
                <c:pt idx="32">
                  <c:v>-5.6426395892584447</c:v>
                </c:pt>
                <c:pt idx="33">
                  <c:v>-5.5556428064439203</c:v>
                </c:pt>
                <c:pt idx="34">
                  <c:v>-5.4691383805722369</c:v>
                </c:pt>
                <c:pt idx="35">
                  <c:v>-5.3826926612261135</c:v>
                </c:pt>
                <c:pt idx="36">
                  <c:v>-5.2966793387699731</c:v>
                </c:pt>
                <c:pt idx="37">
                  <c:v>-5.2119429701744009</c:v>
                </c:pt>
                <c:pt idx="38">
                  <c:v>-5.1301996316842535</c:v>
                </c:pt>
                <c:pt idx="39">
                  <c:v>-5.0518343619551755</c:v>
                </c:pt>
                <c:pt idx="40">
                  <c:v>-4.9764341810861552</c:v>
                </c:pt>
                <c:pt idx="41">
                  <c:v>-4.905222765734182</c:v>
                </c:pt>
                <c:pt idx="42">
                  <c:v>-4.83769057939534</c:v>
                </c:pt>
                <c:pt idx="43">
                  <c:v>-4.7723185885328911</c:v>
                </c:pt>
                <c:pt idx="44">
                  <c:v>-4.7070714561914695</c:v>
                </c:pt>
                <c:pt idx="45">
                  <c:v>-4.6393685979014254</c:v>
                </c:pt>
                <c:pt idx="46">
                  <c:v>-4.5670710492045705</c:v>
                </c:pt>
                <c:pt idx="47">
                  <c:v>-4.4894329710854253</c:v>
                </c:pt>
                <c:pt idx="48">
                  <c:v>-4.4062741703241883</c:v>
                </c:pt>
                <c:pt idx="49">
                  <c:v>-4.3182102921853698</c:v>
                </c:pt>
                <c:pt idx="50">
                  <c:v>-4.2264328167587113</c:v>
                </c:pt>
                <c:pt idx="51">
                  <c:v>-4.134035105852047</c:v>
                </c:pt>
                <c:pt idx="52">
                  <c:v>-4.0437017793570407</c:v>
                </c:pt>
                <c:pt idx="53">
                  <c:v>-3.9573051063347329</c:v>
                </c:pt>
                <c:pt idx="54">
                  <c:v>-3.8780709254354302</c:v>
                </c:pt>
                <c:pt idx="55">
                  <c:v>-3.8042735171891571</c:v>
                </c:pt>
                <c:pt idx="56">
                  <c:v>-3.7321371019497995</c:v>
                </c:pt>
                <c:pt idx="57">
                  <c:v>-3.6512708277347588</c:v>
                </c:pt>
                <c:pt idx="58">
                  <c:v>-3.5430505763222069</c:v>
                </c:pt>
                <c:pt idx="59">
                  <c:v>-3.378250550740995</c:v>
                </c:pt>
                <c:pt idx="60">
                  <c:v>-3.1179756260548377</c:v>
                </c:pt>
                <c:pt idx="61">
                  <c:v>-2.7197904360297933</c:v>
                </c:pt>
                <c:pt idx="62">
                  <c:v>-2.1519581698325219</c:v>
                </c:pt>
                <c:pt idx="63">
                  <c:v>-1.4229169983070145</c:v>
                </c:pt>
                <c:pt idx="64">
                  <c:v>-0.62605113484825647</c:v>
                </c:pt>
              </c:numCache>
            </c:numRef>
          </c:val>
          <c:smooth val="0"/>
          <c:extLst>
            <c:ext xmlns:c16="http://schemas.microsoft.com/office/drawing/2014/chart" uri="{C3380CC4-5D6E-409C-BE32-E72D297353CC}">
              <c16:uniqueId val="{00000002-4D48-47B8-A0A1-EF94DF489E7D}"/>
            </c:ext>
          </c:extLst>
        </c:ser>
        <c:ser>
          <c:idx val="3"/>
          <c:order val="3"/>
          <c:tx>
            <c:strRef>
              <c:f>Whittaker!$K$1</c:f>
              <c:strCache>
                <c:ptCount val="1"/>
                <c:pt idx="0">
                  <c:v>WH_ln_mx_1</c:v>
                </c:pt>
              </c:strCache>
            </c:strRef>
          </c:tx>
          <c:spPr>
            <a:ln w="19050" cap="rnd">
              <a:solidFill>
                <a:schemeClr val="accent4"/>
              </a:solidFill>
              <a:prstDash val="dash"/>
              <a:round/>
            </a:ln>
            <a:effectLst/>
          </c:spPr>
          <c:marker>
            <c:symbol val="none"/>
          </c:marker>
          <c:cat>
            <c:numRef>
              <c:f>Whittaker!$A$2:$A$66</c:f>
              <c:numCache>
                <c:formatCode>General</c:formatCode>
                <c:ptCount val="65"/>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pt idx="49">
                  <c:v>69</c:v>
                </c:pt>
                <c:pt idx="50">
                  <c:v>70</c:v>
                </c:pt>
                <c:pt idx="51">
                  <c:v>71</c:v>
                </c:pt>
                <c:pt idx="52">
                  <c:v>72</c:v>
                </c:pt>
                <c:pt idx="53">
                  <c:v>73</c:v>
                </c:pt>
                <c:pt idx="54">
                  <c:v>74</c:v>
                </c:pt>
                <c:pt idx="55">
                  <c:v>75</c:v>
                </c:pt>
                <c:pt idx="56">
                  <c:v>76</c:v>
                </c:pt>
                <c:pt idx="57">
                  <c:v>77</c:v>
                </c:pt>
                <c:pt idx="58">
                  <c:v>78</c:v>
                </c:pt>
                <c:pt idx="59">
                  <c:v>79</c:v>
                </c:pt>
                <c:pt idx="60">
                  <c:v>80</c:v>
                </c:pt>
                <c:pt idx="61">
                  <c:v>81</c:v>
                </c:pt>
                <c:pt idx="62">
                  <c:v>82</c:v>
                </c:pt>
                <c:pt idx="63">
                  <c:v>83</c:v>
                </c:pt>
                <c:pt idx="64">
                  <c:v>84</c:v>
                </c:pt>
              </c:numCache>
            </c:numRef>
          </c:cat>
          <c:val>
            <c:numRef>
              <c:f>Whittaker!$K$2:$K$66</c:f>
              <c:numCache>
                <c:formatCode>General</c:formatCode>
                <c:ptCount val="65"/>
                <c:pt idx="0">
                  <c:v>-7.788229370493724</c:v>
                </c:pt>
                <c:pt idx="1">
                  <c:v>-7.7108547136349248</c:v>
                </c:pt>
                <c:pt idx="2">
                  <c:v>-7.6373143774895311</c:v>
                </c:pt>
                <c:pt idx="3">
                  <c:v>-7.5580156340521247</c:v>
                </c:pt>
                <c:pt idx="4">
                  <c:v>-7.503794909784264</c:v>
                </c:pt>
                <c:pt idx="5">
                  <c:v>-7.4512883464378046</c:v>
                </c:pt>
                <c:pt idx="6">
                  <c:v>-7.3935497004328843</c:v>
                </c:pt>
                <c:pt idx="7">
                  <c:v>-7.3352442151468189</c:v>
                </c:pt>
                <c:pt idx="8">
                  <c:v>-7.2748915041816709</c:v>
                </c:pt>
                <c:pt idx="9">
                  <c:v>-7.203583169822287</c:v>
                </c:pt>
                <c:pt idx="10">
                  <c:v>-7.1192488652898636</c:v>
                </c:pt>
                <c:pt idx="11">
                  <c:v>-7.0442048663974699</c:v>
                </c:pt>
                <c:pt idx="12">
                  <c:v>-6.9779830420482929</c:v>
                </c:pt>
                <c:pt idx="13">
                  <c:v>-6.9172424583926189</c:v>
                </c:pt>
                <c:pt idx="14">
                  <c:v>-6.8783117469025008</c:v>
                </c:pt>
                <c:pt idx="15">
                  <c:v>-6.8307469047841982</c:v>
                </c:pt>
                <c:pt idx="16">
                  <c:v>-6.7745377392796788</c:v>
                </c:pt>
                <c:pt idx="17">
                  <c:v>-6.7069687837177003</c:v>
                </c:pt>
                <c:pt idx="18">
                  <c:v>-6.633659924294026</c:v>
                </c:pt>
                <c:pt idx="19">
                  <c:v>-6.5745326097049599</c:v>
                </c:pt>
                <c:pt idx="20">
                  <c:v>-6.5287154950133761</c:v>
                </c:pt>
                <c:pt idx="21">
                  <c:v>-6.4871091040416369</c:v>
                </c:pt>
                <c:pt idx="22">
                  <c:v>-6.4391209637196321</c:v>
                </c:pt>
                <c:pt idx="23">
                  <c:v>-6.3755017454060185</c:v>
                </c:pt>
                <c:pt idx="24">
                  <c:v>-6.3070258482561936</c:v>
                </c:pt>
                <c:pt idx="25">
                  <c:v>-6.2252301204073852</c:v>
                </c:pt>
                <c:pt idx="26">
                  <c:v>-6.1411958596254195</c:v>
                </c:pt>
                <c:pt idx="27">
                  <c:v>-6.0589382516784145</c:v>
                </c:pt>
                <c:pt idx="28">
                  <c:v>-5.9775120932976167</c:v>
                </c:pt>
                <c:pt idx="29">
                  <c:v>-5.8985173858970033</c:v>
                </c:pt>
                <c:pt idx="30">
                  <c:v>-5.8153287261555437</c:v>
                </c:pt>
                <c:pt idx="31">
                  <c:v>-5.7314220197141381</c:v>
                </c:pt>
                <c:pt idx="32">
                  <c:v>-5.6443802122427842</c:v>
                </c:pt>
                <c:pt idx="33">
                  <c:v>-5.5563096291616256</c:v>
                </c:pt>
                <c:pt idx="34">
                  <c:v>-5.4704585988253598</c:v>
                </c:pt>
                <c:pt idx="35">
                  <c:v>-5.3832244163152172</c:v>
                </c:pt>
                <c:pt idx="36">
                  <c:v>-5.2952576848606991</c:v>
                </c:pt>
                <c:pt idx="37">
                  <c:v>-5.2088246333472661</c:v>
                </c:pt>
                <c:pt idx="38">
                  <c:v>-5.1297824803115919</c:v>
                </c:pt>
                <c:pt idx="39">
                  <c:v>-5.0542191924493043</c:v>
                </c:pt>
                <c:pt idx="40">
                  <c:v>-4.9732882613982605</c:v>
                </c:pt>
                <c:pt idx="41">
                  <c:v>-4.8983274151437213</c:v>
                </c:pt>
                <c:pt idx="42">
                  <c:v>-4.8297400497510479</c:v>
                </c:pt>
                <c:pt idx="43">
                  <c:v>-4.7665098741751768</c:v>
                </c:pt>
                <c:pt idx="44">
                  <c:v>-4.7059174113332736</c:v>
                </c:pt>
                <c:pt idx="45">
                  <c:v>-4.6431726428217646</c:v>
                </c:pt>
                <c:pt idx="46">
                  <c:v>-4.573288751094692</c:v>
                </c:pt>
                <c:pt idx="47">
                  <c:v>-4.497587063564815</c:v>
                </c:pt>
                <c:pt idx="48">
                  <c:v>-4.4164108274262768</c:v>
                </c:pt>
                <c:pt idx="49">
                  <c:v>-4.3286765441444341</c:v>
                </c:pt>
                <c:pt idx="50">
                  <c:v>-4.2327997744014212</c:v>
                </c:pt>
                <c:pt idx="51">
                  <c:v>-4.1356120689474878</c:v>
                </c:pt>
                <c:pt idx="52">
                  <c:v>-4.0392212863988872</c:v>
                </c:pt>
                <c:pt idx="53">
                  <c:v>-3.936362292851372</c:v>
                </c:pt>
                <c:pt idx="54">
                  <c:v>-3.8420161249858871</c:v>
                </c:pt>
                <c:pt idx="55">
                  <c:v>-3.743118950169519</c:v>
                </c:pt>
                <c:pt idx="56">
                  <c:v>-3.6446287871315337</c:v>
                </c:pt>
                <c:pt idx="57">
                  <c:v>-3.545817089769475</c:v>
                </c:pt>
                <c:pt idx="58">
                  <c:v>-3.4533800395664929</c:v>
                </c:pt>
                <c:pt idx="59">
                  <c:v>-3.3731489798278207</c:v>
                </c:pt>
                <c:pt idx="60">
                  <c:v>-3.3036807624646145</c:v>
                </c:pt>
                <c:pt idx="61">
                  <c:v>-3.2142745118347325</c:v>
                </c:pt>
                <c:pt idx="62">
                  <c:v>-2.994793623689457</c:v>
                </c:pt>
                <c:pt idx="63">
                  <c:v>-2.4450542506464918</c:v>
                </c:pt>
                <c:pt idx="64">
                  <c:v>-1.3678564675243992</c:v>
                </c:pt>
              </c:numCache>
            </c:numRef>
          </c:val>
          <c:smooth val="0"/>
          <c:extLst>
            <c:ext xmlns:c16="http://schemas.microsoft.com/office/drawing/2014/chart" uri="{C3380CC4-5D6E-409C-BE32-E72D297353CC}">
              <c16:uniqueId val="{00000003-4D48-47B8-A0A1-EF94DF489E7D}"/>
            </c:ext>
          </c:extLst>
        </c:ser>
        <c:dLbls>
          <c:showLegendKey val="0"/>
          <c:showVal val="0"/>
          <c:showCatName val="0"/>
          <c:showSerName val="0"/>
          <c:showPercent val="0"/>
          <c:showBubbleSize val="0"/>
        </c:dLbls>
        <c:smooth val="0"/>
        <c:axId val="1236278336"/>
        <c:axId val="1236273056"/>
      </c:lineChart>
      <c:catAx>
        <c:axId val="1236278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6273056"/>
        <c:crosses val="autoZero"/>
        <c:auto val="1"/>
        <c:lblAlgn val="ctr"/>
        <c:lblOffset val="100"/>
        <c:tickLblSkip val="5"/>
        <c:noMultiLvlLbl val="0"/>
      </c:catAx>
      <c:valAx>
        <c:axId val="1236273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62783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Frankenstein</a:t>
            </a:r>
            <a:r>
              <a:rPr lang="en-US" baseline="0"/>
              <a:t> 2+ Makeham</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Whittaker!$C$1</c:f>
              <c:strCache>
                <c:ptCount val="1"/>
                <c:pt idx="0">
                  <c:v>ln_mx</c:v>
                </c:pt>
              </c:strCache>
            </c:strRef>
          </c:tx>
          <c:spPr>
            <a:ln w="44450" cap="rnd">
              <a:solidFill>
                <a:schemeClr val="accent1">
                  <a:alpha val="75000"/>
                </a:schemeClr>
              </a:solidFill>
              <a:round/>
            </a:ln>
            <a:effectLst/>
          </c:spPr>
          <c:marker>
            <c:symbol val="none"/>
          </c:marker>
          <c:cat>
            <c:numRef>
              <c:f>Whittaker!$A$2:$A$66</c:f>
              <c:numCache>
                <c:formatCode>General</c:formatCode>
                <c:ptCount val="65"/>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pt idx="49">
                  <c:v>69</c:v>
                </c:pt>
                <c:pt idx="50">
                  <c:v>70</c:v>
                </c:pt>
                <c:pt idx="51">
                  <c:v>71</c:v>
                </c:pt>
                <c:pt idx="52">
                  <c:v>72</c:v>
                </c:pt>
                <c:pt idx="53">
                  <c:v>73</c:v>
                </c:pt>
                <c:pt idx="54">
                  <c:v>74</c:v>
                </c:pt>
                <c:pt idx="55">
                  <c:v>75</c:v>
                </c:pt>
                <c:pt idx="56">
                  <c:v>76</c:v>
                </c:pt>
                <c:pt idx="57">
                  <c:v>77</c:v>
                </c:pt>
                <c:pt idx="58">
                  <c:v>78</c:v>
                </c:pt>
                <c:pt idx="59">
                  <c:v>79</c:v>
                </c:pt>
                <c:pt idx="60">
                  <c:v>80</c:v>
                </c:pt>
                <c:pt idx="61">
                  <c:v>81</c:v>
                </c:pt>
                <c:pt idx="62">
                  <c:v>82</c:v>
                </c:pt>
                <c:pt idx="63">
                  <c:v>83</c:v>
                </c:pt>
                <c:pt idx="64">
                  <c:v>84</c:v>
                </c:pt>
              </c:numCache>
            </c:numRef>
          </c:cat>
          <c:val>
            <c:numRef>
              <c:f>Whittaker!$C$2:$C$66</c:f>
              <c:numCache>
                <c:formatCode>General</c:formatCode>
                <c:ptCount val="65"/>
                <c:pt idx="0">
                  <c:v>-7.7920629650032396</c:v>
                </c:pt>
                <c:pt idx="1">
                  <c:v>-7.6974133599229262</c:v>
                </c:pt>
                <c:pt idx="2">
                  <c:v>-7.6777835038780404</c:v>
                </c:pt>
                <c:pt idx="3">
                  <c:v>-7.5037757488113597</c:v>
                </c:pt>
                <c:pt idx="4">
                  <c:v>-7.5202445565246281</c:v>
                </c:pt>
                <c:pt idx="5">
                  <c:v>-7.4628811616447077</c:v>
                </c:pt>
                <c:pt idx="6">
                  <c:v>-7.3874052852796783</c:v>
                </c:pt>
                <c:pt idx="7">
                  <c:v>-7.3278265394796636</c:v>
                </c:pt>
                <c:pt idx="8">
                  <c:v>-7.2817217200309301</c:v>
                </c:pt>
                <c:pt idx="9">
                  <c:v>-7.2279605431394778</c:v>
                </c:pt>
                <c:pt idx="10">
                  <c:v>-7.096497403579014</c:v>
                </c:pt>
                <c:pt idx="11">
                  <c:v>-7.0412866716066596</c:v>
                </c:pt>
                <c:pt idx="12">
                  <c:v>-6.997679986510124</c:v>
                </c:pt>
                <c:pt idx="13">
                  <c:v>-6.8704594942384398</c:v>
                </c:pt>
                <c:pt idx="14">
                  <c:v>-6.9087557793157206</c:v>
                </c:pt>
                <c:pt idx="15">
                  <c:v>-6.8280203109632831</c:v>
                </c:pt>
                <c:pt idx="16">
                  <c:v>-6.782886296936268</c:v>
                </c:pt>
                <c:pt idx="17">
                  <c:v>-6.7212757120395192</c:v>
                </c:pt>
                <c:pt idx="18">
                  <c:v>-6.6128493614410369</c:v>
                </c:pt>
                <c:pt idx="19">
                  <c:v>-6.5662955008498853</c:v>
                </c:pt>
                <c:pt idx="20">
                  <c:v>-6.5272661569441501</c:v>
                </c:pt>
                <c:pt idx="21">
                  <c:v>-6.488387265704981</c:v>
                </c:pt>
                <c:pt idx="22">
                  <c:v>-6.4592306814135254</c:v>
                </c:pt>
                <c:pt idx="23">
                  <c:v>-6.3561716627439786</c:v>
                </c:pt>
                <c:pt idx="24">
                  <c:v>-6.3266576022308145</c:v>
                </c:pt>
                <c:pt idx="25">
                  <c:v>-6.2181142377514798</c:v>
                </c:pt>
                <c:pt idx="26">
                  <c:v>-6.1362591320112152</c:v>
                </c:pt>
                <c:pt idx="27">
                  <c:v>-6.0614579189285172</c:v>
                </c:pt>
                <c:pt idx="28">
                  <c:v>-5.9693117424668483</c:v>
                </c:pt>
                <c:pt idx="29">
                  <c:v>-5.9085950692856875</c:v>
                </c:pt>
                <c:pt idx="30">
                  <c:v>-5.8094763792152646</c:v>
                </c:pt>
                <c:pt idx="31">
                  <c:v>-5.7358925285744347</c:v>
                </c:pt>
                <c:pt idx="32">
                  <c:v>-5.6456079106051291</c:v>
                </c:pt>
                <c:pt idx="33">
                  <c:v>-5.5493461213517818</c:v>
                </c:pt>
                <c:pt idx="34">
                  <c:v>-5.4748159100392026</c:v>
                </c:pt>
                <c:pt idx="35">
                  <c:v>-5.384747094546424</c:v>
                </c:pt>
                <c:pt idx="36">
                  <c:v>-5.2989175466200695</c:v>
                </c:pt>
                <c:pt idx="37">
                  <c:v>-5.1990151654741741</c:v>
                </c:pt>
                <c:pt idx="38">
                  <c:v>-5.1248683882576804</c:v>
                </c:pt>
                <c:pt idx="39">
                  <c:v>-5.0743741350632625</c:v>
                </c:pt>
                <c:pt idx="40">
                  <c:v>-4.9624167218257815</c:v>
                </c:pt>
                <c:pt idx="41">
                  <c:v>-4.8967264199884726</c:v>
                </c:pt>
                <c:pt idx="42">
                  <c:v>-4.8284387451154522</c:v>
                </c:pt>
                <c:pt idx="43">
                  <c:v>-4.763814279427689</c:v>
                </c:pt>
                <c:pt idx="44">
                  <c:v>-4.7062067301658628</c:v>
                </c:pt>
                <c:pt idx="45">
                  <c:v>-4.6496446760899204</c:v>
                </c:pt>
                <c:pt idx="46">
                  <c:v>-4.5717354099018541</c:v>
                </c:pt>
                <c:pt idx="47">
                  <c:v>-4.4962260989989122</c:v>
                </c:pt>
                <c:pt idx="48">
                  <c:v>-4.416286871358996</c:v>
                </c:pt>
                <c:pt idx="49">
                  <c:v>-4.3373592431787227</c:v>
                </c:pt>
                <c:pt idx="50">
                  <c:v>-4.2278302416057754</c:v>
                </c:pt>
                <c:pt idx="51">
                  <c:v>-4.1259590759914424</c:v>
                </c:pt>
                <c:pt idx="52">
                  <c:v>-4.0611612684318681</c:v>
                </c:pt>
                <c:pt idx="53">
                  <c:v>-3.9083298335905283</c:v>
                </c:pt>
                <c:pt idx="54">
                  <c:v>-3.8600949125677868</c:v>
                </c:pt>
                <c:pt idx="55">
                  <c:v>-3.737607620205289</c:v>
                </c:pt>
                <c:pt idx="56">
                  <c:v>-3.6522389900189443</c:v>
                </c:pt>
                <c:pt idx="57">
                  <c:v>-3.5450562048044163</c:v>
                </c:pt>
                <c:pt idx="58">
                  <c:v>-3.4462470502158795</c:v>
                </c:pt>
                <c:pt idx="59">
                  <c:v>-3.3439289738717632</c:v>
                </c:pt>
                <c:pt idx="60">
                  <c:v>-3.2243155936185657</c:v>
                </c:pt>
                <c:pt idx="61">
                  <c:v>-3.1242476957894181</c:v>
                </c:pt>
                <c:pt idx="62">
                  <c:v>-2.9977943982724393</c:v>
                </c:pt>
                <c:pt idx="63">
                  <c:v>-2.8790698655663105</c:v>
                </c:pt>
                <c:pt idx="64">
                  <c:v>-2.7895639902857563</c:v>
                </c:pt>
              </c:numCache>
            </c:numRef>
          </c:val>
          <c:smooth val="0"/>
          <c:extLst>
            <c:ext xmlns:c16="http://schemas.microsoft.com/office/drawing/2014/chart" uri="{C3380CC4-5D6E-409C-BE32-E72D297353CC}">
              <c16:uniqueId val="{00000000-01D3-43DB-A012-E60A7D48B995}"/>
            </c:ext>
          </c:extLst>
        </c:ser>
        <c:ser>
          <c:idx val="1"/>
          <c:order val="1"/>
          <c:tx>
            <c:strRef>
              <c:f>Whittaker!$L$1</c:f>
              <c:strCache>
                <c:ptCount val="1"/>
                <c:pt idx="0">
                  <c:v>2+Make</c:v>
                </c:pt>
              </c:strCache>
            </c:strRef>
          </c:tx>
          <c:spPr>
            <a:ln w="25400" cap="rnd">
              <a:solidFill>
                <a:srgbClr val="FF0000"/>
              </a:solidFill>
              <a:prstDash val="dash"/>
              <a:round/>
            </a:ln>
            <a:effectLst/>
          </c:spPr>
          <c:marker>
            <c:symbol val="none"/>
          </c:marker>
          <c:cat>
            <c:numRef>
              <c:f>Whittaker!$A$2:$A$66</c:f>
              <c:numCache>
                <c:formatCode>General</c:formatCode>
                <c:ptCount val="65"/>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pt idx="49">
                  <c:v>69</c:v>
                </c:pt>
                <c:pt idx="50">
                  <c:v>70</c:v>
                </c:pt>
                <c:pt idx="51">
                  <c:v>71</c:v>
                </c:pt>
                <c:pt idx="52">
                  <c:v>72</c:v>
                </c:pt>
                <c:pt idx="53">
                  <c:v>73</c:v>
                </c:pt>
                <c:pt idx="54">
                  <c:v>74</c:v>
                </c:pt>
                <c:pt idx="55">
                  <c:v>75</c:v>
                </c:pt>
                <c:pt idx="56">
                  <c:v>76</c:v>
                </c:pt>
                <c:pt idx="57">
                  <c:v>77</c:v>
                </c:pt>
                <c:pt idx="58">
                  <c:v>78</c:v>
                </c:pt>
                <c:pt idx="59">
                  <c:v>79</c:v>
                </c:pt>
                <c:pt idx="60">
                  <c:v>80</c:v>
                </c:pt>
                <c:pt idx="61">
                  <c:v>81</c:v>
                </c:pt>
                <c:pt idx="62">
                  <c:v>82</c:v>
                </c:pt>
                <c:pt idx="63">
                  <c:v>83</c:v>
                </c:pt>
                <c:pt idx="64">
                  <c:v>84</c:v>
                </c:pt>
              </c:numCache>
            </c:numRef>
          </c:cat>
          <c:val>
            <c:numRef>
              <c:f>Whittaker!$L$2:$L$66</c:f>
              <c:numCache>
                <c:formatCode>General</c:formatCode>
                <c:ptCount val="65"/>
                <c:pt idx="0">
                  <c:v>-7.788229370493724</c:v>
                </c:pt>
                <c:pt idx="1">
                  <c:v>-7.7108547136349248</c:v>
                </c:pt>
                <c:pt idx="2">
                  <c:v>-7.6373143774895311</c:v>
                </c:pt>
                <c:pt idx="3">
                  <c:v>-7.5580156340521247</c:v>
                </c:pt>
                <c:pt idx="4">
                  <c:v>-7.503794909784264</c:v>
                </c:pt>
                <c:pt idx="5">
                  <c:v>-7.4512883464378046</c:v>
                </c:pt>
                <c:pt idx="6">
                  <c:v>-7.3935497004328843</c:v>
                </c:pt>
                <c:pt idx="7">
                  <c:v>-7.3352442151468189</c:v>
                </c:pt>
                <c:pt idx="8">
                  <c:v>-7.2748915041816709</c:v>
                </c:pt>
                <c:pt idx="9">
                  <c:v>-7.203583169822287</c:v>
                </c:pt>
                <c:pt idx="10">
                  <c:v>-7.1192488652898636</c:v>
                </c:pt>
                <c:pt idx="11">
                  <c:v>-7.0442048663974699</c:v>
                </c:pt>
                <c:pt idx="12">
                  <c:v>-6.9779830420482929</c:v>
                </c:pt>
                <c:pt idx="13">
                  <c:v>-6.9172424583926189</c:v>
                </c:pt>
                <c:pt idx="14">
                  <c:v>-6.8783117469025008</c:v>
                </c:pt>
                <c:pt idx="15">
                  <c:v>-6.8307469047841982</c:v>
                </c:pt>
                <c:pt idx="16">
                  <c:v>-6.7745377392796788</c:v>
                </c:pt>
                <c:pt idx="17">
                  <c:v>-6.7069687837177003</c:v>
                </c:pt>
                <c:pt idx="18">
                  <c:v>-6.633659924294026</c:v>
                </c:pt>
                <c:pt idx="19">
                  <c:v>-6.5745326097049599</c:v>
                </c:pt>
                <c:pt idx="20">
                  <c:v>-6.5287154950133761</c:v>
                </c:pt>
                <c:pt idx="21">
                  <c:v>-6.4871091040416369</c:v>
                </c:pt>
                <c:pt idx="22">
                  <c:v>-6.4391209637196321</c:v>
                </c:pt>
                <c:pt idx="23">
                  <c:v>-6.3755017454060185</c:v>
                </c:pt>
                <c:pt idx="24">
                  <c:v>-6.3070258482561936</c:v>
                </c:pt>
                <c:pt idx="25">
                  <c:v>-6.2252301204073852</c:v>
                </c:pt>
                <c:pt idx="26">
                  <c:v>-6.1411958596254195</c:v>
                </c:pt>
                <c:pt idx="27">
                  <c:v>-6.0589382516784145</c:v>
                </c:pt>
                <c:pt idx="28">
                  <c:v>-5.9775120932976167</c:v>
                </c:pt>
                <c:pt idx="29">
                  <c:v>-5.8985173858970033</c:v>
                </c:pt>
                <c:pt idx="30">
                  <c:v>-5.8153287261555437</c:v>
                </c:pt>
                <c:pt idx="31">
                  <c:v>-5.7314220197141381</c:v>
                </c:pt>
                <c:pt idx="32">
                  <c:v>-5.6443802122427842</c:v>
                </c:pt>
                <c:pt idx="33">
                  <c:v>-5.5563096291616256</c:v>
                </c:pt>
                <c:pt idx="34">
                  <c:v>-5.4704585988253598</c:v>
                </c:pt>
                <c:pt idx="35">
                  <c:v>-5.3832244163152172</c:v>
                </c:pt>
                <c:pt idx="36">
                  <c:v>-5.2952576848606991</c:v>
                </c:pt>
                <c:pt idx="37">
                  <c:v>-5.2088246333472661</c:v>
                </c:pt>
                <c:pt idx="38">
                  <c:v>-5.1297824803115919</c:v>
                </c:pt>
                <c:pt idx="39">
                  <c:v>-5.0542191924493043</c:v>
                </c:pt>
                <c:pt idx="40">
                  <c:v>-4.9732882613982605</c:v>
                </c:pt>
                <c:pt idx="41">
                  <c:v>-4.8983274151437213</c:v>
                </c:pt>
                <c:pt idx="42">
                  <c:v>-4.8297400497510479</c:v>
                </c:pt>
                <c:pt idx="43">
                  <c:v>-4.7665098741751768</c:v>
                </c:pt>
                <c:pt idx="44">
                  <c:v>-4.7059174113332736</c:v>
                </c:pt>
                <c:pt idx="45">
                  <c:v>-4.6431726428217646</c:v>
                </c:pt>
                <c:pt idx="46">
                  <c:v>-4.573288751094692</c:v>
                </c:pt>
                <c:pt idx="47">
                  <c:v>-4.497587063564815</c:v>
                </c:pt>
                <c:pt idx="48">
                  <c:v>-4.4164108274262768</c:v>
                </c:pt>
                <c:pt idx="49">
                  <c:v>-4.3286765441444341</c:v>
                </c:pt>
                <c:pt idx="50">
                  <c:v>-4.2327997744014212</c:v>
                </c:pt>
                <c:pt idx="51">
                  <c:v>-4.1356120689474878</c:v>
                </c:pt>
                <c:pt idx="52">
                  <c:v>-4.0392212863988872</c:v>
                </c:pt>
                <c:pt idx="53">
                  <c:v>-3.936362292851372</c:v>
                </c:pt>
                <c:pt idx="54">
                  <c:v>-3.8420161249858871</c:v>
                </c:pt>
                <c:pt idx="55">
                  <c:v>-3.743118950169519</c:v>
                </c:pt>
                <c:pt idx="56">
                  <c:v>-3.6446287871315337</c:v>
                </c:pt>
                <c:pt idx="57">
                  <c:v>-3.545817089769475</c:v>
                </c:pt>
                <c:pt idx="58">
                  <c:v>-3.4533800395664929</c:v>
                </c:pt>
                <c:pt idx="59">
                  <c:v>-3.3731489798278207</c:v>
                </c:pt>
                <c:pt idx="60">
                  <c:v>-3.3036807624646145</c:v>
                </c:pt>
                <c:pt idx="61">
                  <c:v>-3.2142745118347325</c:v>
                </c:pt>
                <c:pt idx="62">
                  <c:v>-2.994793623689457</c:v>
                </c:pt>
                <c:pt idx="63">
                  <c:v>-3.0290218668441411</c:v>
                </c:pt>
                <c:pt idx="64">
                  <c:v>-2.9427956551694359</c:v>
                </c:pt>
              </c:numCache>
            </c:numRef>
          </c:val>
          <c:smooth val="0"/>
          <c:extLst>
            <c:ext xmlns:c16="http://schemas.microsoft.com/office/drawing/2014/chart" uri="{C3380CC4-5D6E-409C-BE32-E72D297353CC}">
              <c16:uniqueId val="{00000001-01D3-43DB-A012-E60A7D48B995}"/>
            </c:ext>
          </c:extLst>
        </c:ser>
        <c:dLbls>
          <c:showLegendKey val="0"/>
          <c:showVal val="0"/>
          <c:showCatName val="0"/>
          <c:showSerName val="0"/>
          <c:showPercent val="0"/>
          <c:showBubbleSize val="0"/>
        </c:dLbls>
        <c:smooth val="0"/>
        <c:axId val="1567985824"/>
        <c:axId val="1567986784"/>
      </c:lineChart>
      <c:catAx>
        <c:axId val="1567985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7986784"/>
        <c:crosses val="autoZero"/>
        <c:auto val="1"/>
        <c:lblAlgn val="ctr"/>
        <c:lblOffset val="100"/>
        <c:tickLblSkip val="5"/>
        <c:noMultiLvlLbl val="0"/>
      </c:catAx>
      <c:valAx>
        <c:axId val="1567986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798582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Relative</a:t>
            </a:r>
            <a:r>
              <a:rPr lang="en-US" baseline="0"/>
              <a:t> Residuals Makeham vs Whittaker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Whittaker!$M$1</c:f>
              <c:strCache>
                <c:ptCount val="1"/>
                <c:pt idx="0">
                  <c:v>WH1_resid</c:v>
                </c:pt>
              </c:strCache>
            </c:strRef>
          </c:tx>
          <c:spPr>
            <a:ln w="28575" cap="rnd">
              <a:solidFill>
                <a:schemeClr val="accent1"/>
              </a:solidFill>
              <a:round/>
            </a:ln>
            <a:effectLst/>
          </c:spPr>
          <c:marker>
            <c:symbol val="none"/>
          </c:marker>
          <c:cat>
            <c:numRef>
              <c:f>Whittaker!$A$2:$A$66</c:f>
              <c:numCache>
                <c:formatCode>General</c:formatCode>
                <c:ptCount val="65"/>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pt idx="49">
                  <c:v>69</c:v>
                </c:pt>
                <c:pt idx="50">
                  <c:v>70</c:v>
                </c:pt>
                <c:pt idx="51">
                  <c:v>71</c:v>
                </c:pt>
                <c:pt idx="52">
                  <c:v>72</c:v>
                </c:pt>
                <c:pt idx="53">
                  <c:v>73</c:v>
                </c:pt>
                <c:pt idx="54">
                  <c:v>74</c:v>
                </c:pt>
                <c:pt idx="55">
                  <c:v>75</c:v>
                </c:pt>
                <c:pt idx="56">
                  <c:v>76</c:v>
                </c:pt>
                <c:pt idx="57">
                  <c:v>77</c:v>
                </c:pt>
                <c:pt idx="58">
                  <c:v>78</c:v>
                </c:pt>
                <c:pt idx="59">
                  <c:v>79</c:v>
                </c:pt>
                <c:pt idx="60">
                  <c:v>80</c:v>
                </c:pt>
                <c:pt idx="61">
                  <c:v>81</c:v>
                </c:pt>
                <c:pt idx="62">
                  <c:v>82</c:v>
                </c:pt>
                <c:pt idx="63">
                  <c:v>83</c:v>
                </c:pt>
                <c:pt idx="64">
                  <c:v>84</c:v>
                </c:pt>
              </c:numCache>
            </c:numRef>
          </c:cat>
          <c:val>
            <c:numRef>
              <c:f>Whittaker!$M$2:$M$64</c:f>
              <c:numCache>
                <c:formatCode>0.00%</c:formatCode>
                <c:ptCount val="63"/>
                <c:pt idx="0">
                  <c:v>-3.8409521319917204E-3</c:v>
                </c:pt>
                <c:pt idx="1">
                  <c:v>1.3351422102311876E-2</c:v>
                </c:pt>
                <c:pt idx="2">
                  <c:v>-4.1299160540511137E-2</c:v>
                </c:pt>
                <c:pt idx="3">
                  <c:v>5.2795141219401397E-2</c:v>
                </c:pt>
                <c:pt idx="4">
                  <c:v>-1.6585687094237859E-2</c:v>
                </c:pt>
                <c:pt idx="5">
                  <c:v>-1.1660272309667504E-2</c:v>
                </c:pt>
                <c:pt idx="6">
                  <c:v>6.1255768376439522E-3</c:v>
                </c:pt>
                <c:pt idx="7">
                  <c:v>7.3902326074986495E-3</c:v>
                </c:pt>
                <c:pt idx="8">
                  <c:v>-6.8535949713729241E-3</c:v>
                </c:pt>
                <c:pt idx="9">
                  <c:v>-2.4676930669735891E-2</c:v>
                </c:pt>
                <c:pt idx="10">
                  <c:v>2.2494598895076042E-2</c:v>
                </c:pt>
                <c:pt idx="11">
                  <c:v>2.9139409991952043E-3</c:v>
                </c:pt>
                <c:pt idx="12">
                  <c:v>-1.989220920488325E-2</c:v>
                </c:pt>
                <c:pt idx="13">
                  <c:v>4.5705508771746901E-2</c:v>
                </c:pt>
                <c:pt idx="14">
                  <c:v>-3.0912190766651412E-2</c:v>
                </c:pt>
                <c:pt idx="15">
                  <c:v>2.7228800400733179E-3</c:v>
                </c:pt>
                <c:pt idx="16">
                  <c:v>-8.3835040470173067E-3</c:v>
                </c:pt>
                <c:pt idx="17">
                  <c:v>-1.4409762248110291E-2</c:v>
                </c:pt>
                <c:pt idx="18">
                  <c:v>2.0595517412146411E-2</c:v>
                </c:pt>
                <c:pt idx="19">
                  <c:v>8.20327683034878E-3</c:v>
                </c:pt>
                <c:pt idx="20">
                  <c:v>1.4482882860318354E-3</c:v>
                </c:pt>
                <c:pt idx="21">
                  <c:v>-1.278978860095896E-3</c:v>
                </c:pt>
                <c:pt idx="22">
                  <c:v>-2.0313280305893109E-2</c:v>
                </c:pt>
                <c:pt idx="23">
                  <c:v>1.9144454606917664E-2</c:v>
                </c:pt>
                <c:pt idx="24">
                  <c:v>-1.9825724101984913E-2</c:v>
                </c:pt>
                <c:pt idx="25">
                  <c:v>7.0906247092905796E-3</c:v>
                </c:pt>
                <c:pt idx="26">
                  <c:v>4.9245620021065428E-3</c:v>
                </c:pt>
                <c:pt idx="27">
                  <c:v>-2.5228442794199184E-3</c:v>
                </c:pt>
                <c:pt idx="28">
                  <c:v>8.1668196722485976E-3</c:v>
                </c:pt>
                <c:pt idx="29">
                  <c:v>-1.0128634251646404E-2</c:v>
                </c:pt>
                <c:pt idx="30">
                  <c:v>5.8352553162163987E-3</c:v>
                </c:pt>
                <c:pt idx="31">
                  <c:v>-4.4805164925436573E-3</c:v>
                </c:pt>
                <c:pt idx="32">
                  <c:v>-1.2284522924805236E-3</c:v>
                </c:pt>
                <c:pt idx="33">
                  <c:v>6.9393187687598968E-3</c:v>
                </c:pt>
                <c:pt idx="34">
                  <c:v>-4.366818097484803E-3</c:v>
                </c:pt>
                <c:pt idx="35">
                  <c:v>-1.5238380943297901E-3</c:v>
                </c:pt>
                <c:pt idx="36">
                  <c:v>-3.666567231290171E-3</c:v>
                </c:pt>
                <c:pt idx="37">
                  <c:v>9.7615119784834024E-3</c:v>
                </c:pt>
                <c:pt idx="38">
                  <c:v>4.9020376571094829E-3</c:v>
                </c:pt>
                <c:pt idx="39">
                  <c:v>-2.0359424935871565E-2</c:v>
                </c:pt>
                <c:pt idx="40">
                  <c:v>1.081265795724968E-2</c:v>
                </c:pt>
                <c:pt idx="41">
                  <c:v>1.5997142461724951E-3</c:v>
                </c:pt>
                <c:pt idx="42">
                  <c:v>1.3004583058688929E-3</c:v>
                </c:pt>
                <c:pt idx="43">
                  <c:v>2.691964894236639E-3</c:v>
                </c:pt>
                <c:pt idx="44">
                  <c:v>-2.8936068931953077E-4</c:v>
                </c:pt>
                <c:pt idx="45">
                  <c:v>-6.4930221312431693E-3</c:v>
                </c:pt>
                <c:pt idx="46">
                  <c:v>1.5521353828330464E-3</c:v>
                </c:pt>
                <c:pt idx="47">
                  <c:v>1.3600388736202604E-3</c:v>
                </c:pt>
                <c:pt idx="48">
                  <c:v>1.2394838504515537E-4</c:v>
                </c:pt>
                <c:pt idx="49">
                  <c:v>-8.7205029998203912E-3</c:v>
                </c:pt>
                <c:pt idx="50">
                  <c:v>4.9572050969642492E-3</c:v>
                </c:pt>
                <c:pt idx="51">
                  <c:v>9.6065523698839438E-3</c:v>
                </c:pt>
                <c:pt idx="52">
                  <c:v>-2.2182433317800166E-2</c:v>
                </c:pt>
                <c:pt idx="53">
                  <c:v>2.7643195694141923E-2</c:v>
                </c:pt>
                <c:pt idx="54">
                  <c:v>-1.8243198148881076E-2</c:v>
                </c:pt>
                <c:pt idx="55">
                  <c:v>5.4961704477280039E-3</c:v>
                </c:pt>
                <c:pt idx="56">
                  <c:v>-7.6392340790963249E-3</c:v>
                </c:pt>
                <c:pt idx="57">
                  <c:v>7.6059556549810015E-4</c:v>
                </c:pt>
                <c:pt idx="58">
                  <c:v>7.1076099615645363E-3</c:v>
                </c:pt>
                <c:pt idx="59">
                  <c:v>2.8797229433562933E-2</c:v>
                </c:pt>
                <c:pt idx="60">
                  <c:v>7.6297444545754517E-2</c:v>
                </c:pt>
                <c:pt idx="61">
                  <c:v>8.6093322420248961E-2</c:v>
                </c:pt>
                <c:pt idx="62">
                  <c:v>-3.0052814138981135E-3</c:v>
                </c:pt>
              </c:numCache>
            </c:numRef>
          </c:val>
          <c:smooth val="0"/>
          <c:extLst>
            <c:ext xmlns:c16="http://schemas.microsoft.com/office/drawing/2014/chart" uri="{C3380CC4-5D6E-409C-BE32-E72D297353CC}">
              <c16:uniqueId val="{00000000-912A-48E2-847B-7CC10E86B0F4}"/>
            </c:ext>
          </c:extLst>
        </c:ser>
        <c:ser>
          <c:idx val="1"/>
          <c:order val="1"/>
          <c:tx>
            <c:strRef>
              <c:f>Whittaker!$N$1</c:f>
              <c:strCache>
                <c:ptCount val="1"/>
                <c:pt idx="0">
                  <c:v>make_r_ei</c:v>
                </c:pt>
              </c:strCache>
            </c:strRef>
          </c:tx>
          <c:spPr>
            <a:ln w="28575" cap="rnd">
              <a:solidFill>
                <a:schemeClr val="accent2"/>
              </a:solidFill>
              <a:round/>
            </a:ln>
            <a:effectLst/>
          </c:spPr>
          <c:marker>
            <c:symbol val="none"/>
          </c:marker>
          <c:cat>
            <c:numRef>
              <c:f>Whittaker!$A$2:$A$66</c:f>
              <c:numCache>
                <c:formatCode>General</c:formatCode>
                <c:ptCount val="65"/>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pt idx="49">
                  <c:v>69</c:v>
                </c:pt>
                <c:pt idx="50">
                  <c:v>70</c:v>
                </c:pt>
                <c:pt idx="51">
                  <c:v>71</c:v>
                </c:pt>
                <c:pt idx="52">
                  <c:v>72</c:v>
                </c:pt>
                <c:pt idx="53">
                  <c:v>73</c:v>
                </c:pt>
                <c:pt idx="54">
                  <c:v>74</c:v>
                </c:pt>
                <c:pt idx="55">
                  <c:v>75</c:v>
                </c:pt>
                <c:pt idx="56">
                  <c:v>76</c:v>
                </c:pt>
                <c:pt idx="57">
                  <c:v>77</c:v>
                </c:pt>
                <c:pt idx="58">
                  <c:v>78</c:v>
                </c:pt>
                <c:pt idx="59">
                  <c:v>79</c:v>
                </c:pt>
                <c:pt idx="60">
                  <c:v>80</c:v>
                </c:pt>
                <c:pt idx="61">
                  <c:v>81</c:v>
                </c:pt>
                <c:pt idx="62">
                  <c:v>82</c:v>
                </c:pt>
                <c:pt idx="63">
                  <c:v>83</c:v>
                </c:pt>
                <c:pt idx="64">
                  <c:v>84</c:v>
                </c:pt>
              </c:numCache>
            </c:numRef>
          </c:cat>
          <c:val>
            <c:numRef>
              <c:f>Whittaker!$N$2:$N$64</c:f>
              <c:numCache>
                <c:formatCode>0.00%</c:formatCode>
                <c:ptCount val="63"/>
                <c:pt idx="0">
                  <c:v>-0.1488114976505773</c:v>
                </c:pt>
                <c:pt idx="1">
                  <c:v>-8.580797522197256E-2</c:v>
                </c:pt>
                <c:pt idx="2">
                  <c:v>-0.10827131840007249</c:v>
                </c:pt>
                <c:pt idx="3">
                  <c:v>2.8803547899936451E-2</c:v>
                </c:pt>
                <c:pt idx="4">
                  <c:v>-3.1588800627894167E-2</c:v>
                </c:pt>
                <c:pt idx="5">
                  <c:v>-1.9661483719695547E-2</c:v>
                </c:pt>
                <c:pt idx="6">
                  <c:v>8.3688444017307947E-3</c:v>
                </c:pt>
                <c:pt idx="7">
                  <c:v>1.8359689662000099E-2</c:v>
                </c:pt>
                <c:pt idx="8">
                  <c:v>1.3264982801793638E-2</c:v>
                </c:pt>
                <c:pt idx="9">
                  <c:v>1.3935392905140587E-2</c:v>
                </c:pt>
                <c:pt idx="10">
                  <c:v>8.666228444804111E-2</c:v>
                </c:pt>
                <c:pt idx="11">
                  <c:v>8.5417860698320608E-2</c:v>
                </c:pt>
                <c:pt idx="12">
                  <c:v>7.1924366223193661E-2</c:v>
                </c:pt>
                <c:pt idx="13">
                  <c:v>0.13236043413804405</c:v>
                </c:pt>
                <c:pt idx="14">
                  <c:v>4.1342092282039111E-2</c:v>
                </c:pt>
                <c:pt idx="15">
                  <c:v>5.8209993143991424E-2</c:v>
                </c:pt>
                <c:pt idx="16">
                  <c:v>3.9844627938089135E-2</c:v>
                </c:pt>
                <c:pt idx="17">
                  <c:v>3.5765801050971303E-2</c:v>
                </c:pt>
                <c:pt idx="18">
                  <c:v>7.471785755491557E-2</c:v>
                </c:pt>
                <c:pt idx="19">
                  <c:v>5.4215775006254914E-2</c:v>
                </c:pt>
                <c:pt idx="20">
                  <c:v>2.4772448221645021E-2</c:v>
                </c:pt>
                <c:pt idx="21">
                  <c:v>-6.8998267395500449E-3</c:v>
                </c:pt>
                <c:pt idx="22">
                  <c:v>-5.0904342050708443E-2</c:v>
                </c:pt>
                <c:pt idx="23">
                  <c:v>-1.9747427013558312E-2</c:v>
                </c:pt>
                <c:pt idx="24">
                  <c:v>-6.606675452715087E-2</c:v>
                </c:pt>
                <c:pt idx="25">
                  <c:v>-3.0745217748932352E-2</c:v>
                </c:pt>
                <c:pt idx="26">
                  <c:v>-2.4428653276446978E-2</c:v>
                </c:pt>
                <c:pt idx="27">
                  <c:v>-2.6183688194240294E-2</c:v>
                </c:pt>
                <c:pt idx="28">
                  <c:v>-1.1027069394826634E-2</c:v>
                </c:pt>
                <c:pt idx="29">
                  <c:v>-2.8621933470071883E-2</c:v>
                </c:pt>
                <c:pt idx="30">
                  <c:v>-7.7578974109578118E-3</c:v>
                </c:pt>
                <c:pt idx="31">
                  <c:v>-1.3472736508510217E-2</c:v>
                </c:pt>
                <c:pt idx="32">
                  <c:v>-2.9106963847083259E-3</c:v>
                </c:pt>
                <c:pt idx="33">
                  <c:v>1.2933088247806916E-2</c:v>
                </c:pt>
                <c:pt idx="34">
                  <c:v>6.6954583440134085E-3</c:v>
                </c:pt>
                <c:pt idx="35">
                  <c:v>1.5381283229858033E-2</c:v>
                </c:pt>
                <c:pt idx="36">
                  <c:v>1.9430153468007756E-2</c:v>
                </c:pt>
                <c:pt idx="37">
                  <c:v>3.6731510893902829E-2</c:v>
                </c:pt>
                <c:pt idx="38">
                  <c:v>2.8687159836888743E-2</c:v>
                </c:pt>
                <c:pt idx="39">
                  <c:v>-3.2026270742273925E-3</c:v>
                </c:pt>
                <c:pt idx="40">
                  <c:v>2.5325442963875799E-2</c:v>
                </c:pt>
                <c:pt idx="41">
                  <c:v>7.9160725017232755E-3</c:v>
                </c:pt>
                <c:pt idx="42">
                  <c:v>-7.4508651531783677E-3</c:v>
                </c:pt>
                <c:pt idx="43">
                  <c:v>-2.7060585132656436E-2</c:v>
                </c:pt>
                <c:pt idx="44">
                  <c:v>-5.4661841379337342E-2</c:v>
                </c:pt>
                <c:pt idx="45">
                  <c:v>-8.4362244556978591E-2</c:v>
                </c:pt>
                <c:pt idx="46">
                  <c:v>-9.1559516435980551E-2</c:v>
                </c:pt>
                <c:pt idx="47">
                  <c:v>-0.10163834554578721</c:v>
                </c:pt>
                <c:pt idx="48">
                  <c:v>-0.10707495911503784</c:v>
                </c:pt>
                <c:pt idx="49">
                  <c:v>-0.11383021172586084</c:v>
                </c:pt>
                <c:pt idx="50">
                  <c:v>-8.7002227221396916E-2</c:v>
                </c:pt>
                <c:pt idx="51">
                  <c:v>-6.9109876526516373E-2</c:v>
                </c:pt>
                <c:pt idx="52">
                  <c:v>-9.1353171708497397E-2</c:v>
                </c:pt>
                <c:pt idx="53">
                  <c:v>-2.0286224767476477E-2</c:v>
                </c:pt>
                <c:pt idx="54">
                  <c:v>-5.9124304643214692E-2</c:v>
                </c:pt>
                <c:pt idx="55">
                  <c:v>-2.0853729756752568E-2</c:v>
                </c:pt>
                <c:pt idx="56">
                  <c:v>-2.1260261060650081E-2</c:v>
                </c:pt>
                <c:pt idx="57">
                  <c:v>3.0261324516230942E-4</c:v>
                </c:pt>
                <c:pt idx="58">
                  <c:v>1.311262600901369E-2</c:v>
                </c:pt>
                <c:pt idx="59">
                  <c:v>2.9108851045606187E-2</c:v>
                </c:pt>
                <c:pt idx="60">
                  <c:v>6.1168222611245944E-2</c:v>
                </c:pt>
                <c:pt idx="61">
                  <c:v>7.4200439981688376E-2</c:v>
                </c:pt>
                <c:pt idx="62">
                  <c:v>0.11078115422349009</c:v>
                </c:pt>
              </c:numCache>
            </c:numRef>
          </c:val>
          <c:smooth val="0"/>
          <c:extLst>
            <c:ext xmlns:c16="http://schemas.microsoft.com/office/drawing/2014/chart" uri="{C3380CC4-5D6E-409C-BE32-E72D297353CC}">
              <c16:uniqueId val="{00000001-912A-48E2-847B-7CC10E86B0F4}"/>
            </c:ext>
          </c:extLst>
        </c:ser>
        <c:dLbls>
          <c:showLegendKey val="0"/>
          <c:showVal val="0"/>
          <c:showCatName val="0"/>
          <c:showSerName val="0"/>
          <c:showPercent val="0"/>
          <c:showBubbleSize val="0"/>
        </c:dLbls>
        <c:smooth val="0"/>
        <c:axId val="98296784"/>
        <c:axId val="98300624"/>
      </c:lineChart>
      <c:catAx>
        <c:axId val="98296784"/>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300624"/>
        <c:crosses val="autoZero"/>
        <c:auto val="1"/>
        <c:lblAlgn val="ctr"/>
        <c:lblOffset val="100"/>
        <c:tickLblSkip val="5"/>
        <c:noMultiLvlLbl val="0"/>
      </c:catAx>
      <c:valAx>
        <c:axId val="9830062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967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4">
  <cs:axisTitle>
    <cs:lnRef idx="0"/>
    <cs:fillRef idx="0"/>
    <cs:effectRef idx="0"/>
    <cs:fontRef idx="minor">
      <a:schemeClr val="dk1">
        <a:lumMod val="50000"/>
        <a:lumOff val="50000"/>
      </a:schemeClr>
    </cs:fontRef>
    <cs:defRPr sz="900" b="1" kern="1200"/>
  </cs:axisTitle>
  <cs:categoryAxis>
    <cs:lnRef idx="0"/>
    <cs:fillRef idx="0"/>
    <cs:effectRef idx="0"/>
    <cs:fontRef idx="minor">
      <a:schemeClr val="dk1">
        <a:lumMod val="50000"/>
        <a:lumOff val="50000"/>
      </a:schemeClr>
    </cs:fontRef>
    <cs:spPr>
      <a:ln w="9525" cap="flat" cmpd="sng" algn="ctr">
        <a:solidFill>
          <a:schemeClr val="dk1">
            <a:lumMod val="15000"/>
            <a:lumOff val="85000"/>
          </a:schemeClr>
        </a:solidFill>
        <a:round/>
      </a:ln>
    </cs:spPr>
    <cs:defRPr sz="900" kern="1200"/>
  </cs:categoryAxis>
  <cs:chartArea>
    <cs:lnRef idx="0"/>
    <cs:fillRef idx="0"/>
    <cs:effectRef idx="0"/>
    <cs:fontRef idx="minor">
      <a:schemeClr val="dk1"/>
    </cs:fontRef>
    <cs: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a:solidFill>
          <a:schemeClr val="phClr">
            <a:alpha val="20000"/>
          </a:schemeClr>
        </a:solidFill>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dk1">
        <a:lumMod val="50000"/>
        <a:lumOff val="50000"/>
      </a:schemeClr>
    </cs:fontRef>
    <cs:spPr>
      <a:ln w="9525" cap="rnd">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a:solidFill>
          <a:schemeClr val="dk1">
            <a:lumMod val="50000"/>
            <a:lumOff val="50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15000"/>
            <a:lumOff val="85000"/>
          </a:schemeClr>
        </a:solidFill>
        <a:round/>
      </a:ln>
    </cs:spPr>
  </cs:gridlineMajor>
  <cs:gridlineMinor>
    <cs:lnRef idx="0"/>
    <cs:fillRef idx="0"/>
    <cs:effectRef idx="0"/>
    <cs:fontRef idx="minor">
      <a:schemeClr val="tx1"/>
    </cs:fontRef>
    <cs:spPr>
      <a:ln w="9525" cap="flat" cmpd="sng" algn="ctr">
        <a:solidFill>
          <a:schemeClr val="dk1">
            <a:lumMod val="5000"/>
            <a:lumOff val="95000"/>
          </a:schemeClr>
        </a:solidFill>
        <a:round/>
      </a:ln>
    </cs:spPr>
  </cs:gridlineMinor>
  <cs:hiLoLine>
    <cs:lnRef idx="0"/>
    <cs:fillRef idx="0"/>
    <cs:effectRef idx="0"/>
    <cs:fontRef idx="minor">
      <a:schemeClr val="tx1"/>
    </cs:fontRef>
    <cs:spPr>
      <a:ln w="9525">
        <a:solidFill>
          <a:schemeClr val="dk1">
            <a:lumMod val="35000"/>
            <a:lumOff val="6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50000"/>
        <a:lumOff val="50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50000"/>
        <a:lumOff val="50000"/>
      </a:schemeClr>
    </cs:fontRef>
    <cs:spPr>
      <a:ln w="9525">
        <a:solidFill>
          <a:schemeClr val="dk1">
            <a:lumMod val="15000"/>
            <a:lumOff val="85000"/>
          </a:schemeClr>
        </a:solidFill>
      </a:ln>
    </cs:spPr>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50000"/>
        <a:lumOff val="50000"/>
      </a:schemeClr>
    </cs:fontRef>
    <cs:defRPr sz="1600" b="0" kern="1200" spc="70" baseline="0"/>
  </cs:title>
  <cs:trendline>
    <cs:lnRef idx="0">
      <cs:styleClr val="0"/>
    </cs:lnRef>
    <cs:fillRef idx="0"/>
    <cs:effectRef idx="0"/>
    <cs:fontRef idx="minor">
      <a:schemeClr val="tx1"/>
    </cs:fontRef>
    <cs:spPr>
      <a:ln w="63500" cap="rnd" cmpd="sng" algn="ctr">
        <a:solidFill>
          <a:schemeClr val="phClr">
            <a:alpha val="25000"/>
          </a:schemeClr>
        </a:solidFill>
        <a:round/>
      </a:ln>
    </cs:spPr>
  </cs:trendline>
  <cs:trendlineLabel>
    <cs:lnRef idx="0"/>
    <cs:fillRef idx="0"/>
    <cs:effectRef idx="0"/>
    <cs:fontRef idx="minor">
      <a:schemeClr val="dk1">
        <a:lumMod val="50000"/>
        <a:lumOff val="50000"/>
      </a:schemeClr>
    </cs:fontRef>
    <cs:defRPr sz="900" kern="1200"/>
  </cs:trendlineLabel>
  <cs:upBar>
    <cs:lnRef idx="0"/>
    <cs:fillRef idx="0"/>
    <cs:effectRef idx="0"/>
    <cs:fontRef idx="minor">
      <a:schemeClr val="tx1"/>
    </cs:fontRef>
    <cs:spPr>
      <a:solidFill>
        <a:schemeClr val="lt1"/>
      </a:solidFill>
      <a:ln w="9525">
        <a:solidFill>
          <a:schemeClr val="dk1">
            <a:lumMod val="50000"/>
            <a:lumOff val="50000"/>
          </a:schemeClr>
        </a:solidFill>
      </a:ln>
    </cs:spPr>
  </cs:upBar>
  <cs:valueAxis>
    <cs:lnRef idx="0"/>
    <cs:fillRef idx="0"/>
    <cs:effectRef idx="0"/>
    <cs:fontRef idx="minor">
      <a:schemeClr val="dk1">
        <a:lumMod val="50000"/>
        <a:lumOff val="50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_rels/drawing3.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chart" Target="../charts/chart17.xml"/><Relationship Id="rId1" Type="http://schemas.openxmlformats.org/officeDocument/2006/relationships/chart" Target="../charts/chart16.xml"/></Relationships>
</file>

<file path=xl/drawings/_rels/drawing6.xml.rels><?xml version="1.0" encoding="UTF-8" standalone="yes"?>
<Relationships xmlns="http://schemas.openxmlformats.org/package/2006/relationships"><Relationship Id="rId3" Type="http://schemas.openxmlformats.org/officeDocument/2006/relationships/chart" Target="../charts/chart21.xml"/><Relationship Id="rId2" Type="http://schemas.openxmlformats.org/officeDocument/2006/relationships/chart" Target="../charts/chart20.xml"/><Relationship Id="rId1" Type="http://schemas.openxmlformats.org/officeDocument/2006/relationships/chart" Target="../charts/chart19.xml"/></Relationships>
</file>

<file path=xl/drawings/_rels/drawing7.xml.rels><?xml version="1.0" encoding="UTF-8" standalone="yes"?>
<Relationships xmlns="http://schemas.openxmlformats.org/package/2006/relationships"><Relationship Id="rId3" Type="http://schemas.openxmlformats.org/officeDocument/2006/relationships/chart" Target="../charts/chart24.xml"/><Relationship Id="rId2" Type="http://schemas.openxmlformats.org/officeDocument/2006/relationships/chart" Target="../charts/chart23.xml"/><Relationship Id="rId1" Type="http://schemas.openxmlformats.org/officeDocument/2006/relationships/chart" Target="../charts/chart22.xml"/></Relationships>
</file>

<file path=xl/drawings/drawing1.xml><?xml version="1.0" encoding="utf-8"?>
<xdr:wsDr xmlns:xdr="http://schemas.openxmlformats.org/drawingml/2006/spreadsheetDrawing" xmlns:a="http://schemas.openxmlformats.org/drawingml/2006/main">
  <xdr:twoCellAnchor>
    <xdr:from>
      <xdr:col>10</xdr:col>
      <xdr:colOff>38100</xdr:colOff>
      <xdr:row>1</xdr:row>
      <xdr:rowOff>15240</xdr:rowOff>
    </xdr:from>
    <xdr:to>
      <xdr:col>19</xdr:col>
      <xdr:colOff>30480</xdr:colOff>
      <xdr:row>18</xdr:row>
      <xdr:rowOff>68580</xdr:rowOff>
    </xdr:to>
    <xdr:graphicFrame macro="">
      <xdr:nvGraphicFramePr>
        <xdr:cNvPr id="3" name="Chart 2">
          <a:extLst>
            <a:ext uri="{FF2B5EF4-FFF2-40B4-BE49-F238E27FC236}">
              <a16:creationId xmlns:a16="http://schemas.microsoft.com/office/drawing/2014/main" id="{F1B37D52-9CA2-4F2B-B44B-BBF4BAE7E2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312420</xdr:colOff>
      <xdr:row>19</xdr:row>
      <xdr:rowOff>22860</xdr:rowOff>
    </xdr:from>
    <xdr:to>
      <xdr:col>9</xdr:col>
      <xdr:colOff>228600</xdr:colOff>
      <xdr:row>36</xdr:row>
      <xdr:rowOff>60960</xdr:rowOff>
    </xdr:to>
    <xdr:graphicFrame macro="">
      <xdr:nvGraphicFramePr>
        <xdr:cNvPr id="5" name="Chart 4">
          <a:extLst>
            <a:ext uri="{FF2B5EF4-FFF2-40B4-BE49-F238E27FC236}">
              <a16:creationId xmlns:a16="http://schemas.microsoft.com/office/drawing/2014/main" id="{3737FFF1-25F4-4437-9AE3-EC24C0BEB9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38100</xdr:colOff>
      <xdr:row>19</xdr:row>
      <xdr:rowOff>0</xdr:rowOff>
    </xdr:from>
    <xdr:to>
      <xdr:col>18</xdr:col>
      <xdr:colOff>533400</xdr:colOff>
      <xdr:row>36</xdr:row>
      <xdr:rowOff>7620</xdr:rowOff>
    </xdr:to>
    <xdr:graphicFrame macro="">
      <xdr:nvGraphicFramePr>
        <xdr:cNvPr id="6" name="Chart 5">
          <a:extLst>
            <a:ext uri="{FF2B5EF4-FFF2-40B4-BE49-F238E27FC236}">
              <a16:creationId xmlns:a16="http://schemas.microsoft.com/office/drawing/2014/main" id="{51D9703E-E9EC-4C7F-B71B-E322F9E0C9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297180</xdr:colOff>
      <xdr:row>37</xdr:row>
      <xdr:rowOff>91440</xdr:rowOff>
    </xdr:from>
    <xdr:to>
      <xdr:col>9</xdr:col>
      <xdr:colOff>205740</xdr:colOff>
      <xdr:row>56</xdr:row>
      <xdr:rowOff>60960</xdr:rowOff>
    </xdr:to>
    <xdr:graphicFrame macro="">
      <xdr:nvGraphicFramePr>
        <xdr:cNvPr id="8" name="Chart 7">
          <a:extLst>
            <a:ext uri="{FF2B5EF4-FFF2-40B4-BE49-F238E27FC236}">
              <a16:creationId xmlns:a16="http://schemas.microsoft.com/office/drawing/2014/main" id="{6CFC0C6F-F23D-4321-A375-19A184895C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175260</xdr:colOff>
      <xdr:row>1</xdr:row>
      <xdr:rowOff>7620</xdr:rowOff>
    </xdr:from>
    <xdr:to>
      <xdr:col>9</xdr:col>
      <xdr:colOff>213360</xdr:colOff>
      <xdr:row>18</xdr:row>
      <xdr:rowOff>15240</xdr:rowOff>
    </xdr:to>
    <xdr:graphicFrame macro="">
      <xdr:nvGraphicFramePr>
        <xdr:cNvPr id="7" name="Chart 6">
          <a:extLst>
            <a:ext uri="{FF2B5EF4-FFF2-40B4-BE49-F238E27FC236}">
              <a16:creationId xmlns:a16="http://schemas.microsoft.com/office/drawing/2014/main" id="{C998F6D6-D1B5-4E9D-8502-C3F088EF2E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305889</xdr:colOff>
      <xdr:row>10</xdr:row>
      <xdr:rowOff>2177</xdr:rowOff>
    </xdr:from>
    <xdr:to>
      <xdr:col>4</xdr:col>
      <xdr:colOff>313509</xdr:colOff>
      <xdr:row>16</xdr:row>
      <xdr:rowOff>127363</xdr:rowOff>
    </xdr:to>
    <xdr:sp macro="" textlink="$AA$2">
      <xdr:nvSpPr>
        <xdr:cNvPr id="2" name="Rectangle 1">
          <a:extLst>
            <a:ext uri="{FF2B5EF4-FFF2-40B4-BE49-F238E27FC236}">
              <a16:creationId xmlns:a16="http://schemas.microsoft.com/office/drawing/2014/main" id="{AE0F73A1-A4FB-4C41-92D1-A8A3AE21B6AC}"/>
            </a:ext>
          </a:extLst>
        </xdr:cNvPr>
        <xdr:cNvSpPr/>
      </xdr:nvSpPr>
      <xdr:spPr>
        <a:xfrm>
          <a:off x="305889" y="1863634"/>
          <a:ext cx="2446020" cy="1235529"/>
        </a:xfrm>
        <a:prstGeom prst="rect">
          <a:avLst/>
        </a:prstGeom>
        <a:solidFill>
          <a:schemeClr val="bg1">
            <a:lumMod val="95000"/>
          </a:schemeClr>
        </a:solidFill>
        <a:ln>
          <a:solidFill>
            <a:schemeClr val="bg1">
              <a:lumMod val="75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B74746AF-879A-4008-9F80-8B956B0E3A71}" type="TxLink">
            <a:rPr lang="en-US" sz="1200" b="0" i="0" u="none" strike="noStrike">
              <a:solidFill>
                <a:srgbClr val="808080"/>
              </a:solidFill>
              <a:latin typeface="Aptos Narrow"/>
            </a:rPr>
            <a:pPr algn="ctr"/>
            <a:t>Female Life Expectancy at Age 20</a:t>
          </a:fld>
          <a:endParaRPr lang="en-US" sz="1200">
            <a:solidFill>
              <a:schemeClr val="bg1">
                <a:lumMod val="50000"/>
              </a:schemeClr>
            </a:solidFill>
          </a:endParaRPr>
        </a:p>
      </xdr:txBody>
    </xdr:sp>
    <xdr:clientData/>
  </xdr:twoCellAnchor>
  <xdr:twoCellAnchor>
    <xdr:from>
      <xdr:col>4</xdr:col>
      <xdr:colOff>481149</xdr:colOff>
      <xdr:row>10</xdr:row>
      <xdr:rowOff>2177</xdr:rowOff>
    </xdr:from>
    <xdr:to>
      <xdr:col>8</xdr:col>
      <xdr:colOff>488769</xdr:colOff>
      <xdr:row>16</xdr:row>
      <xdr:rowOff>127363</xdr:rowOff>
    </xdr:to>
    <xdr:sp macro="" textlink="$AB$2">
      <xdr:nvSpPr>
        <xdr:cNvPr id="3" name="Rectangle 2">
          <a:extLst>
            <a:ext uri="{FF2B5EF4-FFF2-40B4-BE49-F238E27FC236}">
              <a16:creationId xmlns:a16="http://schemas.microsoft.com/office/drawing/2014/main" id="{FA422CB7-F35F-4E21-AA6C-BB6BE3E9276D}"/>
            </a:ext>
          </a:extLst>
        </xdr:cNvPr>
        <xdr:cNvSpPr/>
      </xdr:nvSpPr>
      <xdr:spPr>
        <a:xfrm>
          <a:off x="2919549" y="1863634"/>
          <a:ext cx="2446020" cy="1235529"/>
        </a:xfrm>
        <a:prstGeom prst="rect">
          <a:avLst/>
        </a:prstGeom>
        <a:solidFill>
          <a:schemeClr val="bg1">
            <a:lumMod val="95000"/>
          </a:schemeClr>
        </a:solidFill>
        <a:ln>
          <a:solidFill>
            <a:schemeClr val="bg1">
              <a:lumMod val="75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62AB2AD6-2942-48AF-93D3-76AB71FB94C1}" type="TxLink">
            <a:rPr lang="en-US" sz="1200" b="0" i="0" u="none" strike="noStrike">
              <a:solidFill>
                <a:srgbClr val="808080"/>
              </a:solidFill>
              <a:latin typeface="Aptos Narrow"/>
            </a:rPr>
            <a:pPr algn="ctr"/>
            <a:t>Male Life Expectancy at Age 20</a:t>
          </a:fld>
          <a:endParaRPr lang="en-US" sz="1200">
            <a:solidFill>
              <a:schemeClr val="bg1">
                <a:lumMod val="50000"/>
              </a:schemeClr>
            </a:solidFill>
          </a:endParaRPr>
        </a:p>
      </xdr:txBody>
    </xdr:sp>
    <xdr:clientData/>
  </xdr:twoCellAnchor>
  <xdr:twoCellAnchor>
    <xdr:from>
      <xdr:col>8</xdr:col>
      <xdr:colOff>671649</xdr:colOff>
      <xdr:row>10</xdr:row>
      <xdr:rowOff>2177</xdr:rowOff>
    </xdr:from>
    <xdr:to>
      <xdr:col>12</xdr:col>
      <xdr:colOff>420189</xdr:colOff>
      <xdr:row>16</xdr:row>
      <xdr:rowOff>127363</xdr:rowOff>
    </xdr:to>
    <xdr:sp macro="" textlink="$AC$2">
      <xdr:nvSpPr>
        <xdr:cNvPr id="4" name="Rectangle 3">
          <a:extLst>
            <a:ext uri="{FF2B5EF4-FFF2-40B4-BE49-F238E27FC236}">
              <a16:creationId xmlns:a16="http://schemas.microsoft.com/office/drawing/2014/main" id="{7CC41479-8857-4E9A-A1CC-B6830C0A4D90}"/>
            </a:ext>
          </a:extLst>
        </xdr:cNvPr>
        <xdr:cNvSpPr/>
      </xdr:nvSpPr>
      <xdr:spPr>
        <a:xfrm>
          <a:off x="5548449" y="1891937"/>
          <a:ext cx="2446020" cy="1222466"/>
        </a:xfrm>
        <a:prstGeom prst="rect">
          <a:avLst/>
        </a:prstGeom>
        <a:solidFill>
          <a:schemeClr val="bg1">
            <a:lumMod val="95000"/>
          </a:schemeClr>
        </a:solidFill>
        <a:ln>
          <a:solidFill>
            <a:schemeClr val="bg1">
              <a:lumMod val="75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42E612BD-47E1-4C44-94A3-B5DA44B06946}" type="TxLink">
            <a:rPr lang="en-US" sz="1200" b="0" i="0" u="none" strike="noStrike">
              <a:solidFill>
                <a:srgbClr val="808080"/>
              </a:solidFill>
              <a:latin typeface="Aptos Narrow"/>
            </a:rPr>
            <a:pPr algn="ctr"/>
            <a:t>Female Survival at Age 20</a:t>
          </a:fld>
          <a:endParaRPr lang="en-US" sz="1200">
            <a:solidFill>
              <a:schemeClr val="bg1">
                <a:lumMod val="50000"/>
              </a:schemeClr>
            </a:solidFill>
          </a:endParaRPr>
        </a:p>
      </xdr:txBody>
    </xdr:sp>
    <xdr:clientData/>
  </xdr:twoCellAnchor>
  <xdr:twoCellAnchor>
    <xdr:from>
      <xdr:col>13</xdr:col>
      <xdr:colOff>16329</xdr:colOff>
      <xdr:row>10</xdr:row>
      <xdr:rowOff>9797</xdr:rowOff>
    </xdr:from>
    <xdr:to>
      <xdr:col>17</xdr:col>
      <xdr:colOff>23949</xdr:colOff>
      <xdr:row>16</xdr:row>
      <xdr:rowOff>134983</xdr:rowOff>
    </xdr:to>
    <xdr:sp macro="" textlink="$AD$2">
      <xdr:nvSpPr>
        <xdr:cNvPr id="5" name="Rectangle 4">
          <a:extLst>
            <a:ext uri="{FF2B5EF4-FFF2-40B4-BE49-F238E27FC236}">
              <a16:creationId xmlns:a16="http://schemas.microsoft.com/office/drawing/2014/main" id="{DCCF08AA-B27B-480E-9041-844D3F31BBFE}"/>
            </a:ext>
          </a:extLst>
        </xdr:cNvPr>
        <xdr:cNvSpPr/>
      </xdr:nvSpPr>
      <xdr:spPr>
        <a:xfrm>
          <a:off x="8200209" y="1899557"/>
          <a:ext cx="2446020" cy="1222466"/>
        </a:xfrm>
        <a:prstGeom prst="rect">
          <a:avLst/>
        </a:prstGeom>
        <a:solidFill>
          <a:schemeClr val="bg1">
            <a:lumMod val="95000"/>
          </a:schemeClr>
        </a:solidFill>
        <a:ln>
          <a:solidFill>
            <a:schemeClr val="bg1">
              <a:lumMod val="75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EF5BE971-A93B-4728-98D5-EE4BE04E8BF2}" type="TxLink">
            <a:rPr lang="en-US" sz="1200" b="0" i="0" u="none" strike="noStrike">
              <a:solidFill>
                <a:srgbClr val="808080"/>
              </a:solidFill>
              <a:latin typeface="Aptos Narrow"/>
            </a:rPr>
            <a:pPr algn="ctr"/>
            <a:t>Male Survival at Age 20</a:t>
          </a:fld>
          <a:endParaRPr lang="en-US" sz="1200">
            <a:solidFill>
              <a:schemeClr val="bg1">
                <a:lumMod val="50000"/>
              </a:schemeClr>
            </a:solidFill>
          </a:endParaRPr>
        </a:p>
      </xdr:txBody>
    </xdr:sp>
    <xdr:clientData/>
  </xdr:twoCellAnchor>
  <xdr:twoCellAnchor>
    <xdr:from>
      <xdr:col>9</xdr:col>
      <xdr:colOff>113212</xdr:colOff>
      <xdr:row>17</xdr:row>
      <xdr:rowOff>91441</xdr:rowOff>
    </xdr:from>
    <xdr:to>
      <xdr:col>18</xdr:col>
      <xdr:colOff>105592</xdr:colOff>
      <xdr:row>36</xdr:row>
      <xdr:rowOff>177438</xdr:rowOff>
    </xdr:to>
    <xdr:graphicFrame macro="">
      <xdr:nvGraphicFramePr>
        <xdr:cNvPr id="7" name="Chart 6">
          <a:extLst>
            <a:ext uri="{FF2B5EF4-FFF2-40B4-BE49-F238E27FC236}">
              <a16:creationId xmlns:a16="http://schemas.microsoft.com/office/drawing/2014/main" id="{7890C1C2-D3B1-4253-B288-9F3DB36E76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xdr:col>
      <xdr:colOff>46809</xdr:colOff>
      <xdr:row>11</xdr:row>
      <xdr:rowOff>124097</xdr:rowOff>
    </xdr:from>
    <xdr:ext cx="1744980" cy="601980"/>
    <xdr:sp macro="" textlink="$AA$3">
      <xdr:nvSpPr>
        <xdr:cNvPr id="8" name="TextBox 7">
          <a:extLst>
            <a:ext uri="{FF2B5EF4-FFF2-40B4-BE49-F238E27FC236}">
              <a16:creationId xmlns:a16="http://schemas.microsoft.com/office/drawing/2014/main" id="{E1569254-920E-4303-8197-D27CD9A92D3E}"/>
            </a:ext>
          </a:extLst>
        </xdr:cNvPr>
        <xdr:cNvSpPr txBox="1"/>
      </xdr:nvSpPr>
      <xdr:spPr>
        <a:xfrm>
          <a:off x="656409" y="2170611"/>
          <a:ext cx="1744980" cy="6019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5CCEB7D1-38E2-4F27-9AC6-6775B668F623}" type="TxLink">
            <a:rPr lang="en-US" sz="2800" b="1" i="0" u="none" strike="noStrike">
              <a:solidFill>
                <a:srgbClr val="000000"/>
              </a:solidFill>
              <a:latin typeface="Aptos Narrow"/>
            </a:rPr>
            <a:pPr algn="ctr"/>
            <a:t>58.22 yrs</a:t>
          </a:fld>
          <a:endParaRPr lang="en-US" sz="2800" b="1"/>
        </a:p>
      </xdr:txBody>
    </xdr:sp>
    <xdr:clientData/>
  </xdr:oneCellAnchor>
  <xdr:oneCellAnchor>
    <xdr:from>
      <xdr:col>5</xdr:col>
      <xdr:colOff>229689</xdr:colOff>
      <xdr:row>11</xdr:row>
      <xdr:rowOff>124097</xdr:rowOff>
    </xdr:from>
    <xdr:ext cx="1729740" cy="601980"/>
    <xdr:sp macro="" textlink="$AB$3">
      <xdr:nvSpPr>
        <xdr:cNvPr id="9" name="TextBox 8">
          <a:extLst>
            <a:ext uri="{FF2B5EF4-FFF2-40B4-BE49-F238E27FC236}">
              <a16:creationId xmlns:a16="http://schemas.microsoft.com/office/drawing/2014/main" id="{9C79EDCF-E633-41B6-8999-0F17D7684931}"/>
            </a:ext>
          </a:extLst>
        </xdr:cNvPr>
        <xdr:cNvSpPr txBox="1"/>
      </xdr:nvSpPr>
      <xdr:spPr>
        <a:xfrm>
          <a:off x="3277689" y="2170611"/>
          <a:ext cx="1729740" cy="6019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D41DFEF4-542B-4DA8-91F7-2E930010FF06}" type="TxLink">
            <a:rPr lang="en-US" sz="2800" b="1" i="0" u="none" strike="noStrike">
              <a:solidFill>
                <a:schemeClr val="tx1"/>
              </a:solidFill>
              <a:latin typeface="Aptos Narrow"/>
            </a:rPr>
            <a:pPr algn="ctr"/>
            <a:t>54.62 yrs</a:t>
          </a:fld>
          <a:endParaRPr lang="en-US" sz="2800" b="1">
            <a:solidFill>
              <a:schemeClr val="tx1"/>
            </a:solidFill>
          </a:endParaRPr>
        </a:p>
      </xdr:txBody>
    </xdr:sp>
    <xdr:clientData/>
  </xdr:oneCellAnchor>
  <xdr:oneCellAnchor>
    <xdr:from>
      <xdr:col>9</xdr:col>
      <xdr:colOff>321129</xdr:colOff>
      <xdr:row>11</xdr:row>
      <xdr:rowOff>116477</xdr:rowOff>
    </xdr:from>
    <xdr:ext cx="1455420" cy="601980"/>
    <xdr:sp macro="" textlink="$AC$3">
      <xdr:nvSpPr>
        <xdr:cNvPr id="10" name="TextBox 9">
          <a:extLst>
            <a:ext uri="{FF2B5EF4-FFF2-40B4-BE49-F238E27FC236}">
              <a16:creationId xmlns:a16="http://schemas.microsoft.com/office/drawing/2014/main" id="{7601184A-C913-4AFA-8EF2-C1DE75D49DFB}"/>
            </a:ext>
          </a:extLst>
        </xdr:cNvPr>
        <xdr:cNvSpPr txBox="1"/>
      </xdr:nvSpPr>
      <xdr:spPr>
        <a:xfrm>
          <a:off x="6066609" y="2189117"/>
          <a:ext cx="1455420" cy="6019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A6D6F558-FA9F-47F1-B524-736E5F6302E8}" type="TxLink">
            <a:rPr lang="en-US" sz="2800" b="1" i="0" u="none" strike="noStrike">
              <a:solidFill>
                <a:srgbClr val="000000"/>
              </a:solidFill>
              <a:latin typeface="Aptos Narrow"/>
            </a:rPr>
            <a:pPr algn="ctr"/>
            <a:t>100.00%</a:t>
          </a:fld>
          <a:endParaRPr lang="en-US" sz="16600" b="1"/>
        </a:p>
      </xdr:txBody>
    </xdr:sp>
    <xdr:clientData/>
  </xdr:oneCellAnchor>
  <xdr:oneCellAnchor>
    <xdr:from>
      <xdr:col>13</xdr:col>
      <xdr:colOff>511629</xdr:colOff>
      <xdr:row>11</xdr:row>
      <xdr:rowOff>131717</xdr:rowOff>
    </xdr:from>
    <xdr:ext cx="1455420" cy="601980"/>
    <xdr:sp macro="" textlink="$AD$3">
      <xdr:nvSpPr>
        <xdr:cNvPr id="11" name="TextBox 10">
          <a:extLst>
            <a:ext uri="{FF2B5EF4-FFF2-40B4-BE49-F238E27FC236}">
              <a16:creationId xmlns:a16="http://schemas.microsoft.com/office/drawing/2014/main" id="{7E2A556A-389D-40E8-B77E-17EE14884ACA}"/>
            </a:ext>
          </a:extLst>
        </xdr:cNvPr>
        <xdr:cNvSpPr txBox="1"/>
      </xdr:nvSpPr>
      <xdr:spPr>
        <a:xfrm>
          <a:off x="8695509" y="2204357"/>
          <a:ext cx="1455420" cy="6019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6383B97A-8FD4-437B-9965-F36771A60CC5}" type="TxLink">
            <a:rPr lang="en-US" sz="2800" b="1" i="0" u="none" strike="noStrike">
              <a:solidFill>
                <a:srgbClr val="000000"/>
              </a:solidFill>
              <a:latin typeface="Aptos Narrow"/>
            </a:rPr>
            <a:pPr algn="ctr"/>
            <a:t>100.00%</a:t>
          </a:fld>
          <a:endParaRPr lang="en-US" sz="16600" b="1"/>
        </a:p>
      </xdr:txBody>
    </xdr:sp>
    <xdr:clientData/>
  </xdr:oneCellAnchor>
  <xdr:twoCellAnchor>
    <xdr:from>
      <xdr:col>0</xdr:col>
      <xdr:colOff>151312</xdr:colOff>
      <xdr:row>55</xdr:row>
      <xdr:rowOff>7620</xdr:rowOff>
    </xdr:from>
    <xdr:to>
      <xdr:col>17</xdr:col>
      <xdr:colOff>585652</xdr:colOff>
      <xdr:row>76</xdr:row>
      <xdr:rowOff>68580</xdr:rowOff>
    </xdr:to>
    <xdr:graphicFrame macro="">
      <xdr:nvGraphicFramePr>
        <xdr:cNvPr id="12" name="Chart 11">
          <a:extLst>
            <a:ext uri="{FF2B5EF4-FFF2-40B4-BE49-F238E27FC236}">
              <a16:creationId xmlns:a16="http://schemas.microsoft.com/office/drawing/2014/main" id="{47B30ACA-3636-4013-AD53-CA9D811C6A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128452</xdr:colOff>
      <xdr:row>37</xdr:row>
      <xdr:rowOff>83821</xdr:rowOff>
    </xdr:from>
    <xdr:to>
      <xdr:col>9</xdr:col>
      <xdr:colOff>44632</xdr:colOff>
      <xdr:row>54</xdr:row>
      <xdr:rowOff>124098</xdr:rowOff>
    </xdr:to>
    <xdr:graphicFrame macro="">
      <xdr:nvGraphicFramePr>
        <xdr:cNvPr id="13" name="Chart 12">
          <a:extLst>
            <a:ext uri="{FF2B5EF4-FFF2-40B4-BE49-F238E27FC236}">
              <a16:creationId xmlns:a16="http://schemas.microsoft.com/office/drawing/2014/main" id="{F7331B2C-248D-40B7-BD4F-62E29B6CD1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128452</xdr:colOff>
      <xdr:row>37</xdr:row>
      <xdr:rowOff>91441</xdr:rowOff>
    </xdr:from>
    <xdr:to>
      <xdr:col>18</xdr:col>
      <xdr:colOff>105592</xdr:colOff>
      <xdr:row>54</xdr:row>
      <xdr:rowOff>139338</xdr:rowOff>
    </xdr:to>
    <xdr:graphicFrame macro="">
      <xdr:nvGraphicFramePr>
        <xdr:cNvPr id="14" name="Chart 13">
          <a:extLst>
            <a:ext uri="{FF2B5EF4-FFF2-40B4-BE49-F238E27FC236}">
              <a16:creationId xmlns:a16="http://schemas.microsoft.com/office/drawing/2014/main" id="{813D88DF-F6A0-4DE7-801F-DB85A0044C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18</xdr:col>
      <xdr:colOff>220979</xdr:colOff>
      <xdr:row>10</xdr:row>
      <xdr:rowOff>44634</xdr:rowOff>
    </xdr:from>
    <xdr:to>
      <xdr:col>21</xdr:col>
      <xdr:colOff>502920</xdr:colOff>
      <xdr:row>21</xdr:row>
      <xdr:rowOff>106679</xdr:rowOff>
    </xdr:to>
    <mc:AlternateContent xmlns:mc="http://schemas.openxmlformats.org/markup-compatibility/2006" xmlns:a14="http://schemas.microsoft.com/office/drawing/2010/main">
      <mc:Choice Requires="a14">
        <xdr:graphicFrame macro="">
          <xdr:nvGraphicFramePr>
            <xdr:cNvPr id="15" name="Year">
              <a:extLst>
                <a:ext uri="{FF2B5EF4-FFF2-40B4-BE49-F238E27FC236}">
                  <a16:creationId xmlns:a16="http://schemas.microsoft.com/office/drawing/2014/main" id="{92F4867A-2024-590D-FEEC-5E3A08898D7D}"/>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1452859" y="1934394"/>
              <a:ext cx="2110741" cy="20737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312420</xdr:colOff>
      <xdr:row>0</xdr:row>
      <xdr:rowOff>121920</xdr:rowOff>
    </xdr:from>
    <xdr:to>
      <xdr:col>12</xdr:col>
      <xdr:colOff>434340</xdr:colOff>
      <xdr:row>6</xdr:row>
      <xdr:rowOff>15240</xdr:rowOff>
    </xdr:to>
    <xdr:sp macro="" textlink="">
      <xdr:nvSpPr>
        <xdr:cNvPr id="22" name="Rectangle 21">
          <a:extLst>
            <a:ext uri="{FF2B5EF4-FFF2-40B4-BE49-F238E27FC236}">
              <a16:creationId xmlns:a16="http://schemas.microsoft.com/office/drawing/2014/main" id="{B9A8F202-2FB6-4546-97B5-0819FC563AC7}"/>
            </a:ext>
          </a:extLst>
        </xdr:cNvPr>
        <xdr:cNvSpPr/>
      </xdr:nvSpPr>
      <xdr:spPr>
        <a:xfrm>
          <a:off x="2750820" y="121920"/>
          <a:ext cx="5257800" cy="1005840"/>
        </a:xfrm>
        <a:prstGeom prst="rect">
          <a:avLst/>
        </a:prstGeom>
        <a:solidFill>
          <a:schemeClr val="bg1">
            <a:lumMod val="95000"/>
          </a:schemeClr>
        </a:solidFill>
        <a:ln>
          <a:solidFill>
            <a:schemeClr val="bg1">
              <a:lumMod val="75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i="0" u="none" strike="noStrike">
              <a:solidFill>
                <a:srgbClr val="808080"/>
              </a:solidFill>
              <a:latin typeface="Aptos Narrow"/>
            </a:rPr>
            <a:t>American</a:t>
          </a:r>
          <a:r>
            <a:rPr lang="en-US" sz="2400" b="1" i="0" u="none" strike="noStrike" baseline="0">
              <a:solidFill>
                <a:srgbClr val="808080"/>
              </a:solidFill>
              <a:latin typeface="Aptos Narrow"/>
            </a:rPr>
            <a:t> Mortality (2015-2020)</a:t>
          </a:r>
          <a:endParaRPr lang="en-US" sz="2400" b="1" i="0" u="none" strike="noStrike">
            <a:solidFill>
              <a:srgbClr val="808080"/>
            </a:solidFill>
            <a:latin typeface="Aptos Narrow"/>
          </a:endParaRPr>
        </a:p>
      </xdr:txBody>
    </xdr:sp>
    <xdr:clientData/>
  </xdr:twoCellAnchor>
  <xdr:twoCellAnchor>
    <xdr:from>
      <xdr:col>0</xdr:col>
      <xdr:colOff>251460</xdr:colOff>
      <xdr:row>17</xdr:row>
      <xdr:rowOff>121920</xdr:rowOff>
    </xdr:from>
    <xdr:to>
      <xdr:col>9</xdr:col>
      <xdr:colOff>30480</xdr:colOff>
      <xdr:row>37</xdr:row>
      <xdr:rowOff>15240</xdr:rowOff>
    </xdr:to>
    <xdr:graphicFrame macro="">
      <xdr:nvGraphicFramePr>
        <xdr:cNvPr id="16" name="Chart 15">
          <a:extLst>
            <a:ext uri="{FF2B5EF4-FFF2-40B4-BE49-F238E27FC236}">
              <a16:creationId xmlns:a16="http://schemas.microsoft.com/office/drawing/2014/main" id="{9DA9580D-A0D6-4646-9E17-43D6F054DC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137</xdr:row>
      <xdr:rowOff>14287</xdr:rowOff>
    </xdr:from>
    <xdr:to>
      <xdr:col>7</xdr:col>
      <xdr:colOff>561975</xdr:colOff>
      <xdr:row>156</xdr:row>
      <xdr:rowOff>114300</xdr:rowOff>
    </xdr:to>
    <xdr:graphicFrame macro="">
      <xdr:nvGraphicFramePr>
        <xdr:cNvPr id="3" name="Chart 2">
          <a:extLst>
            <a:ext uri="{FF2B5EF4-FFF2-40B4-BE49-F238E27FC236}">
              <a16:creationId xmlns:a16="http://schemas.microsoft.com/office/drawing/2014/main" id="{CF2AF6F1-55B1-D120-CB67-8BA49C67FE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809625</xdr:colOff>
      <xdr:row>137</xdr:row>
      <xdr:rowOff>4763</xdr:rowOff>
    </xdr:from>
    <xdr:to>
      <xdr:col>15</xdr:col>
      <xdr:colOff>561975</xdr:colOff>
      <xdr:row>156</xdr:row>
      <xdr:rowOff>114300</xdr:rowOff>
    </xdr:to>
    <xdr:graphicFrame macro="">
      <xdr:nvGraphicFramePr>
        <xdr:cNvPr id="4" name="Chart 3">
          <a:extLst>
            <a:ext uri="{FF2B5EF4-FFF2-40B4-BE49-F238E27FC236}">
              <a16:creationId xmlns:a16="http://schemas.microsoft.com/office/drawing/2014/main" id="{08248838-272B-7EBB-D7E8-F1B02AE41E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10</xdr:col>
      <xdr:colOff>316064</xdr:colOff>
      <xdr:row>0</xdr:row>
      <xdr:rowOff>99060</xdr:rowOff>
    </xdr:from>
    <xdr:to>
      <xdr:col>18</xdr:col>
      <xdr:colOff>11264</xdr:colOff>
      <xdr:row>15</xdr:row>
      <xdr:rowOff>59303</xdr:rowOff>
    </xdr:to>
    <xdr:graphicFrame macro="">
      <xdr:nvGraphicFramePr>
        <xdr:cNvPr id="3" name="Chart 2">
          <a:extLst>
            <a:ext uri="{FF2B5EF4-FFF2-40B4-BE49-F238E27FC236}">
              <a16:creationId xmlns:a16="http://schemas.microsoft.com/office/drawing/2014/main" id="{F3A4F06F-B6D4-96A5-B428-9EC366791A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335280</xdr:colOff>
      <xdr:row>21</xdr:row>
      <xdr:rowOff>125730</xdr:rowOff>
    </xdr:from>
    <xdr:to>
      <xdr:col>18</xdr:col>
      <xdr:colOff>68580</xdr:colOff>
      <xdr:row>37</xdr:row>
      <xdr:rowOff>45720</xdr:rowOff>
    </xdr:to>
    <xdr:graphicFrame macro="">
      <xdr:nvGraphicFramePr>
        <xdr:cNvPr id="5" name="Chart 4">
          <a:extLst>
            <a:ext uri="{FF2B5EF4-FFF2-40B4-BE49-F238E27FC236}">
              <a16:creationId xmlns:a16="http://schemas.microsoft.com/office/drawing/2014/main" id="{1F0FFB60-EA2E-44CE-F4EF-159960B250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358140</xdr:colOff>
      <xdr:row>38</xdr:row>
      <xdr:rowOff>64770</xdr:rowOff>
    </xdr:from>
    <xdr:to>
      <xdr:col>18</xdr:col>
      <xdr:colOff>38100</xdr:colOff>
      <xdr:row>54</xdr:row>
      <xdr:rowOff>0</xdr:rowOff>
    </xdr:to>
    <xdr:graphicFrame macro="">
      <xdr:nvGraphicFramePr>
        <xdr:cNvPr id="6" name="Chart 5">
          <a:extLst>
            <a:ext uri="{FF2B5EF4-FFF2-40B4-BE49-F238E27FC236}">
              <a16:creationId xmlns:a16="http://schemas.microsoft.com/office/drawing/2014/main" id="{CDB8C1E0-186D-7DE0-A984-644D6D9D20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14</xdr:col>
      <xdr:colOff>289560</xdr:colOff>
      <xdr:row>5</xdr:row>
      <xdr:rowOff>163830</xdr:rowOff>
    </xdr:from>
    <xdr:to>
      <xdr:col>21</xdr:col>
      <xdr:colOff>594360</xdr:colOff>
      <xdr:row>20</xdr:row>
      <xdr:rowOff>163830</xdr:rowOff>
    </xdr:to>
    <xdr:graphicFrame macro="">
      <xdr:nvGraphicFramePr>
        <xdr:cNvPr id="2" name="Chart 1">
          <a:extLst>
            <a:ext uri="{FF2B5EF4-FFF2-40B4-BE49-F238E27FC236}">
              <a16:creationId xmlns:a16="http://schemas.microsoft.com/office/drawing/2014/main" id="{81ABD4C8-AC01-FD1B-30B9-8A1DA497A1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289560</xdr:colOff>
      <xdr:row>21</xdr:row>
      <xdr:rowOff>49530</xdr:rowOff>
    </xdr:from>
    <xdr:to>
      <xdr:col>21</xdr:col>
      <xdr:colOff>594360</xdr:colOff>
      <xdr:row>36</xdr:row>
      <xdr:rowOff>49530</xdr:rowOff>
    </xdr:to>
    <xdr:graphicFrame macro="">
      <xdr:nvGraphicFramePr>
        <xdr:cNvPr id="3" name="Chart 2">
          <a:extLst>
            <a:ext uri="{FF2B5EF4-FFF2-40B4-BE49-F238E27FC236}">
              <a16:creationId xmlns:a16="http://schemas.microsoft.com/office/drawing/2014/main" id="{019CFD5C-A43C-1AA0-2913-C6E886621E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281940</xdr:colOff>
      <xdr:row>36</xdr:row>
      <xdr:rowOff>148590</xdr:rowOff>
    </xdr:from>
    <xdr:to>
      <xdr:col>21</xdr:col>
      <xdr:colOff>586740</xdr:colOff>
      <xdr:row>51</xdr:row>
      <xdr:rowOff>148590</xdr:rowOff>
    </xdr:to>
    <xdr:graphicFrame macro="">
      <xdr:nvGraphicFramePr>
        <xdr:cNvPr id="4" name="Chart 3">
          <a:extLst>
            <a:ext uri="{FF2B5EF4-FFF2-40B4-BE49-F238E27FC236}">
              <a16:creationId xmlns:a16="http://schemas.microsoft.com/office/drawing/2014/main" id="{866218C3-C5F7-9F52-EE8B-7667AE5980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91440</xdr:colOff>
      <xdr:row>67</xdr:row>
      <xdr:rowOff>3810</xdr:rowOff>
    </xdr:from>
    <xdr:to>
      <xdr:col>6</xdr:col>
      <xdr:colOff>693420</xdr:colOff>
      <xdr:row>86</xdr:row>
      <xdr:rowOff>30480</xdr:rowOff>
    </xdr:to>
    <xdr:graphicFrame macro="">
      <xdr:nvGraphicFramePr>
        <xdr:cNvPr id="3" name="Chart 2">
          <a:extLst>
            <a:ext uri="{FF2B5EF4-FFF2-40B4-BE49-F238E27FC236}">
              <a16:creationId xmlns:a16="http://schemas.microsoft.com/office/drawing/2014/main" id="{7254D142-EF56-3BC7-DD43-6601DA6E10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67</xdr:row>
      <xdr:rowOff>3810</xdr:rowOff>
    </xdr:from>
    <xdr:to>
      <xdr:col>16</xdr:col>
      <xdr:colOff>213360</xdr:colOff>
      <xdr:row>86</xdr:row>
      <xdr:rowOff>15240</xdr:rowOff>
    </xdr:to>
    <xdr:graphicFrame macro="">
      <xdr:nvGraphicFramePr>
        <xdr:cNvPr id="4" name="Chart 3">
          <a:extLst>
            <a:ext uri="{FF2B5EF4-FFF2-40B4-BE49-F238E27FC236}">
              <a16:creationId xmlns:a16="http://schemas.microsoft.com/office/drawing/2014/main" id="{ADD89790-5BDC-3DD6-3F1B-76D308825C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91440</xdr:colOff>
      <xdr:row>86</xdr:row>
      <xdr:rowOff>156210</xdr:rowOff>
    </xdr:from>
    <xdr:to>
      <xdr:col>6</xdr:col>
      <xdr:colOff>693420</xdr:colOff>
      <xdr:row>105</xdr:row>
      <xdr:rowOff>114300</xdr:rowOff>
    </xdr:to>
    <xdr:graphicFrame macro="">
      <xdr:nvGraphicFramePr>
        <xdr:cNvPr id="6" name="Chart 5">
          <a:extLst>
            <a:ext uri="{FF2B5EF4-FFF2-40B4-BE49-F238E27FC236}">
              <a16:creationId xmlns:a16="http://schemas.microsoft.com/office/drawing/2014/main" id="{17FB536A-8C16-86FF-0DFD-CB28743B4C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14</xdr:col>
      <xdr:colOff>129540</xdr:colOff>
      <xdr:row>5</xdr:row>
      <xdr:rowOff>156210</xdr:rowOff>
    </xdr:from>
    <xdr:to>
      <xdr:col>21</xdr:col>
      <xdr:colOff>556260</xdr:colOff>
      <xdr:row>20</xdr:row>
      <xdr:rowOff>152400</xdr:rowOff>
    </xdr:to>
    <xdr:graphicFrame macro="">
      <xdr:nvGraphicFramePr>
        <xdr:cNvPr id="3" name="Chart 2">
          <a:extLst>
            <a:ext uri="{FF2B5EF4-FFF2-40B4-BE49-F238E27FC236}">
              <a16:creationId xmlns:a16="http://schemas.microsoft.com/office/drawing/2014/main" id="{049951DD-8AB6-F472-43B3-087D795BD5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103542</xdr:colOff>
      <xdr:row>22</xdr:row>
      <xdr:rowOff>8963</xdr:rowOff>
    </xdr:from>
    <xdr:to>
      <xdr:col>21</xdr:col>
      <xdr:colOff>563431</xdr:colOff>
      <xdr:row>37</xdr:row>
      <xdr:rowOff>179293</xdr:rowOff>
    </xdr:to>
    <xdr:graphicFrame macro="">
      <xdr:nvGraphicFramePr>
        <xdr:cNvPr id="4" name="Chart 3">
          <a:extLst>
            <a:ext uri="{FF2B5EF4-FFF2-40B4-BE49-F238E27FC236}">
              <a16:creationId xmlns:a16="http://schemas.microsoft.com/office/drawing/2014/main" id="{2D1C727B-6048-AC33-1969-CD376DF493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91440</xdr:colOff>
      <xdr:row>38</xdr:row>
      <xdr:rowOff>80010</xdr:rowOff>
    </xdr:from>
    <xdr:to>
      <xdr:col>21</xdr:col>
      <xdr:colOff>510540</xdr:colOff>
      <xdr:row>53</xdr:row>
      <xdr:rowOff>144780</xdr:rowOff>
    </xdr:to>
    <xdr:graphicFrame macro="">
      <xdr:nvGraphicFramePr>
        <xdr:cNvPr id="6" name="Chart 5">
          <a:extLst>
            <a:ext uri="{FF2B5EF4-FFF2-40B4-BE49-F238E27FC236}">
              <a16:creationId xmlns:a16="http://schemas.microsoft.com/office/drawing/2014/main" id="{26361E3D-320B-D09D-A4F6-370D84512D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yubin Im" refreshedDate="46181.615391898151" createdVersion="8" refreshedVersion="8" minRefreshableVersion="3" recordCount="1170" xr:uid="{05146EB7-B0C9-4B56-A884-7D705516A9F5}">
  <cacheSource type="worksheet">
    <worksheetSource name="Table2"/>
  </cacheSource>
  <cacheFields count="15">
    <cacheField name="Year" numFmtId="0">
      <sharedItems containsSemiMixedTypes="0" containsString="0" containsNumber="1" containsInteger="1" minValue="2015" maxValue="2020" count="6">
        <n v="2015"/>
        <n v="2016"/>
        <n v="2017"/>
        <n v="2018"/>
        <n v="2019"/>
        <n v="2020"/>
      </sharedItems>
    </cacheField>
    <cacheField name="Single-Year Ages Code" numFmtId="0">
      <sharedItems containsSemiMixedTypes="0" containsString="0" containsNumber="1" containsInteger="1" minValue="20" maxValue="84" count="65">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sharedItems>
    </cacheField>
    <cacheField name="Sex Code" numFmtId="0">
      <sharedItems count="3">
        <s v="F"/>
        <s v="M"/>
        <s v="T"/>
      </sharedItems>
    </cacheField>
    <cacheField name="Deaths" numFmtId="0">
      <sharedItems containsSemiMixedTypes="0" containsString="0" containsNumber="1" containsInteger="1" minValue="861" maxValue="87616"/>
    </cacheField>
    <cacheField name="Population" numFmtId="0">
      <sharedItems containsSemiMixedTypes="0" containsString="0" containsNumber="1" containsInteger="1" minValue="406488" maxValue="4835107"/>
    </cacheField>
    <cacheField name="approx_qx" numFmtId="0">
      <sharedItems containsSemiMixedTypes="0" containsString="0" containsNumber="1" minValue="4.08E-4" maxValue="9.6523999999999999E-2"/>
    </cacheField>
    <cacheField name="px" numFmtId="0">
      <sharedItems containsSemiMixedTypes="0" containsString="0" containsNumber="1" minValue="0.90347599999999995" maxValue="0.99959200000000004"/>
    </cacheField>
    <cacheField name="lx" numFmtId="0">
      <sharedItems containsSemiMixedTypes="0" containsString="0" containsNumber="1" minValue="33630.244039999998" maxValue="100000"/>
    </cacheField>
    <cacheField name="dx" numFmtId="0">
      <sharedItems containsSemiMixedTypes="0" containsString="0" containsNumber="1" minValue="40.799999999999997" maxValue="3534.69"/>
    </cacheField>
    <cacheField name="Lx2" numFmtId="0">
      <sharedItems containsSemiMixedTypes="0" containsString="0" containsNumber="1" minValue="32007.181199999999" maxValue="99979.6"/>
    </cacheField>
    <cacheField name="Tx" numFmtId="0">
      <sharedItems containsSemiMixedTypes="0" containsString="0" containsNumber="1" minValue="32007.181199999999" maxValue="5844140.1909999996"/>
    </cacheField>
    <cacheField name="ex" numFmtId="0">
      <sharedItems containsSemiMixedTypes="0" containsString="0" containsNumber="1" minValue="0.95173799999999997" maxValue="58.441401910000003"/>
    </cacheField>
    <cacheField name="Cumulative Survival" numFmtId="0">
      <sharedItems containsSemiMixedTypes="0" containsString="0" containsNumber="1" minValue="0.33630243999999998" maxValue="1"/>
    </cacheField>
    <cacheField name="log_qx" numFmtId="0">
      <sharedItems containsSemiMixedTypes="0" containsString="0" containsNumber="1" minValue="-7.8042433835601122" maxValue="-2.3379635968958623"/>
    </cacheField>
    <cacheField name="cohort_mx" numFmtId="0">
      <sharedItems containsSemiMixedTypes="0" containsString="0" containsNumber="1" minValue="4.0808322867650937E-4" maxValue="0.16372190466712763"/>
    </cacheField>
  </cacheFields>
  <extLst>
    <ext xmlns:x14="http://schemas.microsoft.com/office/spreadsheetml/2009/9/main" uri="{725AE2AE-9491-48be-B2B4-4EB974FC3084}">
      <x14:pivotCacheDefinition pivotCacheId="11562486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70">
  <r>
    <x v="0"/>
    <x v="0"/>
    <x v="0"/>
    <n v="866"/>
    <n v="2123067"/>
    <n v="4.08E-4"/>
    <n v="0.99959200000000004"/>
    <n v="100000"/>
    <n v="40.799999999999997"/>
    <n v="99979.6"/>
    <n v="5835200.5470000003"/>
    <n v="58.352005470000002"/>
    <n v="1"/>
    <n v="-7.8042433835601122"/>
    <n v="4.0808322867650937E-4"/>
  </r>
  <r>
    <x v="0"/>
    <x v="1"/>
    <x v="0"/>
    <n v="993"/>
    <n v="2166784"/>
    <n v="4.5800000000000002E-4"/>
    <n v="0.99954200000000004"/>
    <n v="99959.209950000004"/>
    <n v="45.78"/>
    <n v="99936.319289999999"/>
    <n v="5735220.9469999997"/>
    <n v="57.375613010000002"/>
    <n v="0.99959209999999998"/>
    <n v="-7.6886413738500892"/>
    <n v="4.5809178084976998E-4"/>
  </r>
  <r>
    <x v="0"/>
    <x v="2"/>
    <x v="0"/>
    <n v="1021"/>
    <n v="2197776"/>
    <n v="4.6500000000000003E-4"/>
    <n v="0.99953499999999995"/>
    <n v="99913.40036"/>
    <n v="46.46"/>
    <n v="99890.170490000004"/>
    <n v="5635284.6270000003"/>
    <n v="56.401689939999997"/>
    <n v="0.99913400399999996"/>
    <n v="-7.6734731523769177"/>
    <n v="4.6511072669376964E-4"/>
  </r>
  <r>
    <x v="0"/>
    <x v="3"/>
    <x v="0"/>
    <n v="1088"/>
    <n v="2264424"/>
    <n v="4.8000000000000001E-4"/>
    <n v="0.99951999999999996"/>
    <n v="99866.984540000005"/>
    <n v="47.94"/>
    <n v="99843.016459999999"/>
    <n v="5535394.4570000004"/>
    <n v="55.427671940000003"/>
    <n v="0.998669845"/>
    <n v="-7.641724454062337"/>
    <n v="4.8015387651732669E-4"/>
  </r>
  <r>
    <x v="0"/>
    <x v="4"/>
    <x v="0"/>
    <n v="1181"/>
    <n v="2319408"/>
    <n v="5.0900000000000001E-4"/>
    <n v="0.99949100000000002"/>
    <n v="99819.000910000002"/>
    <n v="50.81"/>
    <n v="99793.596969999999"/>
    <n v="5435551.4409999996"/>
    <n v="54.454075789999997"/>
    <n v="0.99819000899999999"/>
    <n v="-7.5830625414137511"/>
    <n v="5.0915094911532376E-4"/>
  </r>
  <r>
    <x v="0"/>
    <x v="5"/>
    <x v="0"/>
    <n v="1285"/>
    <n v="2322049"/>
    <n v="5.53E-4"/>
    <n v="0.99944699999999997"/>
    <n v="99768.174910000002"/>
    <n v="55.17"/>
    <n v="99740.589009999996"/>
    <n v="5335757.8439999996"/>
    <n v="53.48156212"/>
    <n v="0.99768174899999995"/>
    <n v="-7.5001525564419396"/>
    <n v="5.5313500075986261E-4"/>
  </r>
  <r>
    <x v="0"/>
    <x v="6"/>
    <x v="0"/>
    <n v="1260"/>
    <n v="2233433"/>
    <n v="5.6400000000000005E-4"/>
    <n v="0.99943599999999999"/>
    <n v="99712.964139999996"/>
    <n v="56.24"/>
    <n v="99684.845079999999"/>
    <n v="5236017.2549999999"/>
    <n v="52.510897649999997"/>
    <n v="0.99712964100000001"/>
    <n v="-7.4804563064662153"/>
    <n v="5.6417807824360477E-4"/>
  </r>
  <r>
    <x v="0"/>
    <x v="7"/>
    <x v="0"/>
    <n v="1327"/>
    <n v="2185163"/>
    <n v="6.0700000000000001E-4"/>
    <n v="0.99939299999999998"/>
    <n v="99656.710680000004"/>
    <n v="60.49"/>
    <n v="99626.464869999996"/>
    <n v="5136332.409"/>
    <n v="51.540256290000002"/>
    <n v="0.99656710699999995"/>
    <n v="-7.4069817669047762"/>
    <n v="6.0716806995003366E-4"/>
  </r>
  <r>
    <x v="0"/>
    <x v="8"/>
    <x v="0"/>
    <n v="1386"/>
    <n v="2149931"/>
    <n v="6.4499999999999996E-4"/>
    <n v="0.99935499999999999"/>
    <n v="99596.191420000003"/>
    <n v="64.239999999999995"/>
    <n v="99564.071649999998"/>
    <n v="5036705.9450000003"/>
    <n v="50.571270579999997"/>
    <n v="0.995961914"/>
    <n v="-7.3462602411685021"/>
    <n v="6.4521255906726323E-4"/>
  </r>
  <r>
    <x v="0"/>
    <x v="9"/>
    <x v="0"/>
    <n v="1467"/>
    <n v="2161579"/>
    <n v="6.7900000000000002E-4"/>
    <n v="0.99932100000000001"/>
    <n v="99531.984549999994"/>
    <n v="67.58"/>
    <n v="99498.193440000003"/>
    <n v="4937141.8729999997"/>
    <n v="49.603571109999997"/>
    <n v="0.99531984600000001"/>
    <n v="-7.2948894304055782"/>
    <n v="6.7920819991307692E-4"/>
  </r>
  <r>
    <x v="0"/>
    <x v="10"/>
    <x v="0"/>
    <n v="1601"/>
    <n v="2185746"/>
    <n v="7.3200000000000001E-4"/>
    <n v="0.99926800000000005"/>
    <n v="99464.435129999998"/>
    <n v="72.81"/>
    <n v="99428.031149999995"/>
    <n v="4837643.68"/>
    <n v="48.636919050000003"/>
    <n v="0.99464435100000004"/>
    <n v="-7.2197300440029624"/>
    <n v="7.3228863519290955E-4"/>
  </r>
  <r>
    <x v="0"/>
    <x v="11"/>
    <x v="0"/>
    <n v="1641"/>
    <n v="2125468"/>
    <n v="7.7200000000000001E-4"/>
    <n v="0.99922800000000001"/>
    <n v="99391.580109999995"/>
    <n v="76.73"/>
    <n v="99353.214959999998"/>
    <n v="4738215.648"/>
    <n v="47.67220365"/>
    <n v="0.99391580099999999"/>
    <n v="-7.1665260079394981"/>
    <n v="7.722951142862159E-4"/>
  </r>
  <r>
    <x v="0"/>
    <x v="12"/>
    <x v="0"/>
    <n v="1848"/>
    <n v="2162451"/>
    <n v="8.5499999999999997E-4"/>
    <n v="0.99914499999999995"/>
    <n v="99314.843330000003"/>
    <n v="84.91"/>
    <n v="99272.386230000004"/>
    <n v="4638862.4330000002"/>
    <n v="46.708651779999997"/>
    <n v="0.993148433"/>
    <n v="-7.0644090890275137"/>
    <n v="8.5532327397949215E-4"/>
  </r>
  <r>
    <x v="0"/>
    <x v="13"/>
    <x v="0"/>
    <n v="1926"/>
    <n v="2166123"/>
    <n v="8.8900000000000003E-4"/>
    <n v="0.99911099999999997"/>
    <n v="99229.970270000005"/>
    <n v="88.22"/>
    <n v="99185.862550000005"/>
    <n v="4539590.0470000003"/>
    <n v="45.748175019999998"/>
    <n v="0.99229970300000003"/>
    <n v="-7.0254133224503699"/>
    <n v="8.8944133957019177E-4"/>
  </r>
  <r>
    <x v="0"/>
    <x v="14"/>
    <x v="0"/>
    <n v="1995"/>
    <n v="2146121"/>
    <n v="9.3000000000000005E-4"/>
    <n v="0.99907000000000001"/>
    <n v="99141.740319999997"/>
    <n v="92.2"/>
    <n v="99095.639410000003"/>
    <n v="4440404.1849999996"/>
    <n v="44.78844299"/>
    <n v="0.99141740300000003"/>
    <n v="-6.9803259718169723"/>
    <n v="9.3041410669992674E-4"/>
  </r>
  <r>
    <x v="0"/>
    <x v="15"/>
    <x v="0"/>
    <n v="2064"/>
    <n v="2180134"/>
    <n v="9.4700000000000003E-4"/>
    <n v="0.99905299999999997"/>
    <n v="99049.579729999998"/>
    <n v="93.8"/>
    <n v="99002.679749999996"/>
    <n v="4341308.5449999999"/>
    <n v="43.829651339999998"/>
    <n v="0.99049579700000001"/>
    <n v="-6.9622114647781954"/>
    <n v="9.4744897413514629E-4"/>
  </r>
  <r>
    <x v="0"/>
    <x v="16"/>
    <x v="0"/>
    <n v="2243"/>
    <n v="2055478"/>
    <n v="1.091E-3"/>
    <n v="0.99890900000000005"/>
    <n v="98955.80644"/>
    <n v="107.96"/>
    <n v="98901.826050000003"/>
    <n v="4242305.8650000002"/>
    <n v="42.870711870000001"/>
    <n v="0.98955806400000001"/>
    <n v="-6.820660572131203"/>
    <n v="1.0915876557174979E-3"/>
  </r>
  <r>
    <x v="0"/>
    <x v="17"/>
    <x v="0"/>
    <n v="2206"/>
    <n v="2017940"/>
    <n v="1.093E-3"/>
    <n v="0.99890699999999999"/>
    <n v="98847.82286"/>
    <n v="108.04"/>
    <n v="98793.802519999997"/>
    <n v="4143404.0389999999"/>
    <n v="41.916998470000003"/>
    <n v="0.98847822900000004"/>
    <n v="-6.8188290697877356"/>
    <n v="1.0935909715611731E-3"/>
  </r>
  <r>
    <x v="0"/>
    <x v="18"/>
    <x v="0"/>
    <n v="2387"/>
    <n v="2003325"/>
    <n v="1.1919999999999999E-3"/>
    <n v="0.99880800000000003"/>
    <n v="98739.763009999995"/>
    <n v="117.7"/>
    <n v="98680.914109999998"/>
    <n v="4044610.2370000002"/>
    <n v="40.96232474"/>
    <n v="0.98739763000000003"/>
    <n v="-6.7321227103389791"/>
    <n v="1.1927328880167948E-3"/>
  </r>
  <r>
    <x v="0"/>
    <x v="19"/>
    <x v="0"/>
    <n v="2327"/>
    <n v="1944284"/>
    <n v="1.1969999999999999E-3"/>
    <n v="0.998803"/>
    <n v="98622.112699999998"/>
    <n v="118.05"/>
    <n v="98563.087369999994"/>
    <n v="3945929.3229999999"/>
    <n v="40.01059412"/>
    <n v="0.98622112699999998"/>
    <n v="-6.7279368524063008"/>
    <n v="1.1977099520911023E-3"/>
  </r>
  <r>
    <x v="0"/>
    <x v="20"/>
    <x v="0"/>
    <n v="2602"/>
    <n v="2000626"/>
    <n v="1.3010000000000001E-3"/>
    <n v="0.998699"/>
    <n v="98504.077650000007"/>
    <n v="128.15"/>
    <n v="98440.000750000007"/>
    <n v="3847366.2349999999"/>
    <n v="39.057938790000001"/>
    <n v="0.98504077700000003"/>
    <n v="-6.6446220794517687"/>
    <n v="1.3018079330445352E-3"/>
  </r>
  <r>
    <x v="0"/>
    <x v="21"/>
    <x v="0"/>
    <n v="2833"/>
    <n v="1946164"/>
    <n v="1.456E-3"/>
    <n v="0.99854399999999999"/>
    <n v="98375.963940000001"/>
    <n v="143.24"/>
    <n v="98304.346239999999"/>
    <n v="3748926.2349999999"/>
    <n v="38.108152480000001"/>
    <n v="0.98375963899999996"/>
    <n v="-6.5320623292076432"/>
    <n v="1.4571072677381661E-3"/>
  </r>
  <r>
    <x v="0"/>
    <x v="22"/>
    <x v="0"/>
    <n v="3182"/>
    <n v="1981947"/>
    <n v="1.6050000000000001E-3"/>
    <n v="0.99839500000000003"/>
    <n v="98232.759619999997"/>
    <n v="157.66"/>
    <n v="98153.927830000001"/>
    <n v="3650621.8879999998"/>
    <n v="37.162978039999999"/>
    <n v="0.98232759599999997"/>
    <n v="-6.4346315224001582"/>
    <n v="1.6062529773456058E-3"/>
  </r>
  <r>
    <x v="0"/>
    <x v="23"/>
    <x v="0"/>
    <n v="3488"/>
    <n v="2068346"/>
    <n v="1.686E-3"/>
    <n v="0.99831400000000003"/>
    <n v="98075.047709999999"/>
    <n v="165.35"/>
    <n v="97992.370439999999"/>
    <n v="3552467.9610000001"/>
    <n v="36.221934560000001"/>
    <n v="0.98075047699999995"/>
    <n v="-6.3853964194024737"/>
    <n v="1.6873765784168253E-3"/>
  </r>
  <r>
    <x v="0"/>
    <x v="24"/>
    <x v="0"/>
    <n v="4086"/>
    <n v="2187962"/>
    <n v="1.867E-3"/>
    <n v="0.99813300000000005"/>
    <n v="97909.656730000002"/>
    <n v="182.8"/>
    <n v="97818.258069999996"/>
    <n v="3454475.59"/>
    <n v="35.282276600000003"/>
    <n v="0.97909656700000003"/>
    <n v="-6.2834224144225512"/>
    <n v="1.8687722370040788E-3"/>
  </r>
  <r>
    <x v="0"/>
    <x v="25"/>
    <x v="0"/>
    <n v="4386"/>
    <n v="2206861"/>
    <n v="1.9870000000000001E-3"/>
    <n v="0.99801300000000004"/>
    <n v="97726.811300000001"/>
    <n v="194.18"/>
    <n v="97629.719710000005"/>
    <n v="3356657.3319999999"/>
    <n v="34.347353480000002"/>
    <n v="0.97726811300000005"/>
    <n v="-6.2211293154124574"/>
    <n v="1.988943972901171E-3"/>
  </r>
  <r>
    <x v="0"/>
    <x v="26"/>
    <x v="0"/>
    <n v="4655"/>
    <n v="2095675"/>
    <n v="2.2209999999999999E-3"/>
    <n v="0.99777899999999997"/>
    <n v="97532.585290000003"/>
    <n v="216.62"/>
    <n v="97424.275349999996"/>
    <n v="3259027.6120000002"/>
    <n v="33.414756750000002"/>
    <n v="0.97532585299999996"/>
    <n v="-6.1097977340698471"/>
    <n v="2.2234707456731759E-3"/>
  </r>
  <r>
    <x v="0"/>
    <x v="27"/>
    <x v="0"/>
    <n v="4891"/>
    <n v="2054083"/>
    <n v="2.3809999999999999E-3"/>
    <n v="0.99761900000000003"/>
    <n v="97315.941879999998"/>
    <n v="231.71"/>
    <n v="97200.087249999997"/>
    <n v="3161603.3369999998"/>
    <n v="32.488030999999999"/>
    <n v="0.97315941900000003"/>
    <n v="-6.0402347114774111"/>
    <n v="2.3838457294862708E-3"/>
  </r>
  <r>
    <x v="0"/>
    <x v="28"/>
    <x v="0"/>
    <n v="5534"/>
    <n v="2062616"/>
    <n v="2.6830000000000001E-3"/>
    <n v="0.99731700000000001"/>
    <n v="97084.221799999999"/>
    <n v="260.48"/>
    <n v="96953.983319999999"/>
    <n v="3064403.25"/>
    <n v="31.564379800000001"/>
    <n v="0.97084221800000003"/>
    <n v="-5.9208197075386497"/>
    <n v="2.6866353620652772E-3"/>
  </r>
  <r>
    <x v="0"/>
    <x v="29"/>
    <x v="0"/>
    <n v="6104"/>
    <n v="2099680"/>
    <n v="2.9069999999999999E-3"/>
    <n v="0.99709300000000001"/>
    <n v="96823.744779999994"/>
    <n v="281.47000000000003"/>
    <n v="96683.011469999998"/>
    <n v="2967449.2659999998"/>
    <n v="30.64794977"/>
    <n v="0.968237448"/>
    <n v="-5.8406336574053981"/>
    <n v="2.9112665316669375E-3"/>
  </r>
  <r>
    <x v="0"/>
    <x v="30"/>
    <x v="0"/>
    <n v="7051"/>
    <n v="2227286"/>
    <n v="3.166E-3"/>
    <n v="0.996834"/>
    <n v="96542.267529999997"/>
    <n v="305.64999999999998"/>
    <n v="96389.441120000003"/>
    <n v="2870766.2549999999"/>
    <n v="29.73584864"/>
    <n v="0.96542267500000001"/>
    <n v="-5.7552863175233169"/>
    <n v="3.1709900593460518E-3"/>
  </r>
  <r>
    <x v="0"/>
    <x v="31"/>
    <x v="0"/>
    <n v="7852"/>
    <n v="2276939"/>
    <n v="3.4480000000000001E-3"/>
    <n v="0.99655199999999999"/>
    <n v="96236.640180000002"/>
    <n v="331.82"/>
    <n v="96070.728210000001"/>
    <n v="2774376.8139999998"/>
    <n v="28.82869569"/>
    <n v="0.96236640200000001"/>
    <n v="-5.66996092618069"/>
    <n v="3.4539145013775152E-3"/>
  </r>
  <r>
    <x v="0"/>
    <x v="32"/>
    <x v="0"/>
    <n v="8731"/>
    <n v="2279256"/>
    <n v="3.8310000000000002E-3"/>
    <n v="0.99616899999999997"/>
    <n v="95904.769149999993"/>
    <n v="367.41"/>
    <n v="95721.063559999995"/>
    <n v="2678306.0860000001"/>
    <n v="27.926724700000001"/>
    <n v="0.95904769199999995"/>
    <n v="-5.5646294132636251"/>
    <n v="3.8383394345832059E-3"/>
  </r>
  <r>
    <x v="0"/>
    <x v="33"/>
    <x v="0"/>
    <n v="9482"/>
    <n v="2277046"/>
    <n v="4.1640000000000002E-3"/>
    <n v="0.99583600000000005"/>
    <n v="95537.392890000003"/>
    <n v="397.82"/>
    <n v="95338.484039999996"/>
    <n v="2582585.0219999999"/>
    <n v="27.032190679999999"/>
    <n v="0.95537392899999996"/>
    <n v="-5.4812791282294144"/>
    <n v="4.1727119675219141E-3"/>
  </r>
  <r>
    <x v="0"/>
    <x v="34"/>
    <x v="0"/>
    <n v="10261"/>
    <n v="2309943"/>
    <n v="4.4419999999999998E-3"/>
    <n v="0.99555800000000005"/>
    <n v="95139.559219999996"/>
    <n v="422.61"/>
    <n v="94928.254260000002"/>
    <n v="2487246.5380000002"/>
    <n v="26.143137079999999"/>
    <n v="0.95139559200000001"/>
    <n v="-5.4166505535099017"/>
    <n v="4.4518886886044983E-3"/>
  </r>
  <r>
    <x v="0"/>
    <x v="35"/>
    <x v="0"/>
    <n v="10922"/>
    <n v="2324887"/>
    <n v="4.6979999999999999E-3"/>
    <n v="0.99530200000000002"/>
    <n v="94716.939700000003"/>
    <n v="444.98"/>
    <n v="94494.449609999996"/>
    <n v="2392318.284"/>
    <n v="25.257554679999998"/>
    <n v="0.94716939700000002"/>
    <n v="-5.3606183927454163"/>
    <n v="4.7090593283647111E-3"/>
  </r>
  <r>
    <x v="0"/>
    <x v="36"/>
    <x v="0"/>
    <n v="11834"/>
    <n v="2255835"/>
    <n v="5.2459999999999998E-3"/>
    <n v="0.99475400000000003"/>
    <n v="94271.972510000007"/>
    <n v="494.55"/>
    <n v="94024.69713"/>
    <n v="2297823.8339999998"/>
    <n v="24.37441132"/>
    <n v="0.94271972500000001"/>
    <n v="-5.2502893975374549"/>
    <n v="5.2597881511111475E-3"/>
  </r>
  <r>
    <x v="0"/>
    <x v="37"/>
    <x v="0"/>
    <n v="12584"/>
    <n v="2246694"/>
    <n v="5.6010000000000001E-3"/>
    <n v="0.99439900000000003"/>
    <n v="93777.426359999998"/>
    <n v="525.25"/>
    <n v="93514.802679999993"/>
    <n v="2203799.1370000001"/>
    <n v="23.500315830000002"/>
    <n v="0.93777426399999997"/>
    <n v="-5.1848101257544421"/>
    <n v="5.6167581629914714E-3"/>
  </r>
  <r>
    <x v="0"/>
    <x v="38"/>
    <x v="0"/>
    <n v="13361"/>
    <n v="2228294"/>
    <n v="5.9959999999999996E-3"/>
    <n v="0.994004"/>
    <n v="93252.167849999998"/>
    <n v="559.14"/>
    <n v="92972.597850000006"/>
    <n v="2110284.3339999998"/>
    <n v="22.629868909999999"/>
    <n v="0.93252167900000005"/>
    <n v="-5.116662698741786"/>
    <n v="6.0140302808993143E-3"/>
  </r>
  <r>
    <x v="0"/>
    <x v="39"/>
    <x v="0"/>
    <n v="13716"/>
    <n v="2154665"/>
    <n v="6.3660000000000001E-3"/>
    <n v="0.99363400000000002"/>
    <n v="92693.021609999996"/>
    <n v="590.08000000000004"/>
    <n v="92397.979720000003"/>
    <n v="2017311.737"/>
    <n v="21.763361490000001"/>
    <n v="0.92693021600000003"/>
    <n v="-5.0567839501222362"/>
    <n v="6.3862859306280774E-3"/>
  </r>
  <r>
    <x v="0"/>
    <x v="40"/>
    <x v="0"/>
    <n v="14201"/>
    <n v="2138784"/>
    <n v="6.6400000000000001E-3"/>
    <n v="0.99336000000000002"/>
    <n v="92102.963539999997"/>
    <n v="611.55999999999995"/>
    <n v="91797.181700000001"/>
    <n v="1924913.757"/>
    <n v="20.89958545"/>
    <n v="0.92102963500000001"/>
    <n v="-5.0146433154937942"/>
    <n v="6.6620773455105357E-3"/>
  </r>
  <r>
    <x v="0"/>
    <x v="41"/>
    <x v="0"/>
    <n v="14911"/>
    <n v="2060944"/>
    <n v="7.2350000000000001E-3"/>
    <n v="0.99276500000000001"/>
    <n v="91491.422500000001"/>
    <n v="661.94"/>
    <n v="91160.452279999998"/>
    <n v="1833116.575"/>
    <n v="20.035939160000002"/>
    <n v="0.91491422499999997"/>
    <n v="-4.9288249188986901"/>
    <n v="7.2612629135978468E-3"/>
  </r>
  <r>
    <x v="0"/>
    <x v="42"/>
    <x v="0"/>
    <n v="15645"/>
    <n v="1986021"/>
    <n v="7.8779999999999996E-3"/>
    <n v="0.99212199999999995"/>
    <n v="90829.478940000001"/>
    <n v="715.55"/>
    <n v="90471.701620000007"/>
    <n v="1741956.1229999999"/>
    <n v="19.17831241"/>
    <n v="0.90829478900000005"/>
    <n v="-4.8436812144334231"/>
    <n v="7.9091011797386354E-3"/>
  </r>
  <r>
    <x v="0"/>
    <x v="43"/>
    <x v="0"/>
    <n v="16212"/>
    <n v="1909879"/>
    <n v="8.4880000000000008E-3"/>
    <n v="0.99151199999999995"/>
    <n v="90113.964250000005"/>
    <n v="764.89"/>
    <n v="89731.52059"/>
    <n v="1651484.4210000001"/>
    <n v="18.326620460000001"/>
    <n v="0.90113964300000005"/>
    <n v="-4.7691018776704546"/>
    <n v="8.5242084993562561E-3"/>
  </r>
  <r>
    <x v="0"/>
    <x v="44"/>
    <x v="0"/>
    <n v="16773"/>
    <n v="1857069"/>
    <n v="9.0320000000000001E-3"/>
    <n v="0.99096799999999996"/>
    <n v="89349.03224"/>
    <n v="807"/>
    <n v="88945.532009999995"/>
    <n v="1561752.9010000001"/>
    <n v="17.479236889999999"/>
    <n v="0.893490322"/>
    <n v="-4.7069814521347766"/>
    <n v="9.0729682701931724E-3"/>
  </r>
  <r>
    <x v="0"/>
    <x v="45"/>
    <x v="0"/>
    <n v="17507"/>
    <n v="1812107"/>
    <n v="9.6609999999999994E-3"/>
    <n v="0.99033899999999997"/>
    <n v="88542.034050000002"/>
    <n v="855.4"/>
    <n v="88114.331749999998"/>
    <n v="1472807.3689999999"/>
    <n v="16.633990669999999"/>
    <n v="0.885420341"/>
    <n v="-4.639658116446765"/>
    <n v="9.7078425097438231E-3"/>
  </r>
  <r>
    <x v="0"/>
    <x v="46"/>
    <x v="0"/>
    <n v="18684"/>
    <n v="1760795"/>
    <n v="1.0611000000000001E-2"/>
    <n v="0.98938899999999996"/>
    <n v="87686.618019999994"/>
    <n v="930.44"/>
    <n v="87221.396670000002"/>
    <n v="1384693.037"/>
    <n v="15.791383769999999"/>
    <n v="0.87686618000000005"/>
    <n v="-4.5458640800906833"/>
    <n v="1.0667566558446787E-2"/>
  </r>
  <r>
    <x v="0"/>
    <x v="47"/>
    <x v="0"/>
    <n v="20246"/>
    <n v="1741227"/>
    <n v="1.1627E-2"/>
    <n v="0.98837299999999995"/>
    <n v="86756.165139999997"/>
    <n v="1008.71"/>
    <n v="86251.808170000004"/>
    <n v="1297471.6399999999"/>
    <n v="14.955382569999999"/>
    <n v="0.86756165100000004"/>
    <n v="-4.4544252992956661"/>
    <n v="1.1694945774655428E-2"/>
  </r>
  <r>
    <x v="0"/>
    <x v="48"/>
    <x v="0"/>
    <n v="22174"/>
    <n v="1812428"/>
    <n v="1.2234E-2"/>
    <n v="0.98776600000000003"/>
    <n v="85747.413660000006"/>
    <n v="1049.03"/>
    <n v="85222.896729999993"/>
    <n v="1211219.8319999999"/>
    <n v="14.12543866"/>
    <n v="0.85747413699999997"/>
    <n v="-4.4035363181617635"/>
    <n v="1.2309253268085298E-2"/>
  </r>
  <r>
    <x v="0"/>
    <x v="49"/>
    <x v="0"/>
    <n v="19241"/>
    <n v="1344721"/>
    <n v="1.4309000000000001E-2"/>
    <n v="0.98569099999999998"/>
    <n v="84698.344039999996"/>
    <n v="1211.95"/>
    <n v="84092.369739999995"/>
    <n v="1125996.9350000001"/>
    <n v="13.294202479999999"/>
    <n v="0.84698344000000003"/>
    <n v="-4.2468665690575387"/>
    <n v="1.4412124734565166E-2"/>
  </r>
  <r>
    <x v="0"/>
    <x v="50"/>
    <x v="0"/>
    <n v="20339"/>
    <n v="1329818"/>
    <n v="1.5295E-2"/>
    <n v="0.98470500000000005"/>
    <n v="83486.434030000004"/>
    <n v="1276.93"/>
    <n v="82847.971529999995"/>
    <n v="1041904.566"/>
    <n v="12.479926559999999"/>
    <n v="0.83486433999999998"/>
    <n v="-4.1802293013792706"/>
    <n v="1.5412926865082048E-2"/>
  </r>
  <r>
    <x v="0"/>
    <x v="51"/>
    <x v="0"/>
    <n v="22047"/>
    <n v="1298089"/>
    <n v="1.6983999999999999E-2"/>
    <n v="0.983016"/>
    <n v="82209.544569999998"/>
    <n v="1396.25"/>
    <n v="81511.421119999999"/>
    <n v="959056.59400000004"/>
    <n v="11.66600057"/>
    <n v="0.82209544599999995"/>
    <n v="-4.0754835545811821"/>
    <n v="1.7129503079525807E-2"/>
  </r>
  <r>
    <x v="0"/>
    <x v="52"/>
    <x v="0"/>
    <n v="24821"/>
    <n v="1328954"/>
    <n v="1.8676999999999999E-2"/>
    <n v="0.98132299999999995"/>
    <n v="80813.281430000003"/>
    <n v="1509.35"/>
    <n v="80058.606599999999"/>
    <n v="877545.17290000001"/>
    <n v="10.858922659999999"/>
    <n v="0.80813281400000003"/>
    <n v="-3.9804624586506669"/>
    <n v="1.885306447866034E-2"/>
  </r>
  <r>
    <x v="0"/>
    <x v="53"/>
    <x v="0"/>
    <n v="23855"/>
    <n v="1162411"/>
    <n v="2.0521999999999999E-2"/>
    <n v="0.97947799999999996"/>
    <n v="79303.924100000004"/>
    <n v="1627.48"/>
    <n v="78490.186530000006"/>
    <n v="797486.56629999995"/>
    <n v="10.05607951"/>
    <n v="0.79303924100000001"/>
    <n v="-3.8862577975421195"/>
    <n v="2.0734821420140496E-2"/>
  </r>
  <r>
    <x v="0"/>
    <x v="54"/>
    <x v="0"/>
    <n v="23755"/>
    <n v="1067619"/>
    <n v="2.2249999999999999E-2"/>
    <n v="0.97775000000000001"/>
    <n v="77676.448869999993"/>
    <n v="1728.3"/>
    <n v="76812.298379999993"/>
    <n v="718996.37970000005"/>
    <n v="9.2562982760000008"/>
    <n v="0.77676448899999995"/>
    <n v="-3.805413270369888"/>
    <n v="2.2500308247095223E-2"/>
  </r>
  <r>
    <x v="0"/>
    <x v="55"/>
    <x v="0"/>
    <n v="24903"/>
    <n v="1010164"/>
    <n v="2.4652E-2"/>
    <n v="0.97534799999999999"/>
    <n v="75948.113159999994"/>
    <n v="1872.27"/>
    <n v="75011.976720000006"/>
    <n v="642184.08140000002"/>
    <n v="8.4555633399999994"/>
    <n v="0.759481132"/>
    <n v="-3.7028972458821405"/>
    <n v="2.4959619676138453E-2"/>
  </r>
  <r>
    <x v="0"/>
    <x v="56"/>
    <x v="0"/>
    <n v="25854"/>
    <n v="947283"/>
    <n v="2.7293000000000001E-2"/>
    <n v="0.97270699999999999"/>
    <n v="74075.807419999997"/>
    <n v="2021.75"/>
    <n v="73064.931909999999"/>
    <n v="567172.10470000003"/>
    <n v="7.6566442459999999"/>
    <n v="0.74075807400000004"/>
    <n v="-3.6011250199263634"/>
    <n v="2.7670590201905654E-2"/>
  </r>
  <r>
    <x v="0"/>
    <x v="57"/>
    <x v="0"/>
    <n v="27548"/>
    <n v="910536"/>
    <n v="3.0255000000000001E-2"/>
    <n v="0.96974499999999997"/>
    <n v="72054.071649999998"/>
    <n v="2180"/>
    <n v="70964.073680000001"/>
    <n v="494107.1727"/>
    <n v="6.85744971"/>
    <n v="0.720540717"/>
    <n v="-3.4980938189078521"/>
    <n v="3.0719765127024734E-2"/>
  </r>
  <r>
    <x v="0"/>
    <x v="58"/>
    <x v="0"/>
    <n v="28172"/>
    <n v="840960"/>
    <n v="3.3500000000000002E-2"/>
    <n v="0.96650000000000003"/>
    <n v="69874.096810000003"/>
    <n v="2340.7800000000002"/>
    <n v="68703.705690000003"/>
    <n v="423143.09909999999"/>
    <n v="6.0557934680000001"/>
    <n v="0.69874096799999996"/>
    <n v="-3.396209840151116"/>
    <n v="3.4070648010784819E-2"/>
  </r>
  <r>
    <x v="0"/>
    <x v="59"/>
    <x v="0"/>
    <n v="30209"/>
    <n v="803984"/>
    <n v="3.7574000000000003E-2"/>
    <n v="0.962426"/>
    <n v="67533.327860000005"/>
    <n v="2537.5"/>
    <n v="66264.579230000003"/>
    <n v="354439.3934"/>
    <n v="5.2483626169999997"/>
    <n v="0.67533327899999995"/>
    <n v="-3.2814429571370298"/>
    <n v="3.8293462337671232E-2"/>
  </r>
  <r>
    <x v="0"/>
    <x v="60"/>
    <x v="0"/>
    <n v="32182"/>
    <n v="772956"/>
    <n v="4.1634999999999998E-2"/>
    <n v="0.95836500000000002"/>
    <n v="64995.821770000002"/>
    <n v="2706.1"/>
    <n v="63642.771249999998"/>
    <n v="288174.81410000002"/>
    <n v="4.4337436820000002"/>
    <n v="0.64995821799999998"/>
    <n v="-3.1788141192943544"/>
    <n v="4.2520146524189228E-2"/>
  </r>
  <r>
    <x v="0"/>
    <x v="61"/>
    <x v="0"/>
    <n v="32253"/>
    <n v="693056"/>
    <n v="4.6537000000000002E-2"/>
    <n v="0.95346299999999995"/>
    <n v="62289.722670000003"/>
    <n v="2898.78"/>
    <n v="60840.334260000003"/>
    <n v="224532.0429"/>
    <n v="3.6046402720000001"/>
    <n v="0.62289722700000005"/>
    <n v="-3.0675075838646562"/>
    <n v="4.7645703742253756E-2"/>
  </r>
  <r>
    <x v="0"/>
    <x v="62"/>
    <x v="0"/>
    <n v="35303"/>
    <n v="671319"/>
    <n v="5.2588000000000003E-2"/>
    <n v="0.94741200000000003"/>
    <n v="59390.923110000003"/>
    <n v="3123.25"/>
    <n v="57829.298179999998"/>
    <n v="163691.70860000001"/>
    <n v="2.7561738400000002"/>
    <n v="0.59390923100000004"/>
    <n v="-2.945267322147779"/>
    <n v="5.4008077660271006E-2"/>
  </r>
  <r>
    <x v="0"/>
    <x v="63"/>
    <x v="0"/>
    <n v="37496"/>
    <n v="640387"/>
    <n v="5.8552E-2"/>
    <n v="0.94144799999999995"/>
    <n v="56267.701869999997"/>
    <n v="3294.59"/>
    <n v="54620.408629999998"/>
    <n v="105862.4105"/>
    <n v="1.8814063299999999"/>
    <n v="0.562677019"/>
    <n v="-2.837840030683211"/>
    <n v="6.0317933213575141E-2"/>
  </r>
  <r>
    <x v="0"/>
    <x v="64"/>
    <x v="0"/>
    <n v="39800"/>
    <n v="608958"/>
    <n v="6.5357999999999999E-2"/>
    <n v="0.93464199999999997"/>
    <n v="52973.110090000002"/>
    <n v="3462.22"/>
    <n v="51242.001830000001"/>
    <n v="51242.001830000001"/>
    <n v="0.96732099999999999"/>
    <n v="0.52973110099999998"/>
    <n v="-2.7278754286537734"/>
    <n v="4.526573327773805E-2"/>
  </r>
  <r>
    <x v="0"/>
    <x v="0"/>
    <x v="1"/>
    <n v="2500"/>
    <n v="2240373"/>
    <n v="1.116E-3"/>
    <n v="0.99888399999999999"/>
    <n v="100000"/>
    <n v="111.6"/>
    <n v="99944.2"/>
    <n v="5501048.7180000003"/>
    <n v="55.010487179999998"/>
    <n v="1"/>
    <n v="-6.7980044150230174"/>
    <n v="1.1166230117697312E-3"/>
  </r>
  <r>
    <x v="0"/>
    <x v="1"/>
    <x v="1"/>
    <n v="2851"/>
    <n v="2290006"/>
    <n v="1.245E-3"/>
    <n v="0.99875499999999995"/>
    <n v="99888.411439999996"/>
    <n v="124.36"/>
    <n v="99826.230899999995"/>
    <n v="5401104.5180000002"/>
    <n v="54.071382659999998"/>
    <n v="0.99888411399999999"/>
    <n v="-6.6886197490654657"/>
    <n v="1.2457647385399307E-3"/>
  </r>
  <r>
    <x v="0"/>
    <x v="2"/>
    <x v="1"/>
    <n v="3134"/>
    <n v="2331696"/>
    <n v="1.3439999999999999E-3"/>
    <n v="0.99865599999999999"/>
    <n v="99764.05287"/>
    <n v="134.08000000000001"/>
    <n v="99697.011429999999"/>
    <n v="5301278.2869999995"/>
    <n v="53.138160839999998"/>
    <n v="0.997640529"/>
    <n v="-6.6121050368811796"/>
    <n v="1.3448748749141678E-3"/>
  </r>
  <r>
    <x v="0"/>
    <x v="3"/>
    <x v="1"/>
    <n v="3251"/>
    <n v="2387842"/>
    <n v="1.361E-3"/>
    <n v="0.99863900000000005"/>
    <n v="99629.9614"/>
    <n v="135.6"/>
    <n v="99562.163209999999"/>
    <n v="5201581.2759999996"/>
    <n v="52.20900623"/>
    <n v="0.996299614"/>
    <n v="-6.5995355553128077"/>
    <n v="1.3619635031328564E-3"/>
  </r>
  <r>
    <x v="0"/>
    <x v="4"/>
    <x v="1"/>
    <n v="3423"/>
    <n v="2417937"/>
    <n v="1.4159999999999999E-3"/>
    <n v="0.99858400000000003"/>
    <n v="99494.317169999995"/>
    <n v="140.88"/>
    <n v="99423.875190000006"/>
    <n v="5102019.1119999997"/>
    <n v="51.279502770000001"/>
    <n v="0.99494317200000004"/>
    <n v="-6.5599192837106095"/>
    <n v="1.4169632439188886E-3"/>
  </r>
  <r>
    <x v="0"/>
    <x v="5"/>
    <x v="1"/>
    <n v="3471"/>
    <n v="2407515"/>
    <n v="1.4419999999999999E-3"/>
    <n v="0.99855799999999995"/>
    <n v="99353.466079999998"/>
    <n v="143.27000000000001"/>
    <n v="99281.83223"/>
    <n v="5002595.2369999997"/>
    <n v="50.351491850000002"/>
    <n v="0.99353466099999999"/>
    <n v="-6.5417242401193798"/>
    <n v="1.443063426813498E-3"/>
  </r>
  <r>
    <x v="0"/>
    <x v="6"/>
    <x v="1"/>
    <n v="3296"/>
    <n v="2310983"/>
    <n v="1.426E-3"/>
    <n v="0.99857399999999996"/>
    <n v="99210.224660000007"/>
    <n v="141.47"/>
    <n v="99139.487770000007"/>
    <n v="4903313.4050000003"/>
    <n v="49.423468419999999"/>
    <n v="0.99210224700000005"/>
    <n v="-6.5528819569900332"/>
    <n v="1.426979497987254E-3"/>
  </r>
  <r>
    <x v="0"/>
    <x v="7"/>
    <x v="1"/>
    <n v="3412"/>
    <n v="2254603"/>
    <n v="1.513E-3"/>
    <n v="0.99848700000000001"/>
    <n v="99068.727769999998"/>
    <n v="149.88999999999999"/>
    <n v="98993.782279999999"/>
    <n v="4804173.9170000004"/>
    <n v="48.493344219999997"/>
    <n v="0.990687278"/>
    <n v="-6.4936608441759178"/>
    <n v="1.514135763775506E-3"/>
  </r>
  <r>
    <x v="0"/>
    <x v="8"/>
    <x v="1"/>
    <n v="3364"/>
    <n v="2214738"/>
    <n v="1.519E-3"/>
    <n v="0.99848099999999995"/>
    <n v="98918.802259999997"/>
    <n v="150.26"/>
    <n v="98843.673429999995"/>
    <n v="4705180.1349999998"/>
    <n v="47.566084779999997"/>
    <n v="0.98918802299999997"/>
    <n v="-6.4897030553685013"/>
    <n v="1.5201781604370233E-3"/>
  </r>
  <r>
    <x v="0"/>
    <x v="9"/>
    <x v="1"/>
    <n v="3630"/>
    <n v="2221560"/>
    <n v="1.634E-3"/>
    <n v="0.99836599999999998"/>
    <n v="98768.552960000001"/>
    <n v="161.38999999999999"/>
    <n v="98687.859049999999"/>
    <n v="4606336.4620000003"/>
    <n v="46.637682980000001"/>
    <n v="0.98768553000000003"/>
    <n v="-6.416724282544326"/>
    <n v="1.6353581939945222E-3"/>
  </r>
  <r>
    <x v="0"/>
    <x v="10"/>
    <x v="1"/>
    <n v="3506"/>
    <n v="2231463"/>
    <n v="1.5709999999999999E-3"/>
    <n v="0.99842900000000001"/>
    <n v="98607.166429999997"/>
    <n v="154.91"/>
    <n v="98529.710500000001"/>
    <n v="4507648.6030000001"/>
    <n v="45.71319475"/>
    <n v="0.98607166400000001"/>
    <n v="-6.4560429197086533"/>
    <n v="1.5722162596620588E-3"/>
  </r>
  <r>
    <x v="0"/>
    <x v="11"/>
    <x v="1"/>
    <n v="3575"/>
    <n v="2152765"/>
    <n v="1.6609999999999999E-3"/>
    <n v="0.99833899999999998"/>
    <n v="98452.238150000005"/>
    <n v="163.53"/>
    <n v="98370.473570000002"/>
    <n v="4409118.892"/>
    <n v="44.784343909999997"/>
    <n v="0.98452238199999997"/>
    <n v="-6.4003354483509796"/>
    <n v="1.6623887823033734E-3"/>
  </r>
  <r>
    <x v="0"/>
    <x v="12"/>
    <x v="1"/>
    <n v="3738"/>
    <n v="2181163"/>
    <n v="1.714E-3"/>
    <n v="0.99828600000000001"/>
    <n v="98288.74295"/>
    <n v="168.47"/>
    <n v="98204.5095"/>
    <n v="4310748.4179999996"/>
    <n v="43.858007430000001"/>
    <n v="0.98288743000000001"/>
    <n v="-6.3689254588065491"/>
    <n v="1.7155014674781865E-3"/>
  </r>
  <r>
    <x v="0"/>
    <x v="13"/>
    <x v="1"/>
    <n v="3832"/>
    <n v="2175631"/>
    <n v="1.761E-3"/>
    <n v="0.99823899999999999"/>
    <n v="98120.299180000002"/>
    <n v="172.79"/>
    <n v="98033.904259999996"/>
    <n v="4212543.909"/>
    <n v="42.932440530000001"/>
    <n v="0.98120299200000005"/>
    <n v="-6.3418734494680677"/>
    <n v="1.7625537785259664E-3"/>
  </r>
  <r>
    <x v="0"/>
    <x v="14"/>
    <x v="1"/>
    <n v="3957"/>
    <n v="2148717"/>
    <n v="1.8420000000000001E-3"/>
    <n v="0.99815799999999999"/>
    <n v="97947.477140000003"/>
    <n v="180.42"/>
    <n v="97857.267510000005"/>
    <n v="4114510.0049999999"/>
    <n v="42.007309679999999"/>
    <n v="0.97947477100000002"/>
    <n v="-6.2969033411490223"/>
    <n v="1.8437052783888048E-3"/>
  </r>
  <r>
    <x v="0"/>
    <x v="15"/>
    <x v="1"/>
    <n v="4026"/>
    <n v="2199270"/>
    <n v="1.8309999999999999E-3"/>
    <n v="0.99816899999999997"/>
    <n v="97767.100579999998"/>
    <n v="179.01"/>
    <n v="97677.594800000006"/>
    <n v="4016652.7370000002"/>
    <n v="41.083889300000003"/>
    <n v="0.97767100600000001"/>
    <n v="-6.3028930132897631"/>
    <n v="1.8326614736752949E-3"/>
  </r>
  <r>
    <x v="0"/>
    <x v="16"/>
    <x v="1"/>
    <n v="3949"/>
    <n v="2053297"/>
    <n v="1.923E-3"/>
    <n v="0.99807699999999999"/>
    <n v="97588.127399999998"/>
    <n v="187.66"/>
    <n v="97494.296419999999"/>
    <n v="3918975.142"/>
    <n v="40.158318909999998"/>
    <n v="0.97588127400000002"/>
    <n v="-6.2538688123754946"/>
    <n v="1.92483078723416E-3"/>
  </r>
  <r>
    <x v="0"/>
    <x v="17"/>
    <x v="1"/>
    <n v="4015"/>
    <n v="2010463"/>
    <n v="1.9970000000000001E-3"/>
    <n v="0.99800299999999997"/>
    <n v="97400.441200000001"/>
    <n v="194.51"/>
    <n v="97303.186860000002"/>
    <n v="3821480.8459999999"/>
    <n v="39.234738559999997"/>
    <n v="0.97400441199999999"/>
    <n v="-6.2161092245484593"/>
    <n v="1.9990096047658836E-3"/>
  </r>
  <r>
    <x v="0"/>
    <x v="18"/>
    <x v="1"/>
    <n v="4058"/>
    <n v="1983816"/>
    <n v="2.0460000000000001E-3"/>
    <n v="0.99795400000000001"/>
    <n v="97205.927410000004"/>
    <n v="198.88"/>
    <n v="97106.485750000007"/>
    <n v="3724177.659"/>
    <n v="38.312248629999999"/>
    <n v="0.97205927400000003"/>
    <n v="-6.1918686114527022"/>
    <n v="2.0480604763819799E-3"/>
  </r>
  <r>
    <x v="0"/>
    <x v="19"/>
    <x v="1"/>
    <n v="4142"/>
    <n v="1926578"/>
    <n v="2.15E-3"/>
    <n v="0.99785000000000001"/>
    <n v="97007.087580000007"/>
    <n v="208.57"/>
    <n v="96902.804959999994"/>
    <n v="3627071.173"/>
    <n v="37.389754340000003"/>
    <n v="0.97007087599999997"/>
    <n v="-6.1422874368425653"/>
    <n v="2.1523627965063762E-3"/>
  </r>
  <r>
    <x v="0"/>
    <x v="20"/>
    <x v="1"/>
    <n v="4282"/>
    <n v="1989213"/>
    <n v="2.153E-3"/>
    <n v="0.99784700000000004"/>
    <n v="96798.529519999996"/>
    <n v="208.41"/>
    <n v="96694.325899999996"/>
    <n v="3530168.3679999998"/>
    <n v="36.469235490000003"/>
    <n v="0.96798529499999997"/>
    <n v="-6.140893060599911"/>
    <n v="2.1553483865571804E-3"/>
  </r>
  <r>
    <x v="0"/>
    <x v="21"/>
    <x v="1"/>
    <n v="4547"/>
    <n v="1919064"/>
    <n v="2.369E-3"/>
    <n v="0.99763100000000005"/>
    <n v="96590.160029999999"/>
    <n v="228.82"/>
    <n v="96475.748989999993"/>
    <n v="3433474.0430000001"/>
    <n v="35.546830460000002"/>
    <n v="0.96590160000000003"/>
    <n v="-6.045287353805489"/>
    <n v="2.3717882101553529E-3"/>
  </r>
  <r>
    <x v="0"/>
    <x v="22"/>
    <x v="1"/>
    <n v="4933"/>
    <n v="1942311"/>
    <n v="2.5400000000000002E-3"/>
    <n v="0.99746000000000001"/>
    <n v="96361.300829999993"/>
    <n v="244.76"/>
    <n v="96238.921979999999"/>
    <n v="3336998.2940000002"/>
    <n v="34.630066890000002"/>
    <n v="0.96361300800000005"/>
    <n v="-5.975591197951692"/>
    <n v="2.5432534500879605E-3"/>
  </r>
  <r>
    <x v="0"/>
    <x v="23"/>
    <x v="1"/>
    <n v="5401"/>
    <n v="2032362"/>
    <n v="2.6570000000000001E-3"/>
    <n v="0.99734299999999998"/>
    <n v="96116.566439999995"/>
    <n v="255.38"/>
    <n v="95988.875580000007"/>
    <n v="3240759.372"/>
    <n v="33.716969839999997"/>
    <n v="0.96116566400000003"/>
    <n v="-5.9305576122044608"/>
    <n v="2.6605172969899351E-3"/>
  </r>
  <r>
    <x v="0"/>
    <x v="24"/>
    <x v="1"/>
    <n v="6317"/>
    <n v="2147203"/>
    <n v="2.9420000000000002E-3"/>
    <n v="0.997058"/>
    <n v="95861.136759999994"/>
    <n v="282.02"/>
    <n v="95720.125029999996"/>
    <n v="3144770.4959999998"/>
    <n v="32.805478870000002"/>
    <n v="0.95861136800000002"/>
    <n v="-5.8286656568028912"/>
    <n v="2.9462978160729424E-3"/>
  </r>
  <r>
    <x v="0"/>
    <x v="25"/>
    <x v="1"/>
    <n v="6635"/>
    <n v="2182484"/>
    <n v="3.0400000000000002E-3"/>
    <n v="0.99695999999999996"/>
    <n v="95579.116469999994"/>
    <n v="290.56"/>
    <n v="95433.836209999994"/>
    <n v="3049050.3709999998"/>
    <n v="31.900800969999999"/>
    <n v="0.95579116500000005"/>
    <n v="-5.7958977635640068"/>
    <n v="3.0446226213035835E-3"/>
  </r>
  <r>
    <x v="0"/>
    <x v="26"/>
    <x v="1"/>
    <n v="7135"/>
    <n v="2064898"/>
    <n v="3.4550000000000002E-3"/>
    <n v="0.99654500000000001"/>
    <n v="95288.545069999993"/>
    <n v="329.22"/>
    <n v="95123.934110000002"/>
    <n v="2953616.5350000001"/>
    <n v="30.996554020000001"/>
    <n v="0.95288545099999999"/>
    <n v="-5.6679328217625038"/>
    <n v="3.4609592756004383E-3"/>
  </r>
  <r>
    <x v="0"/>
    <x v="27"/>
    <x v="1"/>
    <n v="7407"/>
    <n v="2019602"/>
    <n v="3.6679999999999998E-3"/>
    <n v="0.996332"/>
    <n v="94959.287270000001"/>
    <n v="348.31"/>
    <n v="94785.131940000007"/>
    <n v="2858492.6009999998"/>
    <n v="30.102296290000002"/>
    <n v="0.94959287299999995"/>
    <n v="-5.6081087245879191"/>
    <n v="3.6747316284073189E-3"/>
  </r>
  <r>
    <x v="0"/>
    <x v="28"/>
    <x v="1"/>
    <n v="8202"/>
    <n v="2015073"/>
    <n v="4.0699999999999998E-3"/>
    <n v="0.99592999999999998"/>
    <n v="94611.018930000006"/>
    <n v="385.07"/>
    <n v="94418.485509999999"/>
    <n v="2763707.469"/>
    <n v="29.211264180000001"/>
    <n v="0.94611018899999999"/>
    <n v="-5.5041122795276332"/>
    <n v="4.0783333945773534E-3"/>
  </r>
  <r>
    <x v="0"/>
    <x v="29"/>
    <x v="1"/>
    <n v="9428"/>
    <n v="2052872"/>
    <n v="4.5929999999999999E-3"/>
    <n v="0.99540700000000004"/>
    <n v="94225.921430000002"/>
    <n v="432.78"/>
    <n v="94009.531600000002"/>
    <n v="2669288.983"/>
    <n v="28.328605790000001"/>
    <n v="0.94225921400000001"/>
    <n v="-5.3832218736384805"/>
    <n v="4.6035748052593028E-3"/>
  </r>
  <r>
    <x v="0"/>
    <x v="30"/>
    <x v="1"/>
    <n v="10767"/>
    <n v="2173002"/>
    <n v="4.9550000000000002E-3"/>
    <n v="0.99504499999999996"/>
    <n v="93793.180380000005"/>
    <n v="464.75"/>
    <n v="93560.807780000003"/>
    <n v="2575279.452"/>
    <n v="27.457001040000002"/>
    <n v="0.93793180399999998"/>
    <n v="-5.3073581112001857"/>
    <n v="4.9673574537870066E-3"/>
  </r>
  <r>
    <x v="0"/>
    <x v="31"/>
    <x v="1"/>
    <n v="12164"/>
    <n v="2202725"/>
    <n v="5.522E-3"/>
    <n v="0.99447799999999997"/>
    <n v="93328.444879999995"/>
    <n v="515.36"/>
    <n v="93070.765039999998"/>
    <n v="2481718.6439999999"/>
    <n v="26.591235359999999"/>
    <n v="0.93328444899999996"/>
    <n v="-5.1990151654741741"/>
    <n v="5.5372926674935891E-3"/>
  </r>
  <r>
    <x v="0"/>
    <x v="32"/>
    <x v="1"/>
    <n v="13209"/>
    <n v="2195088"/>
    <n v="6.0179999999999999E-3"/>
    <n v="0.99398200000000003"/>
    <n v="92813.061790000007"/>
    <n v="558.54999999999995"/>
    <n v="92533.787289999993"/>
    <n v="2388647.8790000002"/>
    <n v="25.736117660000001"/>
    <n v="0.92813061799999996"/>
    <n v="-5.1130003007742832"/>
    <n v="6.0361721238603103E-3"/>
  </r>
  <r>
    <x v="0"/>
    <x v="33"/>
    <x v="1"/>
    <n v="14524"/>
    <n v="2186448"/>
    <n v="6.6429999999999996E-3"/>
    <n v="0.99335700000000005"/>
    <n v="92254.55674"/>
    <n v="612.85"/>
    <n v="91948.133230000007"/>
    <n v="2296114.091"/>
    <n v="24.888896249999998"/>
    <n v="0.92254556700000001"/>
    <n v="-5.0141916102990329"/>
    <n v="6.6651697838367736E-3"/>
  </r>
  <r>
    <x v="0"/>
    <x v="34"/>
    <x v="1"/>
    <n v="16076"/>
    <n v="2206584"/>
    <n v="7.2849999999999998E-3"/>
    <n v="0.99271500000000001"/>
    <n v="91641.733940000006"/>
    <n v="667.61"/>
    <n v="91307.928920000006"/>
    <n v="2204165.9580000001"/>
    <n v="24.0519888"/>
    <n v="0.916417339"/>
    <n v="-4.9219378393349693"/>
    <n v="7.3116339960471741E-3"/>
  </r>
  <r>
    <x v="0"/>
    <x v="35"/>
    <x v="1"/>
    <n v="17123"/>
    <n v="2228498"/>
    <n v="7.6839999999999999E-3"/>
    <n v="0.99231599999999998"/>
    <n v="90974.080900000001"/>
    <n v="699.04"/>
    <n v="90624.558480000007"/>
    <n v="2112858.0290000001"/>
    <n v="23.224835120000002"/>
    <n v="0.90974080899999998"/>
    <n v="-4.8686150340758267"/>
    <n v="7.7135810548186095E-3"/>
  </r>
  <r>
    <x v="0"/>
    <x v="36"/>
    <x v="1"/>
    <n v="18224"/>
    <n v="2143285"/>
    <n v="8.5030000000000001E-3"/>
    <n v="0.99149699999999996"/>
    <n v="90275.067850000007"/>
    <n v="767.61"/>
    <n v="89891.263399999996"/>
    <n v="2022233.4709999999"/>
    <n v="22.400797019999999"/>
    <n v="0.90275067899999994"/>
    <n v="-4.7673362365784815"/>
    <n v="8.5393163651794057E-3"/>
  </r>
  <r>
    <x v="0"/>
    <x v="37"/>
    <x v="1"/>
    <n v="19693"/>
    <n v="2124551"/>
    <n v="9.2689999999999995E-3"/>
    <n v="0.99073100000000003"/>
    <n v="89507.473790000004"/>
    <n v="829.64"/>
    <n v="89092.651400000002"/>
    <n v="1932342.2069999999"/>
    <n v="21.588612950000002"/>
    <n v="0.89507473800000004"/>
    <n v="-4.6810797800884414"/>
    <n v="9.3121047834630322E-3"/>
  </r>
  <r>
    <x v="0"/>
    <x v="38"/>
    <x v="1"/>
    <n v="20611"/>
    <n v="2092228"/>
    <n v="9.8510000000000004E-3"/>
    <n v="0.99014899999999995"/>
    <n v="88677.806400000001"/>
    <n v="873.57"/>
    <n v="88241.023860000001"/>
    <n v="1843249.5560000001"/>
    <n v="20.78591737"/>
    <n v="0.88677806400000003"/>
    <n v="-4.6201823061085951"/>
    <n v="9.8998182325682887E-3"/>
  </r>
  <r>
    <x v="0"/>
    <x v="39"/>
    <x v="1"/>
    <n v="21521"/>
    <n v="2009005"/>
    <n v="1.0711999999999999E-2"/>
    <n v="0.98928799999999995"/>
    <n v="87804.221749999997"/>
    <n v="940.56"/>
    <n v="87333.942339999994"/>
    <n v="1755008.5319999999"/>
    <n v="19.987746569999999"/>
    <n v="0.87804221800000004"/>
    <n v="-4.5363906705932662"/>
    <n v="1.0769697342229118E-2"/>
  </r>
  <r>
    <x v="0"/>
    <x v="40"/>
    <x v="1"/>
    <n v="22515"/>
    <n v="1987008"/>
    <n v="1.1331000000000001E-2"/>
    <n v="0.98866900000000002"/>
    <n v="86863.6394"/>
    <n v="984.25"/>
    <n v="86371.513449999999"/>
    <n v="1667674.59"/>
    <n v="19.198764879999999"/>
    <n v="0.86863639400000003"/>
    <n v="-4.4802129465837073"/>
    <n v="1.1395540191640399E-2"/>
  </r>
  <r>
    <x v="0"/>
    <x v="41"/>
    <x v="1"/>
    <n v="23323"/>
    <n v="1893657"/>
    <n v="1.2316000000000001E-2"/>
    <n v="0.98768400000000001"/>
    <n v="85879.378209999995"/>
    <n v="1057.69"/>
    <n v="85350.532999999996"/>
    <n v="1581303.0759999999"/>
    <n v="18.413070860000001"/>
    <n v="0.85879378200000001"/>
    <n v="-4.3968560489198829"/>
    <n v="1.2392309283275034E-2"/>
  </r>
  <r>
    <x v="0"/>
    <x v="42"/>
    <x v="1"/>
    <n v="24065"/>
    <n v="1815914"/>
    <n v="1.3252E-2"/>
    <n v="0.98674799999999996"/>
    <n v="84821.655119999996"/>
    <n v="1124.06"/>
    <n v="84259.626829999994"/>
    <n v="1495952.5430000001"/>
    <n v="17.636446039999999"/>
    <n v="0.84821655100000004"/>
    <n v="-4.3236067945444878"/>
    <n v="1.334043598862291E-2"/>
  </r>
  <r>
    <x v="0"/>
    <x v="43"/>
    <x v="1"/>
    <n v="25306"/>
    <n v="1741514"/>
    <n v="1.4531000000000001E-2"/>
    <n v="0.98546900000000004"/>
    <n v="83697.574829999998"/>
    <n v="1216.21"/>
    <n v="83089.470100000006"/>
    <n v="1411692.9169999999"/>
    <n v="16.866592839999999"/>
    <n v="0.83697574799999996"/>
    <n v="-4.2314709806435786"/>
    <n v="1.4637354403801768E-2"/>
  </r>
  <r>
    <x v="0"/>
    <x v="44"/>
    <x v="1"/>
    <n v="25245"/>
    <n v="1679087"/>
    <n v="1.5035E-2"/>
    <n v="0.98496499999999998"/>
    <n v="82481.36249"/>
    <n v="1240.1099999999999"/>
    <n v="81861.308850000001"/>
    <n v="1328603.446"/>
    <n v="16.10792313"/>
    <n v="0.82481362499999999"/>
    <n v="-4.1973744625416449"/>
    <n v="1.5148914551998916E-2"/>
  </r>
  <r>
    <x v="0"/>
    <x v="45"/>
    <x v="1"/>
    <n v="25976"/>
    <n v="1637936"/>
    <n v="1.5859000000000002E-2"/>
    <n v="0.98414100000000004"/>
    <n v="81241.258790000007"/>
    <n v="1288.4100000000001"/>
    <n v="80597.056230000002"/>
    <n v="1246742.138"/>
    <n v="15.34616962"/>
    <n v="0.81241258800000005"/>
    <n v="-4.1440181164656735"/>
    <n v="1.5985819452422216E-2"/>
  </r>
  <r>
    <x v="0"/>
    <x v="46"/>
    <x v="1"/>
    <n v="26986"/>
    <n v="1583339"/>
    <n v="1.7044E-2"/>
    <n v="0.98295600000000005"/>
    <n v="79952.855009999999"/>
    <n v="1362.72"/>
    <n v="79271.496780000001"/>
    <n v="1166145.081"/>
    <n v="14.585408879999999"/>
    <n v="0.79952855"/>
    <n v="-4.0719570433444714"/>
    <n v="1.719053971162687E-2"/>
  </r>
  <r>
    <x v="0"/>
    <x v="47"/>
    <x v="1"/>
    <n v="28284"/>
    <n v="1562960"/>
    <n v="1.8096000000000001E-2"/>
    <n v="0.981904"/>
    <n v="78590.160260000004"/>
    <n v="1422.17"/>
    <n v="77879.076490000007"/>
    <n v="1086873.585"/>
    <n v="13.829639500000001"/>
    <n v="0.785901603"/>
    <n v="-4.012064359608372"/>
    <n v="1.826126315882521E-2"/>
  </r>
  <r>
    <x v="0"/>
    <x v="48"/>
    <x v="1"/>
    <n v="30528"/>
    <n v="1623929"/>
    <n v="1.8799E-2"/>
    <n v="0.98120099999999999"/>
    <n v="77167.958729999998"/>
    <n v="1450.68"/>
    <n v="76442.618499999997"/>
    <n v="1008994.508"/>
    <n v="13.075303849999999"/>
    <n v="0.77167958699999994"/>
    <n v="-3.9739516020503127"/>
    <n v="1.8977370472530064E-2"/>
  </r>
  <r>
    <x v="0"/>
    <x v="49"/>
    <x v="1"/>
    <n v="25856"/>
    <n v="1188026"/>
    <n v="2.1763999999999999E-2"/>
    <n v="0.97823599999999999"/>
    <n v="75717.289739999993"/>
    <n v="1647.91"/>
    <n v="74893.334189999994"/>
    <n v="932551.88959999999"/>
    <n v="12.31623441"/>
    <n v="0.75717289700000001"/>
    <n v="-3.8274980503584581"/>
    <n v="2.2003424990770713E-2"/>
  </r>
  <r>
    <x v="0"/>
    <x v="50"/>
    <x v="1"/>
    <n v="26504"/>
    <n v="1162672"/>
    <n v="2.2796E-2"/>
    <n v="0.97720399999999996"/>
    <n v="74069.391260000004"/>
    <n v="1688.49"/>
    <n v="73225.14834"/>
    <n v="857658.55539999995"/>
    <n v="11.579122509999999"/>
    <n v="0.74069391299999998"/>
    <n v="-3.7811701970093838"/>
    <n v="2.3058878532784311E-2"/>
  </r>
  <r>
    <x v="0"/>
    <x v="51"/>
    <x v="1"/>
    <n v="28756"/>
    <n v="1123102"/>
    <n v="2.5603999999999998E-2"/>
    <n v="0.97439600000000004"/>
    <n v="72380.92267"/>
    <n v="1853.24"/>
    <n v="71454.302100000001"/>
    <n v="784433.40709999995"/>
    <n v="10.837571260000001"/>
    <n v="0.72380922700000005"/>
    <n v="-3.6650066897023801"/>
    <n v="2.5936018211160119E-2"/>
  </r>
  <r>
    <x v="0"/>
    <x v="52"/>
    <x v="1"/>
    <n v="30898"/>
    <n v="1140651"/>
    <n v="2.7088000000000001E-2"/>
    <n v="0.972912"/>
    <n v="70527.675319999995"/>
    <n v="1910.45"/>
    <n v="69572.448489999995"/>
    <n v="712979.10499999998"/>
    <n v="10.10921035"/>
    <n v="0.70527675300000003"/>
    <n v="-3.6086644535913575"/>
    <n v="2.7459864938742338E-2"/>
  </r>
  <r>
    <x v="0"/>
    <x v="53"/>
    <x v="1"/>
    <n v="29580"/>
    <n v="983641"/>
    <n v="3.0072000000000002E-2"/>
    <n v="0.96992800000000001"/>
    <n v="68617.218819999995"/>
    <n v="2063.46"/>
    <n v="67585.490319999997"/>
    <n v="643406.65650000004"/>
    <n v="9.3767521850000008"/>
    <n v="0.68617218800000002"/>
    <n v="-3.5041607727202599"/>
    <n v="3.0531108595401587E-2"/>
  </r>
  <r>
    <x v="0"/>
    <x v="54"/>
    <x v="1"/>
    <n v="28979"/>
    <n v="886092"/>
    <n v="3.2703999999999997E-2"/>
    <n v="0.96729600000000004"/>
    <n v="66553.765459999995"/>
    <n v="2176.5700000000002"/>
    <n v="65465.478289999999"/>
    <n v="575821.16619999998"/>
    <n v="8.6519697600000001"/>
    <n v="0.66553765499999995"/>
    <n v="-3.4202578844008977"/>
    <n v="3.3247604168237153E-2"/>
  </r>
  <r>
    <x v="0"/>
    <x v="55"/>
    <x v="1"/>
    <n v="29511"/>
    <n v="829659"/>
    <n v="3.5569999999999997E-2"/>
    <n v="0.96443000000000001"/>
    <n v="64377.17254"/>
    <n v="2289.9"/>
    <n v="63232.22453"/>
    <n v="510355.68790000002"/>
    <n v="7.9275878039999998"/>
    <n v="0.64377172500000002"/>
    <n v="-3.3362526930217733"/>
    <n v="3.6214130663672683E-2"/>
  </r>
  <r>
    <x v="0"/>
    <x v="56"/>
    <x v="1"/>
    <n v="30203"/>
    <n v="774758"/>
    <n v="3.8983999999999998E-2"/>
    <n v="0.96101599999999998"/>
    <n v="62087.274239999999"/>
    <n v="2420.41"/>
    <n v="60877.069089999997"/>
    <n v="447123.46340000001"/>
    <n v="7.201531535"/>
    <n v="0.62087274199999998"/>
    <n v="-3.244603973440932"/>
    <n v="3.9758972828066313E-2"/>
  </r>
  <r>
    <x v="0"/>
    <x v="57"/>
    <x v="1"/>
    <n v="31079"/>
    <n v="728549"/>
    <n v="4.2659000000000002E-2"/>
    <n v="0.957341"/>
    <n v="59666.877229999998"/>
    <n v="2545.33"/>
    <n v="58394.212570000003"/>
    <n v="386246.39429999999"/>
    <n v="6.4733804109999999"/>
    <n v="0.59666877200000001"/>
    <n v="-3.1545170073763624"/>
    <n v="4.3588732193315521E-2"/>
  </r>
  <r>
    <x v="0"/>
    <x v="58"/>
    <x v="1"/>
    <n v="31046"/>
    <n v="659853"/>
    <n v="4.7050000000000002E-2"/>
    <n v="0.95294999999999996"/>
    <n v="57121.561979999999"/>
    <n v="2687.57"/>
    <n v="55777.77723"/>
    <n v="327852.18170000002"/>
    <n v="5.7395521120000002"/>
    <n v="0.57121562000000004"/>
    <n v="-3.0565444129507484"/>
    <n v="4.8183523238161996E-2"/>
  </r>
  <r>
    <x v="0"/>
    <x v="59"/>
    <x v="1"/>
    <n v="31880"/>
    <n v="618087"/>
    <n v="5.1577999999999999E-2"/>
    <n v="0.94842199999999999"/>
    <n v="54433.999730000003"/>
    <n v="2807.6"/>
    <n v="53030.201309999997"/>
    <n v="272074.4045"/>
    <n v="4.9982438509999998"/>
    <n v="0.54433999700000002"/>
    <n v="-2.9646600539995807"/>
    <n v="5.2943429407117319E-2"/>
  </r>
  <r>
    <x v="0"/>
    <x v="60"/>
    <x v="1"/>
    <n v="33120"/>
    <n v="578240"/>
    <n v="5.7277000000000002E-2"/>
    <n v="0.94272299999999998"/>
    <n v="51626.37571"/>
    <n v="2957"/>
    <n v="50147.873749999999"/>
    <n v="219044.20319999999"/>
    <n v="4.2428739210000002"/>
    <n v="0.51626375700000005"/>
    <n v="-2.8598561320030043"/>
    <n v="5.8965618429304298E-2"/>
  </r>
  <r>
    <x v="0"/>
    <x v="61"/>
    <x v="1"/>
    <n v="32996"/>
    <n v="507988"/>
    <n v="6.4953999999999998E-2"/>
    <n v="0.93504600000000004"/>
    <n v="48669.358610000003"/>
    <n v="3161.27"/>
    <n v="47088.723850000002"/>
    <n v="168896.32939999999"/>
    <n v="3.4702805670000001"/>
    <n v="0.48669358600000001"/>
    <n v="-2.7340759519266005"/>
    <n v="6.713434163216235E-2"/>
  </r>
  <r>
    <x v="0"/>
    <x v="62"/>
    <x v="1"/>
    <n v="33750"/>
    <n v="477629"/>
    <n v="7.0662000000000003E-2"/>
    <n v="0.929338"/>
    <n v="45508.074970000001"/>
    <n v="3215.69"/>
    <n v="43900.229169999999"/>
    <n v="121807.6056"/>
    <n v="2.6766152079999999"/>
    <n v="0.45508074999999998"/>
    <n v="-2.6498473328946708"/>
    <n v="7.3249941781012615E-2"/>
  </r>
  <r>
    <x v="0"/>
    <x v="63"/>
    <x v="1"/>
    <n v="34644"/>
    <n v="442175"/>
    <n v="7.8349000000000002E-2"/>
    <n v="0.921651"/>
    <n v="42292.404369999997"/>
    <n v="3313.57"/>
    <n v="40635.620580000003"/>
    <n v="77907.376380000002"/>
    <n v="1.842112728"/>
    <n v="0.422924044"/>
    <n v="-2.5465820735034215"/>
    <n v="8.1543485084985462E-2"/>
  </r>
  <r>
    <x v="0"/>
    <x v="64"/>
    <x v="1"/>
    <n v="35617"/>
    <n v="406633"/>
    <n v="8.7590000000000001E-2"/>
    <n v="0.91241000000000005"/>
    <n v="38978.833830000003"/>
    <n v="3414.16"/>
    <n v="37271.755799999999"/>
    <n v="37271.755799999999"/>
    <n v="0.95620499999999997"/>
    <n v="0.38978833800000001"/>
    <n v="-2.4350884428071393"/>
    <n v="4.9132085885484213E-2"/>
  </r>
  <r>
    <x v="0"/>
    <x v="0"/>
    <x v="2"/>
    <n v="3366"/>
    <n v="4363440"/>
    <n v="7.7099999999999998E-4"/>
    <n v="0.99922900000000003"/>
    <n v="100000"/>
    <n v="77.099999999999994"/>
    <n v="99961.45"/>
    <n v="5668431.4280000003"/>
    <n v="56.684314280000002"/>
    <n v="1"/>
    <n v="-7.1678221844009444"/>
    <n v="7.7129749318391384E-4"/>
  </r>
  <r>
    <x v="0"/>
    <x v="1"/>
    <x v="2"/>
    <n v="3844"/>
    <n v="4456790"/>
    <n v="8.6300000000000005E-4"/>
    <n v="0.99913700000000005"/>
    <n v="99922.859030000007"/>
    <n v="86.23"/>
    <n v="99879.742320000005"/>
    <n v="5568469.9780000001"/>
    <n v="55.727688659999998"/>
    <n v="0.99922858999999997"/>
    <n v="-7.0550958668808459"/>
    <n v="8.6333801642027839E-4"/>
  </r>
  <r>
    <x v="0"/>
    <x v="2"/>
    <x v="2"/>
    <n v="4155"/>
    <n v="4529472"/>
    <n v="9.1699999999999995E-4"/>
    <n v="0.99908300000000005"/>
    <n v="99836.675149999995"/>
    <n v="91.55"/>
    <n v="99790.900030000004"/>
    <n v="5468590.2359999996"/>
    <n v="54.775364140000001"/>
    <n v="0.99836675200000002"/>
    <n v="-6.994403085707809"/>
    <n v="9.1741847078180983E-4"/>
  </r>
  <r>
    <x v="0"/>
    <x v="3"/>
    <x v="2"/>
    <n v="4339"/>
    <n v="4652266"/>
    <n v="9.3300000000000002E-4"/>
    <n v="0.99906700000000004"/>
    <n v="99745.092420000001"/>
    <n v="93.06"/>
    <n v="99698.561329999997"/>
    <n v="5368799.3360000001"/>
    <n v="53.825197869999997"/>
    <n v="0.99745092400000002"/>
    <n v="-6.9771053571169306"/>
    <n v="9.3341351269816096E-4"/>
  </r>
  <r>
    <x v="0"/>
    <x v="4"/>
    <x v="2"/>
    <n v="4604"/>
    <n v="4737345"/>
    <n v="9.7199999999999999E-4"/>
    <n v="0.99902800000000003"/>
    <n v="99652.06379"/>
    <n v="96.86"/>
    <n v="99603.632889999993"/>
    <n v="5269100.7740000002"/>
    <n v="52.874978939999998"/>
    <n v="0.99652063800000001"/>
    <n v="-6.9361547535038355"/>
    <n v="9.7245441799728336E-4"/>
  </r>
  <r>
    <x v="0"/>
    <x v="5"/>
    <x v="2"/>
    <n v="4756"/>
    <n v="4729564"/>
    <n v="1.0059999999999999E-3"/>
    <n v="0.99899400000000005"/>
    <n v="99555.216690000001"/>
    <n v="100.15"/>
    <n v="99505.140419999996"/>
    <n v="5169497.142"/>
    <n v="51.925929279999998"/>
    <n v="0.99555216700000004"/>
    <n v="-6.9017732073045899"/>
    <n v="1.0064804593499636E-3"/>
  </r>
  <r>
    <x v="0"/>
    <x v="6"/>
    <x v="2"/>
    <n v="4556"/>
    <n v="4544416"/>
    <n v="1.003E-3"/>
    <n v="0.99899700000000002"/>
    <n v="99455.105009999999"/>
    <n v="99.75"/>
    <n v="99405.228270000007"/>
    <n v="5069992.0010000002"/>
    <n v="50.977694919999998"/>
    <n v="0.99455104999999999"/>
    <n v="-6.9047597700023386"/>
    <n v="1.003468119617146E-3"/>
  </r>
  <r>
    <x v="0"/>
    <x v="7"/>
    <x v="2"/>
    <n v="4739"/>
    <n v="4439766"/>
    <n v="1.067E-3"/>
    <n v="0.99893299999999996"/>
    <n v="99355.396389999994"/>
    <n v="106.01"/>
    <n v="99302.390289999996"/>
    <n v="4970586.773"/>
    <n v="50.028352290000001"/>
    <n v="0.99355396399999996"/>
    <n v="-6.842904306662521"/>
    <n v="1.0675475266324404E-3"/>
  </r>
  <r>
    <x v="0"/>
    <x v="8"/>
    <x v="2"/>
    <n v="4750"/>
    <n v="4364669"/>
    <n v="1.088E-3"/>
    <n v="0.99891200000000002"/>
    <n v="99249.344580000004"/>
    <n v="107.98"/>
    <n v="99195.352939999997"/>
    <n v="4871284.3830000004"/>
    <n v="49.081275079999998"/>
    <n v="0.992493446"/>
    <n v="-6.823414130548386"/>
    <n v="1.0885592132470283E-3"/>
  </r>
  <r>
    <x v="0"/>
    <x v="9"/>
    <x v="2"/>
    <n v="5097"/>
    <n v="4383139"/>
    <n v="1.163E-3"/>
    <n v="0.99883699999999997"/>
    <n v="99141.33309"/>
    <n v="115.3"/>
    <n v="99083.682400000005"/>
    <n v="4772089.03"/>
    <n v="48.134202770000002"/>
    <n v="0.99141333099999995"/>
    <n v="-6.7567524054456101"/>
    <n v="1.1636627689658252E-3"/>
  </r>
  <r>
    <x v="0"/>
    <x v="10"/>
    <x v="2"/>
    <n v="5107"/>
    <n v="4417209"/>
    <n v="1.1559999999999999E-3"/>
    <n v="0.99884399999999995"/>
    <n v="99026.045079999996"/>
    <n v="114.47"/>
    <n v="98968.80803"/>
    <n v="4673005.3470000001"/>
    <n v="47.189659480000003"/>
    <n v="0.99026045100000004"/>
    <n v="-6.7627895087319514"/>
    <n v="1.1566271378308532E-3"/>
  </r>
  <r>
    <x v="0"/>
    <x v="11"/>
    <x v="2"/>
    <n v="5216"/>
    <n v="4278233"/>
    <n v="1.219E-3"/>
    <n v="0.99878100000000003"/>
    <n v="98911.555129999993"/>
    <n v="120.57"/>
    <n v="98851.268540000005"/>
    <n v="4574036.5389999999"/>
    <n v="46.243702599999999"/>
    <n v="0.98911555100000004"/>
    <n v="-6.7097244284830024"/>
    <n v="1.2197113252950186E-3"/>
  </r>
  <r>
    <x v="0"/>
    <x v="12"/>
    <x v="2"/>
    <n v="5586"/>
    <n v="4343614"/>
    <n v="1.286E-3"/>
    <n v="0.99871399999999999"/>
    <n v="98790.962669999994"/>
    <n v="127.05"/>
    <n v="98727.44008"/>
    <n v="4475185.2709999997"/>
    <n v="45.299541069999997"/>
    <n v="0.98790962699999996"/>
    <n v="-6.6562186531667091"/>
    <n v="1.2868762883373815E-3"/>
  </r>
  <r>
    <x v="0"/>
    <x v="13"/>
    <x v="2"/>
    <n v="5758"/>
    <n v="4341754"/>
    <n v="1.3259999999999999E-3"/>
    <n v="0.99867399999999995"/>
    <n v="98663.914929999999"/>
    <n v="130.83000000000001"/>
    <n v="98598.500750000007"/>
    <n v="4376457.8310000002"/>
    <n v="44.35722861"/>
    <n v="0.98663914900000005"/>
    <n v="-6.6255883872184667"/>
    <n v="1.3268965712173368E-3"/>
  </r>
  <r>
    <x v="0"/>
    <x v="14"/>
    <x v="2"/>
    <n v="5952"/>
    <n v="4294838"/>
    <n v="1.3860000000000001E-3"/>
    <n v="0.998614"/>
    <n v="98533.067620000002"/>
    <n v="136.57"/>
    <n v="98464.784199999995"/>
    <n v="4277859.33"/>
    <n v="43.415468869999998"/>
    <n v="0.98533067600000002"/>
    <n v="-6.5813333782144259"/>
    <n v="1.3869932365360336E-3"/>
  </r>
  <r>
    <x v="0"/>
    <x v="15"/>
    <x v="2"/>
    <n v="6090"/>
    <n v="4379404"/>
    <n v="1.3910000000000001E-3"/>
    <n v="0.99860899999999997"/>
    <n v="98396.515599999999"/>
    <n v="136.87"/>
    <n v="98328.080820000003"/>
    <n v="4179394.5460000001"/>
    <n v="42.475025870000003"/>
    <n v="0.98396515600000001"/>
    <n v="-6.5777323660408316"/>
    <n v="1.391972379319581E-3"/>
  </r>
  <r>
    <x v="0"/>
    <x v="16"/>
    <x v="2"/>
    <n v="6192"/>
    <n v="4108775"/>
    <n v="1.5070000000000001E-3"/>
    <n v="0.99849299999999996"/>
    <n v="98259.685389999999"/>
    <n v="148.08000000000001"/>
    <n v="98185.646720000004"/>
    <n v="4081066.4649999999"/>
    <n v="41.533477830000002"/>
    <n v="0.98259685399999996"/>
    <n v="-6.4976343593377788"/>
    <n v="1.5081634263942397E-3"/>
  </r>
  <r>
    <x v="0"/>
    <x v="17"/>
    <x v="2"/>
    <n v="6221"/>
    <n v="4028403"/>
    <n v="1.544E-3"/>
    <n v="0.99845600000000001"/>
    <n v="98111.606220000001"/>
    <n v="151.47999999999999"/>
    <n v="98035.864060000007"/>
    <n v="3982880.818"/>
    <n v="40.595409369999999"/>
    <n v="0.98111606200000001"/>
    <n v="-6.4733788273795527"/>
    <n v="1.5451490432329968E-3"/>
  </r>
  <r>
    <x v="0"/>
    <x v="18"/>
    <x v="2"/>
    <n v="6445"/>
    <n v="3987141"/>
    <n v="1.616E-3"/>
    <n v="0.99838400000000005"/>
    <n v="97960.093999999997"/>
    <n v="158.30000000000001"/>
    <n v="97880.942240000004"/>
    <n v="3884844.9539999999"/>
    <n v="39.657423710000003"/>
    <n v="0.97960093999999998"/>
    <n v="-6.4278013188832333"/>
    <n v="1.6172712658761614E-3"/>
  </r>
  <r>
    <x v="0"/>
    <x v="19"/>
    <x v="2"/>
    <n v="6469"/>
    <n v="3870862"/>
    <n v="1.671E-3"/>
    <n v="0.99832900000000002"/>
    <n v="97801.746750000006"/>
    <n v="163.43"/>
    <n v="97720.033389999997"/>
    <n v="3786964.0120000001"/>
    <n v="38.720821839999999"/>
    <n v="0.978017468"/>
    <n v="-6.3943330293688803"/>
    <n v="1.6724310360215647E-3"/>
  </r>
  <r>
    <x v="0"/>
    <x v="20"/>
    <x v="2"/>
    <n v="6884"/>
    <n v="3989839"/>
    <n v="1.725E-3"/>
    <n v="0.99827500000000002"/>
    <n v="97638.300080000001"/>
    <n v="168.43"/>
    <n v="97554.087050000002"/>
    <n v="3689243.9780000001"/>
    <n v="37.784803459999999"/>
    <n v="0.97638300099999997"/>
    <n v="-6.3625282284988138"/>
    <n v="1.7265297372025732E-3"/>
  </r>
  <r>
    <x v="0"/>
    <x v="21"/>
    <x v="2"/>
    <n v="7380"/>
    <n v="3865228"/>
    <n v="1.9090000000000001E-3"/>
    <n v="0.99809099999999995"/>
    <n v="97469.836630000005"/>
    <n v="186.07"/>
    <n v="97376.801670000001"/>
    <n v="3591689.8909999998"/>
    <n v="36.849245009999997"/>
    <n v="0.97469836600000004"/>
    <n v="-6.2611757342385266"/>
    <n v="1.9108250388191455E-3"/>
  </r>
  <r>
    <x v="0"/>
    <x v="22"/>
    <x v="2"/>
    <n v="8115"/>
    <n v="3924258"/>
    <n v="2.068E-3"/>
    <n v="0.99793200000000004"/>
    <n v="97283.73444"/>
    <n v="201.18"/>
    <n v="97183.143060000002"/>
    <n v="3494313.09"/>
    <n v="35.91878036"/>
    <n v="0.97283734399999999"/>
    <n v="-6.1811733223359546"/>
    <n v="2.0701119997547919E-3"/>
  </r>
  <r>
    <x v="0"/>
    <x v="23"/>
    <x v="2"/>
    <n v="8889"/>
    <n v="4100708"/>
    <n v="2.1679999999999998E-3"/>
    <n v="0.99783200000000005"/>
    <n v="97082.560740000001"/>
    <n v="210.47"/>
    <n v="96977.323239999998"/>
    <n v="3397129.9470000002"/>
    <n v="34.992174910000003"/>
    <n v="0.97082560699999998"/>
    <n v="-6.1339501954047373"/>
    <n v="2.1703008359750565E-3"/>
  </r>
  <r>
    <x v="0"/>
    <x v="24"/>
    <x v="2"/>
    <n v="10403"/>
    <n v="4335165"/>
    <n v="2.3999999999999998E-3"/>
    <n v="0.99760000000000004"/>
    <n v="96872.11735"/>
    <n v="232.49"/>
    <n v="96755.870809999993"/>
    <n v="3300152.6230000001"/>
    <n v="34.067105310000002"/>
    <n v="0.96872117400000002"/>
    <n v="-6.0322865416282374"/>
    <n v="2.4028512231994369E-3"/>
  </r>
  <r>
    <x v="0"/>
    <x v="25"/>
    <x v="2"/>
    <n v="11021"/>
    <n v="4389345"/>
    <n v="2.5110000000000002E-3"/>
    <n v="0.99748899999999996"/>
    <n v="96639.655459999994"/>
    <n v="242.66"/>
    <n v="96518.324370000002"/>
    <n v="3203396.753"/>
    <n v="33.147849479999998"/>
    <n v="0.96639655499999999"/>
    <n v="-5.9870741988066891"/>
    <n v="2.5141338052479976E-3"/>
  </r>
  <r>
    <x v="0"/>
    <x v="26"/>
    <x v="2"/>
    <n v="11790"/>
    <n v="4160573"/>
    <n v="2.8340000000000001E-3"/>
    <n v="0.997166"/>
    <n v="96397.007500000007"/>
    <n v="273.19"/>
    <n v="96260.412939999995"/>
    <n v="3106878.4279999998"/>
    <n v="32.23002984"/>
    <n v="0.96397007499999998"/>
    <n v="-5.8660661377136485"/>
    <n v="2.8380302626746347E-3"/>
  </r>
  <r>
    <x v="0"/>
    <x v="27"/>
    <x v="2"/>
    <n v="12298"/>
    <n v="4073685"/>
    <n v="3.019E-3"/>
    <n v="0.99698100000000001"/>
    <n v="96123.843030000004"/>
    <n v="290.2"/>
    <n v="95978.744089999993"/>
    <n v="3010618.0150000001"/>
    <n v="31.320200280000002"/>
    <n v="0.96123842999999998"/>
    <n v="-5.8028296282574354"/>
    <n v="3.0235859671839268E-3"/>
  </r>
  <r>
    <x v="0"/>
    <x v="28"/>
    <x v="2"/>
    <n v="13736"/>
    <n v="4077689"/>
    <n v="3.369E-3"/>
    <n v="0.99663100000000004"/>
    <n v="95833.655880000006"/>
    <n v="322.86"/>
    <n v="95672.224090000003"/>
    <n v="2914639.2710000002"/>
    <n v="30.413524809999998"/>
    <n v="0.95833655900000003"/>
    <n v="-5.6931393145577216"/>
    <n v="3.3746464484599049E-3"/>
  </r>
  <r>
    <x v="0"/>
    <x v="29"/>
    <x v="2"/>
    <n v="15532"/>
    <n v="4152552"/>
    <n v="3.7399999999999998E-3"/>
    <n v="0.99626000000000003"/>
    <n v="95510.833050000001"/>
    <n v="357.21"/>
    <n v="95332.227790000004"/>
    <n v="2818967.0469999998"/>
    <n v="29.514631560000002"/>
    <n v="0.95510833100000003"/>
    <n v="-5.5886696675556964"/>
    <n v="3.7470021522307386E-3"/>
  </r>
  <r>
    <x v="0"/>
    <x v="30"/>
    <x v="2"/>
    <n v="17818"/>
    <n v="4400288"/>
    <n v="4.0489999999999996E-3"/>
    <n v="0.99595100000000003"/>
    <n v="95153.589059999998"/>
    <n v="385.28"/>
    <n v="94960.950620000003"/>
    <n v="2723634.8190000001"/>
    <n v="28.62356372"/>
    <n v="0.95153589100000002"/>
    <n v="-5.5092853419321131"/>
    <n v="4.0572472329780925E-3"/>
  </r>
  <r>
    <x v="0"/>
    <x v="31"/>
    <x v="2"/>
    <n v="20016"/>
    <n v="4479664"/>
    <n v="4.4679999999999997E-3"/>
    <n v="0.99553199999999997"/>
    <n v="94768.285489999995"/>
    <n v="423.42"/>
    <n v="94556.573139999993"/>
    <n v="2628673.8689999999"/>
    <n v="27.737906779999999"/>
    <n v="0.94768285500000005"/>
    <n v="-5.4108143977751828"/>
    <n v="4.4779545909225445E-3"/>
  </r>
  <r>
    <x v="0"/>
    <x v="32"/>
    <x v="2"/>
    <n v="21940"/>
    <n v="4474344"/>
    <n v="4.9040000000000004E-3"/>
    <n v="0.99509599999999998"/>
    <n v="94344.842569999993"/>
    <n v="462.67"/>
    <n v="94113.509019999998"/>
    <n v="2534117.2949999999"/>
    <n v="26.860157130000001"/>
    <n v="0.94344842600000001"/>
    <n v="-5.3177040803482267"/>
    <n v="4.9160836916410395E-3"/>
  </r>
  <r>
    <x v="0"/>
    <x v="33"/>
    <x v="2"/>
    <n v="24006"/>
    <n v="4463494"/>
    <n v="5.378E-3"/>
    <n v="0.99462200000000001"/>
    <n v="93882.2215"/>
    <n v="504.9"/>
    <n v="93629.772209999996"/>
    <n v="2440003.7859999998"/>
    <n v="25.990051659999999"/>
    <n v="0.93882221499999996"/>
    <n v="-5.2254387211354638"/>
    <n v="5.3925163278397432E-3"/>
  </r>
  <r>
    <x v="0"/>
    <x v="34"/>
    <x v="2"/>
    <n v="26337"/>
    <n v="4516527"/>
    <n v="5.8310000000000002E-3"/>
    <n v="0.99416899999999997"/>
    <n v="93377.294949999996"/>
    <n v="544.48"/>
    <n v="93105.053450000007"/>
    <n v="2346374.014"/>
    <n v="25.12788591"/>
    <n v="0.93377295000000005"/>
    <n v="-5.144566766742118"/>
    <n v="5.8480184288275663E-3"/>
  </r>
  <r>
    <x v="0"/>
    <x v="35"/>
    <x v="2"/>
    <n v="28045"/>
    <n v="4553385"/>
    <n v="6.1590000000000004E-3"/>
    <n v="0.99384099999999997"/>
    <n v="92832.788560000001"/>
    <n v="571.76"/>
    <n v="92546.90999"/>
    <n v="2253268.9610000001"/>
    <n v="24.272339500000001"/>
    <n v="0.92832788600000005"/>
    <n v="-5.0898408522772307"/>
    <n v="6.1780565581906E-3"/>
  </r>
  <r>
    <x v="0"/>
    <x v="36"/>
    <x v="2"/>
    <n v="30058"/>
    <n v="4399120"/>
    <n v="6.8329999999999997E-3"/>
    <n v="0.99316700000000002"/>
    <n v="92261.017110000001"/>
    <n v="630.41999999999996"/>
    <n v="91945.807350000003"/>
    <n v="2160722.051"/>
    <n v="23.419664319999999"/>
    <n v="0.92261017099999998"/>
    <n v="-4.9859914631834963"/>
    <n v="6.8564291605627097E-3"/>
  </r>
  <r>
    <x v="0"/>
    <x v="37"/>
    <x v="2"/>
    <n v="32277"/>
    <n v="4371245"/>
    <n v="7.3839999999999999E-3"/>
    <n v="0.99261600000000005"/>
    <n v="91630.622470000002"/>
    <n v="676.6"/>
    <n v="91292.322209999998"/>
    <n v="2068776.243"/>
    <n v="22.577345739999998"/>
    <n v="0.91630622500000003"/>
    <n v="-4.9084397817815857"/>
    <n v="7.4113568631771426E-3"/>
  </r>
  <r>
    <x v="0"/>
    <x v="38"/>
    <x v="2"/>
    <n v="33972"/>
    <n v="4320522"/>
    <n v="7.8630000000000002E-3"/>
    <n v="0.99213700000000005"/>
    <n v="90954.027679999999"/>
    <n v="715.17"/>
    <n v="90596.441919999997"/>
    <n v="1977483.9210000001"/>
    <n v="21.741576179999999"/>
    <n v="0.90954027699999995"/>
    <n v="-4.845587065972758"/>
    <n v="7.8940183837095963E-3"/>
  </r>
  <r>
    <x v="0"/>
    <x v="39"/>
    <x v="2"/>
    <n v="35237"/>
    <n v="4163670"/>
    <n v="8.463E-3"/>
    <n v="0.991537"/>
    <n v="90238.861730000004"/>
    <n v="763.69"/>
    <n v="89857.01599"/>
    <n v="1886887.4790000001"/>
    <n v="20.909921099999998"/>
    <n v="0.90238861699999995"/>
    <n v="-4.7720515582941685"/>
    <n v="8.498946674281669E-3"/>
  </r>
  <r>
    <x v="0"/>
    <x v="40"/>
    <x v="2"/>
    <n v="36716"/>
    <n v="4125792"/>
    <n v="8.8990000000000007E-3"/>
    <n v="0.99110100000000001"/>
    <n v="89475.173259999996"/>
    <n v="796.24"/>
    <n v="89077.053480000002"/>
    <n v="1797030.463"/>
    <n v="20.084123869999999"/>
    <n v="0.89475173299999999"/>
    <n v="-4.7218163681074117"/>
    <n v="8.9387785613668658E-3"/>
  </r>
  <r>
    <x v="0"/>
    <x v="41"/>
    <x v="2"/>
    <n v="38234"/>
    <n v="3954601"/>
    <n v="9.6679999999999995E-3"/>
    <n v="0.99033199999999999"/>
    <n v="88678.921180000005"/>
    <n v="857.35"/>
    <n v="88250.247279999996"/>
    <n v="1707953.41"/>
    <n v="19.259970540000001"/>
    <n v="0.88678921200000005"/>
    <n v="-4.6389338161409004"/>
    <n v="9.7149880758476016E-3"/>
  </r>
  <r>
    <x v="0"/>
    <x v="42"/>
    <x v="2"/>
    <n v="39710"/>
    <n v="3801935"/>
    <n v="1.0444999999999999E-2"/>
    <n v="0.98955499999999996"/>
    <n v="87821.552790000002"/>
    <n v="917.3"/>
    <n v="87362.904729999995"/>
    <n v="1619703.1629999999"/>
    <n v="18.443116880000002"/>
    <n v="0.87821552800000002"/>
    <n v="-4.5616318839736083"/>
    <n v="1.0499878134108199E-2"/>
  </r>
  <r>
    <x v="0"/>
    <x v="43"/>
    <x v="2"/>
    <n v="41518"/>
    <n v="3651393"/>
    <n v="1.137E-2"/>
    <n v="0.98863000000000001"/>
    <n v="86904.284650000001"/>
    <n v="988.1"/>
    <n v="86410.233789999998"/>
    <n v="1532340.2579999999"/>
    <n v="17.63250528"/>
    <n v="0.86904284700000001"/>
    <n v="-4.4767769712196923"/>
    <n v="1.1434990773526785E-2"/>
  </r>
  <r>
    <x v="0"/>
    <x v="44"/>
    <x v="2"/>
    <n v="42018"/>
    <n v="3536156"/>
    <n v="1.1882E-2"/>
    <n v="0.98811800000000005"/>
    <n v="85916.143379999994"/>
    <n v="1020.86"/>
    <n v="85405.71557"/>
    <n v="1445930.024"/>
    <n v="16.829549920000002"/>
    <n v="0.859161434"/>
    <n v="-4.4327306290485877"/>
    <n v="1.1953066555463344E-2"/>
  </r>
  <r>
    <x v="0"/>
    <x v="45"/>
    <x v="2"/>
    <n v="43483"/>
    <n v="3450043"/>
    <n v="1.2604000000000001E-2"/>
    <n v="0.98739600000000005"/>
    <n v="84895.253890000007"/>
    <n v="1070.02"/>
    <n v="84360.244000000006"/>
    <n v="1360524.3089999999"/>
    <n v="16.025917190000001"/>
    <n v="0.84895253900000001"/>
    <n v="-4.373741055087109"/>
    <n v="1.2683934278192048E-2"/>
  </r>
  <r>
    <x v="0"/>
    <x v="46"/>
    <x v="2"/>
    <n v="45670"/>
    <n v="3344134"/>
    <n v="1.3657000000000001E-2"/>
    <n v="0.98634299999999997"/>
    <n v="83825.267129999993"/>
    <n v="1144.8"/>
    <n v="83252.866290000005"/>
    <n v="1276164.0649999999"/>
    <n v="15.224097799999999"/>
    <n v="0.838252671"/>
    <n v="-4.2935030682858493"/>
    <n v="1.3750876173927002E-2"/>
  </r>
  <r>
    <x v="0"/>
    <x v="47"/>
    <x v="2"/>
    <n v="48530"/>
    <n v="3304187"/>
    <n v="1.4687E-2"/>
    <n v="0.98531299999999999"/>
    <n v="82680.486470000003"/>
    <n v="1214.33"/>
    <n v="82073.322320000007"/>
    <n v="1192911.1980000001"/>
    <n v="14.4279654"/>
    <n v="0.82680486500000006"/>
    <n v="-4.2207925302104119"/>
    <n v="1.4795675694975757E-2"/>
  </r>
  <r>
    <x v="0"/>
    <x v="48"/>
    <x v="2"/>
    <n v="52702"/>
    <n v="3436357"/>
    <n v="1.5337E-2"/>
    <n v="0.98466299999999995"/>
    <n v="81466.122990000003"/>
    <n v="1249.45"/>
    <n v="80841.400030000004"/>
    <n v="1110837.8759999999"/>
    <n v="13.635580470000001"/>
    <n v="0.81466123000000001"/>
    <n v="-4.1774870693134947"/>
    <n v="1.5455567837948615E-2"/>
  </r>
  <r>
    <x v="0"/>
    <x v="49"/>
    <x v="2"/>
    <n v="45097"/>
    <n v="2532747"/>
    <n v="1.7805999999999999E-2"/>
    <n v="0.98219400000000001"/>
    <n v="80216.710420000003"/>
    <n v="1428.34"/>
    <n v="79502.54105"/>
    <n v="1029996.476"/>
    <n v="12.840173460000001"/>
    <n v="0.80216710400000002"/>
    <n v="-4.0282197998306577"/>
    <n v="1.7965962724523322E-2"/>
  </r>
  <r>
    <x v="0"/>
    <x v="50"/>
    <x v="2"/>
    <n v="46843"/>
    <n v="2492490"/>
    <n v="1.8794000000000002E-2"/>
    <n v="0.98120600000000002"/>
    <n v="78788.406300000002"/>
    <n v="1480.75"/>
    <n v="78048.031650000004"/>
    <n v="950493.93480000005"/>
    <n v="12.063880709999999"/>
    <n v="0.78788406300000002"/>
    <n v="-3.9742176090212635"/>
    <n v="1.89722881129856E-2"/>
  </r>
  <r>
    <x v="0"/>
    <x v="51"/>
    <x v="2"/>
    <n v="50803"/>
    <n v="2421191"/>
    <n v="2.0983000000000002E-2"/>
    <n v="0.97901700000000003"/>
    <n v="77307.684080000006"/>
    <n v="1622.15"/>
    <n v="76496.610509999999"/>
    <n v="872445.90319999994"/>
    <n v="11.28537109"/>
    <n v="0.77307684099999996"/>
    <n v="-3.864042692909579"/>
    <n v="2.1205510951509132E-2"/>
  </r>
  <r>
    <x v="0"/>
    <x v="52"/>
    <x v="2"/>
    <n v="55719"/>
    <n v="2469605"/>
    <n v="2.2561999999999999E-2"/>
    <n v="0.97743800000000003"/>
    <n v="75685.564110000007"/>
    <n v="1707.62"/>
    <n v="74831.755260000005"/>
    <n v="795949.29269999999"/>
    <n v="10.51652719"/>
    <n v="0.75685564100000002"/>
    <n v="-3.7914882037994087"/>
    <n v="2.2819455648380074E-2"/>
  </r>
  <r>
    <x v="0"/>
    <x v="53"/>
    <x v="2"/>
    <n v="53435"/>
    <n v="2146052"/>
    <n v="2.4899000000000001E-2"/>
    <n v="0.975101"/>
    <n v="73977.953399999999"/>
    <n v="1841.98"/>
    <n v="73056.964869999996"/>
    <n v="721117.53740000003"/>
    <n v="9.7477356999999998"/>
    <n v="0.73977953399999996"/>
    <n v="-3.6929276369605057"/>
    <n v="2.521293074942571E-2"/>
  </r>
  <r>
    <x v="0"/>
    <x v="54"/>
    <x v="2"/>
    <n v="52734"/>
    <n v="1953711"/>
    <n v="2.6991999999999999E-2"/>
    <n v="0.97300799999999998"/>
    <n v="72135.960789999997"/>
    <n v="1947.09"/>
    <n v="71162.413860000001"/>
    <n v="648060.57250000001"/>
    <n v="8.9838766329999995"/>
    <n v="0.72135960799999999"/>
    <n v="-3.6122147531785247"/>
    <n v="2.7361209489350658E-2"/>
  </r>
  <r>
    <x v="0"/>
    <x v="55"/>
    <x v="2"/>
    <n v="54414"/>
    <n v="1839823"/>
    <n v="2.9576000000000002E-2"/>
    <n v="0.97042399999999995"/>
    <n v="70188.887879999995"/>
    <n v="2075.91"/>
    <n v="69150.934609999997"/>
    <n v="576898.15870000003"/>
    <n v="8.2192235280000006"/>
    <n v="0.70188887899999997"/>
    <n v="-3.5207920573478062"/>
    <n v="3.0019979707104846E-2"/>
  </r>
  <r>
    <x v="0"/>
    <x v="56"/>
    <x v="2"/>
    <n v="56057"/>
    <n v="1722041"/>
    <n v="3.2552999999999999E-2"/>
    <n v="0.96744699999999995"/>
    <n v="68113.004409999994"/>
    <n v="2217.2800000000002"/>
    <n v="67004.363089999999"/>
    <n v="507747.22409999999"/>
    <n v="7.4544828619999999"/>
    <n v="0.68113004399999999"/>
    <n v="-3.424885748675957"/>
    <n v="3.3091570525466275E-2"/>
  </r>
  <r>
    <x v="0"/>
    <x v="57"/>
    <x v="2"/>
    <n v="58627"/>
    <n v="1639085"/>
    <n v="3.5768000000000001E-2"/>
    <n v="0.96423199999999998"/>
    <n v="65895.745540000004"/>
    <n v="2356.96"/>
    <n v="64717.266029999999"/>
    <n v="440742.86099999998"/>
    <n v="6.6884873579999997"/>
    <n v="0.65895745500000003"/>
    <n v="-3.3307016400504574"/>
    <n v="3.6419340568871736E-2"/>
  </r>
  <r>
    <x v="0"/>
    <x v="58"/>
    <x v="2"/>
    <n v="59218"/>
    <n v="1500813"/>
    <n v="3.9456999999999999E-2"/>
    <n v="0.96054300000000004"/>
    <n v="63538.778160000002"/>
    <n v="2507.0500000000002"/>
    <n v="62285.253380000002"/>
    <n v="376025.59490000003"/>
    <n v="5.9180488799999997"/>
    <n v="0.63538778200000001"/>
    <n v="-3.232543807633621"/>
    <n v="4.0251106372574327E-2"/>
  </r>
  <r>
    <x v="0"/>
    <x v="59"/>
    <x v="2"/>
    <n v="62089"/>
    <n v="1422071"/>
    <n v="4.3660999999999998E-2"/>
    <n v="0.95633900000000005"/>
    <n v="61031.710749999998"/>
    <n v="2664.71"/>
    <n v="59699.357989999997"/>
    <n v="313740.34159999999"/>
    <n v="5.1406119490000002"/>
    <n v="0.61031710800000005"/>
    <n v="-3.1313000238624453"/>
    <n v="4.4635487709506289E-2"/>
  </r>
  <r>
    <x v="0"/>
    <x v="60"/>
    <x v="2"/>
    <n v="65302"/>
    <n v="1351196"/>
    <n v="4.8328999999999997E-2"/>
    <n v="0.95167100000000004"/>
    <n v="58367.007030000001"/>
    <n v="2820.82"/>
    <n v="56956.59749"/>
    <n v="254040.98360000001"/>
    <n v="4.3524757650000003"/>
    <n v="0.58367007000000004"/>
    <n v="-3.0297234844213512"/>
    <n v="4.9525782373101367E-2"/>
  </r>
  <r>
    <x v="0"/>
    <x v="61"/>
    <x v="2"/>
    <n v="65249"/>
    <n v="1201044"/>
    <n v="5.4327E-2"/>
    <n v="0.94567299999999999"/>
    <n v="55546.185850000002"/>
    <n v="3017.66"/>
    <n v="54037.357029999999"/>
    <n v="197084.3861"/>
    <n v="3.5481173560000001"/>
    <n v="0.555461859"/>
    <n v="-2.9127339380548221"/>
    <n v="5.5843957111158075E-2"/>
  </r>
  <r>
    <x v="0"/>
    <x v="62"/>
    <x v="2"/>
    <n v="69053"/>
    <n v="1148948"/>
    <n v="6.0101000000000002E-2"/>
    <n v="0.93989900000000004"/>
    <n v="52528.533640000001"/>
    <n v="3157.02"/>
    <n v="50950.024940000003"/>
    <n v="143047.02910000001"/>
    <n v="2.7232252479999999"/>
    <n v="0.52528533600000005"/>
    <n v="-2.8117287986442925"/>
    <n v="6.196307287078557E-2"/>
  </r>
  <r>
    <x v="0"/>
    <x v="63"/>
    <x v="2"/>
    <n v="72140"/>
    <n v="1082562"/>
    <n v="6.6638000000000003E-2"/>
    <n v="0.93336200000000002"/>
    <n v="49371.512750000002"/>
    <n v="3290.02"/>
    <n v="47726.503320000003"/>
    <n v="92097.004119999998"/>
    <n v="1.8653875280000001"/>
    <n v="0.493715128"/>
    <n v="-2.7084802935787211"/>
    <n v="6.8934871365267034E-2"/>
  </r>
  <r>
    <x v="0"/>
    <x v="64"/>
    <x v="2"/>
    <n v="75417"/>
    <n v="1015591"/>
    <n v="7.4259000000000006E-2"/>
    <n v="0.92574100000000004"/>
    <n v="46081.483240000001"/>
    <n v="3421.96"/>
    <n v="44370.500809999998"/>
    <n v="44370.500809999998"/>
    <n v="0.96287049999999996"/>
    <n v="0.46081483200000001"/>
    <n v="-2.6001962965237113"/>
    <n v="4.6850017183601537E-2"/>
  </r>
  <r>
    <x v="1"/>
    <x v="0"/>
    <x v="0"/>
    <n v="901"/>
    <n v="2088855"/>
    <n v="4.3100000000000001E-4"/>
    <n v="0.99956900000000004"/>
    <n v="100000"/>
    <n v="43.1"/>
    <n v="99978.45"/>
    <n v="5830040.9179999996"/>
    <n v="58.300409180000003"/>
    <n v="1"/>
    <n v="-7.7494024678605262"/>
    <n v="4.3109297313176657E-4"/>
  </r>
  <r>
    <x v="1"/>
    <x v="1"/>
    <x v="0"/>
    <n v="1032"/>
    <n v="2133830"/>
    <n v="4.84E-4"/>
    <n v="0.99951599999999996"/>
    <n v="99956.866320000001"/>
    <n v="48.38"/>
    <n v="99932.676760000002"/>
    <n v="5730062.4680000003"/>
    <n v="57.325351210000001"/>
    <n v="0.99956866300000002"/>
    <n v="-7.6334256512476424"/>
    <n v="4.8412584147855818E-4"/>
  </r>
  <r>
    <x v="1"/>
    <x v="2"/>
    <x v="0"/>
    <n v="1107"/>
    <n v="2178862"/>
    <n v="5.0799999999999999E-4"/>
    <n v="0.99949200000000005"/>
    <n v="99908.523440000004"/>
    <n v="50.75"/>
    <n v="99883.146680000005"/>
    <n v="5630129.7910000002"/>
    <n v="56.35284755"/>
    <n v="0.99908523400000004"/>
    <n v="-7.5850291103857925"/>
    <n v="5.0809374051107102E-4"/>
  </r>
  <r>
    <x v="1"/>
    <x v="3"/>
    <x v="0"/>
    <n v="1198"/>
    <n v="2210629"/>
    <n v="5.4199999999999995E-4"/>
    <n v="0.99945799999999996"/>
    <n v="99857.763579999999"/>
    <n v="54.12"/>
    <n v="99830.702130000005"/>
    <n v="5530246.6440000003"/>
    <n v="55.38123873"/>
    <n v="0.99857763600000005"/>
    <n v="-7.5202445565246281"/>
    <n v="5.4211777416567867E-4"/>
  </r>
  <r>
    <x v="1"/>
    <x v="4"/>
    <x v="0"/>
    <n v="1225"/>
    <n v="2277787"/>
    <n v="5.3799999999999996E-4"/>
    <n v="0.99946199999999996"/>
    <n v="99803.647939999995"/>
    <n v="53.69"/>
    <n v="99776.800759999998"/>
    <n v="5430415.9419999998"/>
    <n v="54.410996529999998"/>
    <n v="0.99803647900000003"/>
    <n v="-7.5276519978024901"/>
    <n v="5.3810098433141826E-4"/>
  </r>
  <r>
    <x v="1"/>
    <x v="5"/>
    <x v="0"/>
    <n v="1379"/>
    <n v="2332540"/>
    <n v="5.9100000000000005E-4"/>
    <n v="0.99940899999999999"/>
    <n v="99749.973270000002"/>
    <n v="58.95"/>
    <n v="99720.497149999996"/>
    <n v="5330639.1409999998"/>
    <n v="53.440005710000001"/>
    <n v="0.99749973300000006"/>
    <n v="-7.433694540558176"/>
    <n v="5.9115234692050747E-4"/>
  </r>
  <r>
    <x v="1"/>
    <x v="6"/>
    <x v="0"/>
    <n v="1476"/>
    <n v="2333494"/>
    <n v="6.3299999999999999E-4"/>
    <n v="0.99936700000000001"/>
    <n v="99691.000979999997"/>
    <n v="63.1"/>
    <n v="99659.448780000006"/>
    <n v="5230918.6440000003"/>
    <n v="52.471322309999998"/>
    <n v="0.99691001000000001"/>
    <n v="-7.3650401358200979"/>
    <n v="6.3315607171344275E-4"/>
  </r>
  <r>
    <x v="1"/>
    <x v="7"/>
    <x v="0"/>
    <n v="1536"/>
    <n v="2243248"/>
    <n v="6.8499999999999995E-4"/>
    <n v="0.99931499999999995"/>
    <n v="99627.943650000001"/>
    <n v="68.25"/>
    <n v="99593.821079999994"/>
    <n v="5131259.1950000003"/>
    <n v="51.504216659999997"/>
    <n v="0.99627943699999999"/>
    <n v="-7.2860917197020489"/>
    <n v="6.8528338155507071E-4"/>
  </r>
  <r>
    <x v="1"/>
    <x v="8"/>
    <x v="0"/>
    <n v="1564"/>
    <n v="2193389"/>
    <n v="7.1299999999999998E-4"/>
    <n v="0.99928700000000004"/>
    <n v="99559.726259999996"/>
    <n v="70.989999999999995"/>
    <n v="99524.233219999995"/>
    <n v="5031665.3739999998"/>
    <n v="50.539164409999998"/>
    <n v="0.99559726299999995"/>
    <n v="-7.2460291375499786"/>
    <n v="7.1329363255050627E-4"/>
  </r>
  <r>
    <x v="1"/>
    <x v="9"/>
    <x v="0"/>
    <n v="1587"/>
    <n v="2156739"/>
    <n v="7.36E-4"/>
    <n v="0.99926400000000004"/>
    <n v="99488.735019999993"/>
    <n v="73.22"/>
    <n v="99452.123170000006"/>
    <n v="4932141.1409999998"/>
    <n v="49.574870359999998"/>
    <n v="0.99488734999999995"/>
    <n v="-7.2142804392353979"/>
    <n v="7.3623359219574067E-4"/>
  </r>
  <r>
    <x v="1"/>
    <x v="10"/>
    <x v="0"/>
    <n v="1725"/>
    <n v="2167435"/>
    <n v="7.9600000000000005E-4"/>
    <n v="0.99920399999999998"/>
    <n v="99415.527910000004"/>
    <n v="79.13"/>
    <n v="99375.960529999997"/>
    <n v="4832689.0180000002"/>
    <n v="48.611007950000001"/>
    <n v="0.994155279"/>
    <n v="-7.1359113721198915"/>
    <n v="7.9626898193266586E-4"/>
  </r>
  <r>
    <x v="1"/>
    <x v="11"/>
    <x v="0"/>
    <n v="1907"/>
    <n v="2190224"/>
    <n v="8.7100000000000003E-4"/>
    <n v="0.99912900000000004"/>
    <n v="99336.405910000001"/>
    <n v="86.52"/>
    <n v="99293.144910000003"/>
    <n v="4733313.057"/>
    <n v="47.649328699999998"/>
    <n v="0.99336405900000002"/>
    <n v="-7.0458685811117716"/>
    <n v="8.7135911090554456E-4"/>
  </r>
  <r>
    <x v="1"/>
    <x v="12"/>
    <x v="0"/>
    <n v="1977"/>
    <n v="2128886"/>
    <n v="9.2900000000000003E-4"/>
    <n v="0.99907100000000004"/>
    <n v="99249.914969999998"/>
    <n v="92.2"/>
    <n v="99203.813380000007"/>
    <n v="4634019.9119999995"/>
    <n v="46.690416949999999"/>
    <n v="0.99249915"/>
    <n v="-6.9814018191504355"/>
    <n v="9.2939959593003841E-4"/>
  </r>
  <r>
    <x v="1"/>
    <x v="13"/>
    <x v="0"/>
    <n v="2022"/>
    <n v="2164564"/>
    <n v="9.3400000000000004E-4"/>
    <n v="0.99906600000000001"/>
    <n v="99157.746069999994"/>
    <n v="92.61"/>
    <n v="99111.439400000003"/>
    <n v="4534816.0990000004"/>
    <n v="45.733351939999999"/>
    <n v="0.99157746099999999"/>
    <n v="-6.9760341197354316"/>
    <n v="9.344027987006619E-4"/>
  </r>
  <r>
    <x v="1"/>
    <x v="14"/>
    <x v="0"/>
    <n v="2186"/>
    <n v="2166986"/>
    <n v="1.0089999999999999E-3"/>
    <n v="0.99899099999999996"/>
    <n v="99065.119120000003"/>
    <n v="99.96"/>
    <n v="99015.140769999998"/>
    <n v="4435704.66"/>
    <n v="44.775645539999999"/>
    <n v="0.99065119099999999"/>
    <n v="-6.8987955376106651"/>
    <n v="1.0095424592745646E-3"/>
  </r>
  <r>
    <x v="1"/>
    <x v="15"/>
    <x v="0"/>
    <n v="2318"/>
    <n v="2146149"/>
    <n v="1.08E-3"/>
    <n v="0.99892000000000003"/>
    <n v="98965.184770000007"/>
    <n v="106.88"/>
    <n v="98911.743570000006"/>
    <n v="4336689.5190000003"/>
    <n v="43.820354889999997"/>
    <n v="0.98965184799999995"/>
    <n v="-6.8307942378460087"/>
    <n v="1.0805592956716354E-3"/>
  </r>
  <r>
    <x v="1"/>
    <x v="16"/>
    <x v="0"/>
    <n v="2461"/>
    <n v="2179618"/>
    <n v="1.129E-3"/>
    <n v="0.99887099999999995"/>
    <n v="98858.295029999994"/>
    <n v="111.61"/>
    <n v="98802.489520000003"/>
    <n v="4237777.7750000004"/>
    <n v="42.867194640000001"/>
    <n v="0.98858294999999996"/>
    <n v="-6.7864229938146119"/>
    <n v="1.1296274613437041E-3"/>
  </r>
  <r>
    <x v="1"/>
    <x v="17"/>
    <x v="0"/>
    <n v="2441"/>
    <n v="2054543"/>
    <n v="1.188E-3"/>
    <n v="0.99881200000000003"/>
    <n v="98746.674429999999"/>
    <n v="117.31"/>
    <n v="98688.018909999999"/>
    <n v="4138975.2859999998"/>
    <n v="41.915085339999997"/>
    <n v="0.98746674400000001"/>
    <n v="-6.7354840580416839"/>
    <n v="1.1886955184277916E-3"/>
  </r>
  <r>
    <x v="1"/>
    <x v="18"/>
    <x v="0"/>
    <n v="2606"/>
    <n v="2016225"/>
    <n v="1.2930000000000001E-3"/>
    <n v="0.99870700000000001"/>
    <n v="98629.353629999998"/>
    <n v="127.53"/>
    <n v="98565.589749999999"/>
    <n v="4040287.267"/>
    <n v="40.964349030000001"/>
    <n v="0.98629353600000003"/>
    <n v="-6.6507901791924162"/>
    <n v="1.2938589353094039E-3"/>
  </r>
  <r>
    <x v="1"/>
    <x v="19"/>
    <x v="0"/>
    <n v="2642"/>
    <n v="2000928"/>
    <n v="1.32E-3"/>
    <n v="0.99868000000000001"/>
    <n v="98501.873770000006"/>
    <n v="130.02000000000001"/>
    <n v="98436.862529999999"/>
    <n v="3941721.6770000001"/>
    <n v="40.016717720000003"/>
    <n v="0.98501873799999995"/>
    <n v="-6.6301235423838571"/>
    <n v="1.3208469048424753E-3"/>
  </r>
  <r>
    <x v="1"/>
    <x v="20"/>
    <x v="0"/>
    <n v="2739"/>
    <n v="1941028"/>
    <n v="1.4109999999999999E-3"/>
    <n v="0.99858899999999995"/>
    <n v="98371.813139999998"/>
    <n v="138.80000000000001"/>
    <n v="98302.411829999997"/>
    <n v="3843284.8149999999"/>
    <n v="39.068963879999998"/>
    <n v="0.98371813100000005"/>
    <n v="-6.5634566061114601"/>
    <n v="1.4119695022809075E-3"/>
  </r>
  <r>
    <x v="1"/>
    <x v="21"/>
    <x v="0"/>
    <n v="2863"/>
    <n v="1996568"/>
    <n v="1.4339999999999999E-3"/>
    <n v="0.99856599999999995"/>
    <n v="98232.999890000006"/>
    <n v="140.87"/>
    <n v="98162.566829999996"/>
    <n v="3744982.4029999999"/>
    <n v="38.123465709999998"/>
    <n v="0.98232999899999995"/>
    <n v="-6.5472875368047081"/>
    <n v="1.435068395005192E-3"/>
  </r>
  <r>
    <x v="1"/>
    <x v="22"/>
    <x v="0"/>
    <n v="3134"/>
    <n v="1941928"/>
    <n v="1.614E-3"/>
    <n v="0.998386"/>
    <n v="98092.137629999997"/>
    <n v="158.32"/>
    <n v="98012.977270000003"/>
    <n v="3646819.8360000001"/>
    <n v="37.177493769999998"/>
    <n v="0.98092137599999996"/>
    <n v="-6.4290397091343801"/>
    <n v="1.6152961915113055E-3"/>
  </r>
  <r>
    <x v="1"/>
    <x v="23"/>
    <x v="0"/>
    <n v="3495"/>
    <n v="1977320"/>
    <n v="1.768E-3"/>
    <n v="0.99823200000000001"/>
    <n v="97933.830650000004"/>
    <n v="173.15"/>
    <n v="97847.257140000002"/>
    <n v="3548806.8590000002"/>
    <n v="36.236781870000002"/>
    <n v="0.97933830700000002"/>
    <n v="-6.337906314766685"/>
    <n v="1.7695944223389457E-3"/>
  </r>
  <r>
    <x v="1"/>
    <x v="24"/>
    <x v="0"/>
    <n v="3878"/>
    <n v="2063086"/>
    <n v="1.8799999999999999E-3"/>
    <n v="0.99812000000000001"/>
    <n v="97760.728300000002"/>
    <n v="183.79"/>
    <n v="97668.83322"/>
    <n v="3450959.6009999998"/>
    <n v="35.300060270000003"/>
    <n v="0.97760728299999999"/>
    <n v="-6.2764835021402794"/>
    <n v="1.8817668556645247E-3"/>
  </r>
  <r>
    <x v="1"/>
    <x v="25"/>
    <x v="0"/>
    <n v="4549"/>
    <n v="2181652"/>
    <n v="2.085E-3"/>
    <n v="0.997915"/>
    <n v="97576.966639999999"/>
    <n v="203.45"/>
    <n v="97475.24265"/>
    <n v="3353290.7680000002"/>
    <n v="34.365597579999999"/>
    <n v="0.97576966600000004"/>
    <n v="-6.1729864237313725"/>
    <n v="2.0871967731171744E-3"/>
  </r>
  <r>
    <x v="1"/>
    <x v="26"/>
    <x v="0"/>
    <n v="4860"/>
    <n v="2199725"/>
    <n v="2.209E-3"/>
    <n v="0.99779099999999998"/>
    <n v="97373.507240000006"/>
    <n v="215.1"/>
    <n v="97265.958199999994"/>
    <n v="3255815.5260000001"/>
    <n v="33.436358800000001"/>
    <n v="0.97373507199999998"/>
    <n v="-6.1152153545441568"/>
    <n v="2.2114627100731999E-3"/>
  </r>
  <r>
    <x v="1"/>
    <x v="27"/>
    <x v="0"/>
    <n v="4931"/>
    <n v="2088622"/>
    <n v="2.3609999999999998E-3"/>
    <n v="0.99763900000000005"/>
    <n v="97158.373420000004"/>
    <n v="229.39"/>
    <n v="97043.677960000001"/>
    <n v="3158549.5669999998"/>
    <n v="32.509288249999997"/>
    <n v="0.97158373399999998"/>
    <n v="-6.0486700208787614"/>
    <n v="2.3637808440623671E-3"/>
  </r>
  <r>
    <x v="1"/>
    <x v="28"/>
    <x v="0"/>
    <n v="5386"/>
    <n v="2046863"/>
    <n v="2.6310000000000001E-3"/>
    <n v="0.99736899999999995"/>
    <n v="96928.993499999997"/>
    <n v="255.02"/>
    <n v="96801.483410000001"/>
    <n v="3061505.889"/>
    <n v="31.585037450000002"/>
    <n v="0.96928993500000005"/>
    <n v="-5.9403912769239815"/>
    <n v="2.6344642137029156E-3"/>
  </r>
  <r>
    <x v="1"/>
    <x v="29"/>
    <x v="0"/>
    <n v="6090"/>
    <n v="2054806"/>
    <n v="2.9640000000000001E-3"/>
    <n v="0.99703600000000003"/>
    <n v="96673.940010000006"/>
    <n v="286.54000000000002"/>
    <n v="96530.66923"/>
    <n v="2964704.406"/>
    <n v="30.667048489999999"/>
    <n v="0.96673940000000003"/>
    <n v="-5.8212155715482963"/>
    <n v="2.9683827038756668E-3"/>
  </r>
  <r>
    <x v="1"/>
    <x v="30"/>
    <x v="0"/>
    <n v="6721"/>
    <n v="2091455"/>
    <n v="3.2139999999999998E-3"/>
    <n v="0.99678599999999995"/>
    <n v="96387.419380000007"/>
    <n v="309.79000000000002"/>
    <n v="96232.524799999999"/>
    <n v="2868173.7370000002"/>
    <n v="29.756722979999999"/>
    <n v="0.96387419399999996"/>
    <n v="-5.7402390116668158"/>
    <n v="3.2191811572023364E-3"/>
  </r>
  <r>
    <x v="1"/>
    <x v="31"/>
    <x v="0"/>
    <n v="7660"/>
    <n v="2217966"/>
    <n v="3.454E-3"/>
    <n v="0.99654600000000004"/>
    <n v="96077.673370000004"/>
    <n v="331.85"/>
    <n v="95911.747229999994"/>
    <n v="2771941.2119999998"/>
    <n v="28.851044309999999"/>
    <n v="0.96077673399999997"/>
    <n v="-5.6682222992576499"/>
    <n v="3.4599508979908391E-3"/>
  </r>
  <r>
    <x v="1"/>
    <x v="32"/>
    <x v="0"/>
    <n v="8543"/>
    <n v="2266189"/>
    <n v="3.7699999999999999E-3"/>
    <n v="0.99622999999999995"/>
    <n v="95745.858110000001"/>
    <n v="360.96"/>
    <n v="95565.377170000007"/>
    <n v="2676029.4649999999"/>
    <n v="27.949297420000001"/>
    <n v="0.95745858100000003"/>
    <n v="-5.5806802775222177"/>
    <n v="3.7770997009137202E-3"/>
  </r>
  <r>
    <x v="1"/>
    <x v="33"/>
    <x v="0"/>
    <n v="9477"/>
    <n v="2267892"/>
    <n v="4.1790000000000004E-3"/>
    <n v="0.99582099999999996"/>
    <n v="95384.918720000001"/>
    <n v="398.61"/>
    <n v="95185.611929999999"/>
    <n v="2580464.088"/>
    <n v="27.0531665"/>
    <n v="0.95384918699999999"/>
    <n v="-5.4776832955163588"/>
    <n v="4.1877122609422371E-3"/>
  </r>
  <r>
    <x v="1"/>
    <x v="34"/>
    <x v="0"/>
    <n v="10213"/>
    <n v="2265370"/>
    <n v="4.5079999999999999E-3"/>
    <n v="0.99549200000000004"/>
    <n v="94986.327040000004"/>
    <n v="428.2"/>
    <n v="94772.227859999999"/>
    <n v="2485278.4759999998"/>
    <n v="26.164591819999998"/>
    <n v="0.94986327000000004"/>
    <n v="-5.4019016828046071"/>
    <n v="4.5182019786082564E-3"/>
  </r>
  <r>
    <x v="1"/>
    <x v="35"/>
    <x v="0"/>
    <n v="11212"/>
    <n v="2297597"/>
    <n v="4.8799999999999998E-3"/>
    <n v="0.99512"/>
    <n v="94558.098830000003"/>
    <n v="461.44"/>
    <n v="94327.377070000002"/>
    <n v="2390506.2480000001"/>
    <n v="25.280819699999999"/>
    <n v="0.94558098800000001"/>
    <n v="-5.3226100591170811"/>
    <n v="4.8918986919894575E-3"/>
  </r>
  <r>
    <x v="1"/>
    <x v="36"/>
    <x v="0"/>
    <n v="11931"/>
    <n v="2311661"/>
    <n v="5.1609999999999998E-3"/>
    <n v="0.99483900000000003"/>
    <n v="94096.666549999994"/>
    <n v="485.63"/>
    <n v="93853.850099999996"/>
    <n v="2296178.8709999998"/>
    <n v="24.402340219999999"/>
    <n v="0.94096666600000001"/>
    <n v="-5.2666249198155466"/>
    <n v="5.1743221398821669E-3"/>
  </r>
  <r>
    <x v="1"/>
    <x v="37"/>
    <x v="0"/>
    <n v="12662"/>
    <n v="2241986"/>
    <n v="5.6480000000000002E-3"/>
    <n v="0.99435200000000001"/>
    <n v="93611.012589999998"/>
    <n v="528.71"/>
    <n v="93346.65509"/>
    <n v="2202325.0210000002"/>
    <n v="23.526345460000002"/>
    <n v="0.93611012599999999"/>
    <n v="-5.1764537787911964"/>
    <n v="5.6639406345146354E-3"/>
  </r>
  <r>
    <x v="1"/>
    <x v="38"/>
    <x v="0"/>
    <n v="13403"/>
    <n v="2232174"/>
    <n v="6.0039999999999998E-3"/>
    <n v="0.99399599999999999"/>
    <n v="93082.32836"/>
    <n v="558.87"/>
    <n v="92802.895210000002"/>
    <n v="2108978.3659999999"/>
    <n v="22.657129479999998"/>
    <n v="0.93082328400000003"/>
    <n v="-5.115329365210922"/>
    <n v="6.0221195441064156E-3"/>
  </r>
  <r>
    <x v="1"/>
    <x v="39"/>
    <x v="0"/>
    <n v="14288"/>
    <n v="2213284"/>
    <n v="6.4559999999999999E-3"/>
    <n v="0.99354399999999998"/>
    <n v="92523.419219999996"/>
    <n v="597.33000000000004"/>
    <n v="92224.753620000003"/>
    <n v="2016175.47"/>
    <n v="21.790974519999999"/>
    <n v="0.92523419200000001"/>
    <n v="-5.0427453480144893"/>
    <n v="6.4768930939698493E-3"/>
  </r>
  <r>
    <x v="1"/>
    <x v="40"/>
    <x v="0"/>
    <n v="14892"/>
    <n v="2139267"/>
    <n v="6.9610000000000002E-3"/>
    <n v="0.99303900000000001"/>
    <n v="91926.128219999999"/>
    <n v="639.9"/>
    <n v="91606.179329999999"/>
    <n v="1923950.7169999999"/>
    <n v="20.929313069999999"/>
    <n v="0.91926128200000001"/>
    <n v="-4.9674321367956074"/>
    <n v="6.985337551058823E-3"/>
  </r>
  <r>
    <x v="1"/>
    <x v="41"/>
    <x v="0"/>
    <n v="15278"/>
    <n v="2122487"/>
    <n v="7.1980000000000004E-3"/>
    <n v="0.99280199999999996"/>
    <n v="91286.206279999999"/>
    <n v="657.08"/>
    <n v="90957.667220000003"/>
    <n v="1832344.537"/>
    <n v="20.07252368"/>
    <n v="0.91286206299999995"/>
    <n v="-4.9339520693252981"/>
    <n v="7.2240204995757508E-3"/>
  </r>
  <r>
    <x v="1"/>
    <x v="42"/>
    <x v="0"/>
    <n v="16291"/>
    <n v="2044245"/>
    <n v="7.9690000000000004E-3"/>
    <n v="0.992031"/>
    <n v="90629.113599999997"/>
    <n v="722.22"/>
    <n v="90268.001900000003"/>
    <n v="1741386.87"/>
    <n v="19.214431220000002"/>
    <n v="0.906291136"/>
    <n v="-4.8321962645665257"/>
    <n v="8.0008425777250824E-3"/>
  </r>
  <r>
    <x v="1"/>
    <x v="43"/>
    <x v="0"/>
    <n v="16695"/>
    <n v="1968870"/>
    <n v="8.4790000000000004E-3"/>
    <n v="0.99152099999999999"/>
    <n v="89906.871950000001"/>
    <n v="762.32"/>
    <n v="89525.711769999994"/>
    <n v="1651118.868"/>
    <n v="18.364768260000002"/>
    <n v="0.89906872000000004"/>
    <n v="-4.7701627606602708"/>
    <n v="8.5150977291191011E-3"/>
  </r>
  <r>
    <x v="1"/>
    <x v="44"/>
    <x v="0"/>
    <n v="17409"/>
    <n v="1892535"/>
    <n v="9.1990000000000006E-3"/>
    <n v="0.99080100000000004"/>
    <n v="89144.508140000005"/>
    <n v="820.04"/>
    <n v="88734.487970000002"/>
    <n v="1561593.156"/>
    <n v="17.51754751"/>
    <n v="0.89144508099999997"/>
    <n v="-4.6886604964871168"/>
    <n v="9.2415015315493731E-3"/>
  </r>
  <r>
    <x v="1"/>
    <x v="45"/>
    <x v="0"/>
    <n v="17934"/>
    <n v="1839731"/>
    <n v="9.7479999999999997E-3"/>
    <n v="0.99025200000000002"/>
    <n v="88324.488039999997"/>
    <n v="860.99"/>
    <n v="87893.994489999997"/>
    <n v="1472858.669"/>
    <n v="16.67554153"/>
    <n v="0.88324488000000001"/>
    <n v="-4.6306931432191769"/>
    <n v="9.7957781542777327E-3"/>
  </r>
  <r>
    <x v="1"/>
    <x v="46"/>
    <x v="0"/>
    <n v="18641"/>
    <n v="1794239"/>
    <n v="1.0389000000000001E-2"/>
    <n v="0.98961100000000002"/>
    <n v="87463.486420000001"/>
    <n v="908.66"/>
    <n v="87009.157340000005"/>
    <n v="1384964.6740000001"/>
    <n v="15.834775520000001"/>
    <n v="0.87463486400000001"/>
    <n v="-4.5670077248937426"/>
    <n v="1.0443270495446523E-2"/>
  </r>
  <r>
    <x v="1"/>
    <x v="47"/>
    <x v="0"/>
    <n v="20160"/>
    <n v="1741373"/>
    <n v="1.1577E-2"/>
    <n v="0.98842300000000005"/>
    <n v="86554.796530000007"/>
    <n v="1002.04"/>
    <n v="86053.774090000006"/>
    <n v="1297955.517"/>
    <n v="14.99576648"/>
    <n v="0.86554796499999997"/>
    <n v="-4.4587349077585454"/>
    <n v="1.164434734852776E-2"/>
  </r>
  <r>
    <x v="1"/>
    <x v="48"/>
    <x v="0"/>
    <n v="21599"/>
    <n v="1719694"/>
    <n v="1.256E-2"/>
    <n v="0.98743999999999998"/>
    <n v="85552.745439999999"/>
    <n v="1074.54"/>
    <n v="85015.474199999997"/>
    <n v="1211901.743"/>
    <n v="14.16555058"/>
    <n v="0.85552745399999997"/>
    <n v="-4.3772381179420847"/>
    <n v="1.2639344754593064E-2"/>
  </r>
  <r>
    <x v="1"/>
    <x v="49"/>
    <x v="0"/>
    <n v="23932"/>
    <n v="1788127"/>
    <n v="1.3384E-2"/>
    <n v="0.98661600000000005"/>
    <n v="84478.220700000005"/>
    <n v="1130.6600000000001"/>
    <n v="83912.892449999999"/>
    <n v="1126886.2679999999"/>
    <n v="13.339370300000001"/>
    <n v="0.84478220699999995"/>
    <n v="-4.3136953152976139"/>
    <n v="1.3474209673280012E-2"/>
  </r>
  <r>
    <x v="1"/>
    <x v="50"/>
    <x v="0"/>
    <n v="20393"/>
    <n v="1325617"/>
    <n v="1.5384E-2"/>
    <n v="0.98461600000000005"/>
    <n v="83347.577980000002"/>
    <n v="1282.22"/>
    <n v="82706.468410000001"/>
    <n v="1042973.376"/>
    <n v="12.513541500000001"/>
    <n v="0.83347578"/>
    <n v="-4.1744272706956584"/>
    <n v="1.5503259688513595E-2"/>
  </r>
  <r>
    <x v="1"/>
    <x v="51"/>
    <x v="0"/>
    <n v="21484"/>
    <n v="1310054"/>
    <n v="1.6399E-2"/>
    <n v="0.98360099999999995"/>
    <n v="82065.377200000003"/>
    <n v="1345.79"/>
    <n v="81392.482139999993"/>
    <n v="960266.90749999997"/>
    <n v="11.701242840000001"/>
    <n v="0.820653772"/>
    <n v="-4.1105349216208289"/>
    <n v="1.6534576467545904E-2"/>
  </r>
  <r>
    <x v="1"/>
    <x v="52"/>
    <x v="0"/>
    <n v="23542"/>
    <n v="1276783"/>
    <n v="1.8439000000000001E-2"/>
    <n v="0.98156100000000002"/>
    <n v="80719.560490000003"/>
    <n v="1488.39"/>
    <n v="79975.366500000004"/>
    <n v="878874.42539999995"/>
    <n v="10.88799815"/>
    <n v="0.80719560499999998"/>
    <n v="-3.9932872922591094"/>
    <n v="1.8610601128365774E-2"/>
  </r>
  <r>
    <x v="1"/>
    <x v="53"/>
    <x v="0"/>
    <n v="26233"/>
    <n v="1304712"/>
    <n v="2.0105999999999999E-2"/>
    <n v="0.97989400000000004"/>
    <n v="79231.210550000003"/>
    <n v="1593.02"/>
    <n v="78434.699189999999"/>
    <n v="798899.05889999995"/>
    <n v="10.083135840000001"/>
    <n v="0.79231210600000002"/>
    <n v="-3.9067370009989086"/>
    <n v="2.0310147171941458E-2"/>
  </r>
  <r>
    <x v="1"/>
    <x v="54"/>
    <x v="0"/>
    <n v="25420"/>
    <n v="1138891"/>
    <n v="2.232E-2"/>
    <n v="0.97767999999999999"/>
    <n v="77638.159870000003"/>
    <n v="1732.88"/>
    <n v="76771.718009999997"/>
    <n v="720464.35970000003"/>
    <n v="9.2797711970000005"/>
    <n v="0.77638159900000003"/>
    <n v="-3.802272141469027"/>
    <n v="2.2571853396055514E-2"/>
  </r>
  <r>
    <x v="1"/>
    <x v="55"/>
    <x v="0"/>
    <n v="25708"/>
    <n v="1043735"/>
    <n v="2.4631E-2"/>
    <n v="0.97536900000000004"/>
    <n v="75905.279349999997"/>
    <n v="1869.62"/>
    <n v="74970.467879999997"/>
    <n v="643692.64170000004"/>
    <n v="8.4802091140000009"/>
    <n v="0.75905279400000003"/>
    <n v="-3.703749466780665"/>
    <n v="2.4938083461756983E-2"/>
  </r>
  <r>
    <x v="1"/>
    <x v="56"/>
    <x v="0"/>
    <n v="25901"/>
    <n v="984932"/>
    <n v="2.6297000000000001E-2"/>
    <n v="0.97370299999999999"/>
    <n v="74035.673639999994"/>
    <n v="1946.92"/>
    <n v="73062.215590000007"/>
    <n v="568722.17379999999"/>
    <n v="7.6817316010000001"/>
    <n v="0.74035673599999996"/>
    <n v="-3.6383004147457823"/>
    <n v="2.664742956354061E-2"/>
  </r>
  <r>
    <x v="1"/>
    <x v="57"/>
    <x v="0"/>
    <n v="27585"/>
    <n v="920921"/>
    <n v="2.9954000000000001E-2"/>
    <n v="0.97004599999999996"/>
    <n v="72088.739249999999"/>
    <n v="2159.35"/>
    <n v="71009.066200000001"/>
    <n v="495659.95819999999"/>
    <n v="6.8756918679999997"/>
    <n v="0.72088739300000004"/>
    <n v="-3.5080924074119331"/>
    <n v="3.0409492717150589E-2"/>
  </r>
  <r>
    <x v="1"/>
    <x v="58"/>
    <x v="0"/>
    <n v="28945"/>
    <n v="882532"/>
    <n v="3.2798000000000001E-2"/>
    <n v="0.96720200000000001"/>
    <n v="69929.414099999995"/>
    <n v="2293.54"/>
    <n v="68782.641640000002"/>
    <n v="424650.89199999999"/>
    <n v="6.0725647069999997"/>
    <n v="0.69929414099999998"/>
    <n v="-3.4173877410608831"/>
    <n v="3.3344744684405049E-2"/>
  </r>
  <r>
    <x v="1"/>
    <x v="59"/>
    <x v="0"/>
    <n v="29905"/>
    <n v="812156"/>
    <n v="3.6822000000000001E-2"/>
    <n v="0.96317799999999998"/>
    <n v="67635.89172"/>
    <n v="2490.4899999999998"/>
    <n v="66390.647320000004"/>
    <n v="355868.25040000002"/>
    <n v="5.2615296599999999"/>
    <n v="0.67635891699999995"/>
    <n v="-3.301659786347122"/>
    <n v="3.7512658413484064E-2"/>
  </r>
  <r>
    <x v="1"/>
    <x v="60"/>
    <x v="0"/>
    <n v="31952"/>
    <n v="773313"/>
    <n v="4.1318000000000001E-2"/>
    <n v="0.95868200000000003"/>
    <n v="65145.420259999999"/>
    <n v="2691.68"/>
    <n v="63799.581019999998"/>
    <n v="289477.60310000001"/>
    <n v="4.4435602980000004"/>
    <n v="0.65145420300000001"/>
    <n v="-3.1864570386127"/>
    <n v="4.2189625814791208E-2"/>
  </r>
  <r>
    <x v="1"/>
    <x v="61"/>
    <x v="0"/>
    <n v="33568"/>
    <n v="740254"/>
    <n v="4.5346999999999998E-2"/>
    <n v="0.95465299999999997"/>
    <n v="62453.720430000001"/>
    <n v="2832.09"/>
    <n v="61037.675999999999"/>
    <n v="225678.0221"/>
    <n v="3.61352407"/>
    <n v="0.62453720400000001"/>
    <n v="-3.0934112567590861"/>
    <n v="4.6399037478099731E-2"/>
  </r>
  <r>
    <x v="1"/>
    <x v="62"/>
    <x v="0"/>
    <n v="34222"/>
    <n v="660414"/>
    <n v="5.1818999999999997E-2"/>
    <n v="0.94818100000000005"/>
    <n v="59621.656730000002"/>
    <n v="3089.53"/>
    <n v="58076.889410000003"/>
    <n v="164640.3461"/>
    <n v="2.7614185029999998"/>
    <n v="0.59621656700000003"/>
    <n v="-2.95999840160288"/>
    <n v="5.3197236420158049E-2"/>
  </r>
  <r>
    <x v="1"/>
    <x v="63"/>
    <x v="0"/>
    <n v="36058"/>
    <n v="636001"/>
    <n v="5.6695000000000002E-2"/>
    <n v="0.94330499999999995"/>
    <n v="56532.121469999998"/>
    <n v="3205.09"/>
    <n v="54929.577160000001"/>
    <n v="106563.4566"/>
    <n v="1.885007211"/>
    <n v="0.56532121499999999"/>
    <n v="-2.870069255558334"/>
    <n v="5.8349071065767755E-2"/>
  </r>
  <r>
    <x v="1"/>
    <x v="64"/>
    <x v="0"/>
    <n v="38253"/>
    <n v="602402"/>
    <n v="6.3501000000000002E-2"/>
    <n v="0.93649899999999997"/>
    <n v="53327.039660000002"/>
    <n v="3386.32"/>
    <n v="51633.879489999999"/>
    <n v="51633.879489999999"/>
    <n v="0.96824949999999999"/>
    <n v="0.53327039700000001"/>
    <n v="-2.7566996251759939"/>
    <n v="4.4171204342157842E-2"/>
  </r>
  <r>
    <x v="1"/>
    <x v="0"/>
    <x v="1"/>
    <n v="2602"/>
    <n v="2197366"/>
    <n v="1.1839999999999999E-3"/>
    <n v="0.99881600000000004"/>
    <n v="100000"/>
    <n v="118.4"/>
    <n v="99940.800000000003"/>
    <n v="5483982.7560000001"/>
    <n v="54.839827560000003"/>
    <n v="1"/>
    <n v="-6.7388567425203227"/>
    <n v="1.1847014291369027E-3"/>
  </r>
  <r>
    <x v="1"/>
    <x v="1"/>
    <x v="1"/>
    <n v="3150"/>
    <n v="2253024"/>
    <n v="1.3979999999999999E-3"/>
    <n v="0.99860199999999999"/>
    <n v="99881.585500000001"/>
    <n v="139.63"/>
    <n v="99811.76827"/>
    <n v="5384041.9560000002"/>
    <n v="53.904250009999998"/>
    <n v="0.99881585500000003"/>
    <n v="-6.572712635170519"/>
    <n v="1.3989333208870246E-3"/>
  </r>
  <r>
    <x v="1"/>
    <x v="2"/>
    <x v="1"/>
    <n v="3275"/>
    <n v="2302042"/>
    <n v="1.423E-3"/>
    <n v="0.99857700000000005"/>
    <n v="99741.938959999999"/>
    <n v="141.93"/>
    <n v="99670.972569999998"/>
    <n v="5284230.1880000001"/>
    <n v="52.979020089999999"/>
    <n v="0.99741939000000002"/>
    <n v="-6.5549879598744214"/>
    <n v="1.4239850527950054E-3"/>
  </r>
  <r>
    <x v="1"/>
    <x v="3"/>
    <x v="1"/>
    <n v="3524"/>
    <n v="2342323"/>
    <n v="1.5039999999999999E-3"/>
    <n v="0.99849600000000005"/>
    <n v="99600.041100000002"/>
    <n v="149.80000000000001"/>
    <n v="99525.141870000007"/>
    <n v="5184559.2149999999"/>
    <n v="52.053785900000001"/>
    <n v="0.99600041100000003"/>
    <n v="-6.4996270534544891"/>
    <n v="1.5051476829454637E-3"/>
  </r>
  <r>
    <x v="1"/>
    <x v="4"/>
    <x v="1"/>
    <n v="3749"/>
    <n v="2396310"/>
    <n v="1.5640000000000001E-3"/>
    <n v="0.99843599999999999"/>
    <n v="99450.193899999998"/>
    <n v="155.54"/>
    <n v="99372.423850000006"/>
    <n v="5085034.0729999999"/>
    <n v="51.131464639999997"/>
    <n v="0.99450193899999995"/>
    <n v="-6.4605086368590179"/>
    <n v="1.5652233488592066E-3"/>
  </r>
  <r>
    <x v="1"/>
    <x v="5"/>
    <x v="1"/>
    <n v="3924"/>
    <n v="2425812"/>
    <n v="1.6180000000000001E-3"/>
    <n v="0.99838199999999999"/>
    <n v="99294.605190000002"/>
    <n v="160.66"/>
    <n v="99214.275850000005"/>
    <n v="4985661.6490000002"/>
    <n v="50.210800880000001"/>
    <n v="0.99294605199999997"/>
    <n v="-6.4265644603458369"/>
    <n v="1.6193230931166986E-3"/>
  </r>
  <r>
    <x v="1"/>
    <x v="6"/>
    <x v="1"/>
    <n v="3798"/>
    <n v="2413760"/>
    <n v="1.573E-3"/>
    <n v="0.99842699999999995"/>
    <n v="99133.985969999994"/>
    <n v="155.94"/>
    <n v="99056.017089999994"/>
    <n v="4886447.3739999998"/>
    <n v="49.291343689999998"/>
    <n v="0.99133985999999996"/>
    <n v="-6.454770654905996"/>
    <n v="1.5742611295943094E-3"/>
  </r>
  <r>
    <x v="1"/>
    <x v="7"/>
    <x v="1"/>
    <n v="3927"/>
    <n v="2315958"/>
    <n v="1.696E-3"/>
    <n v="0.99830399999999997"/>
    <n v="98978.000750000007"/>
    <n v="167.87"/>
    <n v="98894.067410000003"/>
    <n v="4787391.3559999997"/>
    <n v="48.368236580000001"/>
    <n v="0.98978000799999999"/>
    <n v="-6.379482741612426"/>
    <n v="1.6974725889595597E-3"/>
  </r>
  <r>
    <x v="1"/>
    <x v="8"/>
    <x v="1"/>
    <n v="4030"/>
    <n v="2258118"/>
    <n v="1.7849999999999999E-3"/>
    <n v="0.99821499999999996"/>
    <n v="98810.171019999994"/>
    <n v="176.38"/>
    <n v="98721.982940000002"/>
    <n v="4688497.2889999999"/>
    <n v="47.449541279999998"/>
    <n v="0.98810171000000002"/>
    <n v="-6.3283368637505344"/>
    <n v="1.7866331874108242E-3"/>
  </r>
  <r>
    <x v="1"/>
    <x v="9"/>
    <x v="1"/>
    <n v="3832"/>
    <n v="2217826"/>
    <n v="1.7279999999999999E-3"/>
    <n v="0.99827200000000005"/>
    <n v="98633.827269999994"/>
    <n v="170.44"/>
    <n v="98548.607640000002"/>
    <n v="4589775.3059999999"/>
    <n v="46.533480789999999"/>
    <n v="0.98633827299999999"/>
    <n v="-6.360790608600273"/>
    <n v="1.7295017003217624E-3"/>
  </r>
  <r>
    <x v="1"/>
    <x v="10"/>
    <x v="1"/>
    <n v="3960"/>
    <n v="2224720"/>
    <n v="1.7799999999999999E-3"/>
    <n v="0.99822"/>
    <n v="98463.405960000004"/>
    <n v="175.26"/>
    <n v="98375.773530000006"/>
    <n v="4491226.6979999999"/>
    <n v="45.613156019999998"/>
    <n v="0.98463405999999998"/>
    <n v="-6.3311419146781436"/>
    <n v="1.7815361817013599E-3"/>
  </r>
  <r>
    <x v="1"/>
    <x v="11"/>
    <x v="1"/>
    <n v="4011"/>
    <n v="2233583"/>
    <n v="1.7960000000000001E-3"/>
    <n v="0.99820399999999998"/>
    <n v="98288.141159999999"/>
    <n v="176.53"/>
    <n v="98199.878410000005"/>
    <n v="4392850.9249999998"/>
    <n v="44.693600600000003"/>
    <n v="0.98288141200000001"/>
    <n v="-6.3221933091021292"/>
    <n v="1.7976598594805276E-3"/>
  </r>
  <r>
    <x v="1"/>
    <x v="12"/>
    <x v="1"/>
    <n v="4147"/>
    <n v="2154190"/>
    <n v="1.9250000000000001E-3"/>
    <n v="0.99807500000000005"/>
    <n v="98111.638330000002"/>
    <n v="188.86"/>
    <n v="98017.205879999994"/>
    <n v="4294651.0470000003"/>
    <n v="43.773105000000001"/>
    <n v="0.98111638300000004"/>
    <n v="-6.2528293112423894"/>
    <n v="1.9268046502345323E-3"/>
  </r>
  <r>
    <x v="1"/>
    <x v="13"/>
    <x v="1"/>
    <n v="4219"/>
    <n v="2181222"/>
    <n v="1.934E-3"/>
    <n v="0.99806600000000001"/>
    <n v="97922.765029999995"/>
    <n v="189.38"/>
    <n v="97828.07372"/>
    <n v="4196633.841"/>
    <n v="42.856570069999997"/>
    <n v="0.97922765000000001"/>
    <n v="-6.2481648819510349"/>
    <n v="1.9358453586425803E-3"/>
  </r>
  <r>
    <x v="1"/>
    <x v="14"/>
    <x v="1"/>
    <n v="4409"/>
    <n v="2174549"/>
    <n v="2.0279999999999999E-3"/>
    <n v="0.99797199999999997"/>
    <n v="97733.359209999995"/>
    <n v="198.2"/>
    <n v="97634.257580000005"/>
    <n v="4098805.767"/>
    <n v="41.938656360000003"/>
    <n v="0.97733359200000003"/>
    <n v="-6.2007051932532002"/>
    <n v="2.0300247060587406E-3"/>
  </r>
  <r>
    <x v="1"/>
    <x v="15"/>
    <x v="1"/>
    <n v="4468"/>
    <n v="2146976"/>
    <n v="2.081E-3"/>
    <n v="0.997919"/>
    <n v="97535.200240000006"/>
    <n v="202.97"/>
    <n v="97433.714859999993"/>
    <n v="4001171.5090000001"/>
    <n v="41.022846110000003"/>
    <n v="0.97535200200000005"/>
    <n v="-6.1749067315706396"/>
    <n v="2.0831598901989976E-3"/>
  </r>
  <r>
    <x v="1"/>
    <x v="16"/>
    <x v="1"/>
    <n v="4564"/>
    <n v="2195944"/>
    <n v="2.078E-3"/>
    <n v="0.99792199999999998"/>
    <n v="97332.222999999998"/>
    <n v="202.26"/>
    <n v="97231.094819999998"/>
    <n v="3903737.7949999999"/>
    <n v="40.107352679999998"/>
    <n v="0.97332222999999995"/>
    <n v="-6.1763493863051018"/>
    <n v="2.0801991232011915E-3"/>
  </r>
  <r>
    <x v="1"/>
    <x v="17"/>
    <x v="1"/>
    <n v="4560"/>
    <n v="2048955"/>
    <n v="2.2260000000000001E-3"/>
    <n v="0.99777400000000005"/>
    <n v="97129.929919999995"/>
    <n v="216.21"/>
    <n v="97021.824309999996"/>
    <n v="3806506.7"/>
    <n v="39.189842949999999"/>
    <n v="0.971299299"/>
    <n v="-6.1075490261287841"/>
    <n v="2.2284671526702415E-3"/>
  </r>
  <r>
    <x v="1"/>
    <x v="18"/>
    <x v="1"/>
    <n v="4567"/>
    <n v="2005894"/>
    <n v="2.2769999999999999E-3"/>
    <n v="0.99772300000000003"/>
    <n v="96913.764859999996"/>
    <n v="220.67"/>
    <n v="96803.428539999994"/>
    <n v="3709484.875"/>
    <n v="38.27614045"/>
    <n v="0.96913764899999999"/>
    <n v="-6.0848964919005342"/>
    <n v="2.2795677815110509E-3"/>
  </r>
  <r>
    <x v="1"/>
    <x v="19"/>
    <x v="1"/>
    <n v="4650"/>
    <n v="1978673"/>
    <n v="2.3500000000000001E-3"/>
    <n v="0.99765000000000004"/>
    <n v="96693.112540000002"/>
    <n v="227.23"/>
    <n v="96579.498130000007"/>
    <n v="3612681.4470000002"/>
    <n v="37.362345179999998"/>
    <n v="0.966931125"/>
    <n v="-6.0533399508260697"/>
    <n v="2.3527768439391152E-3"/>
  </r>
  <r>
    <x v="1"/>
    <x v="20"/>
    <x v="1"/>
    <n v="4597"/>
    <n v="1921122"/>
    <n v="2.3930000000000002E-3"/>
    <n v="0.99760700000000002"/>
    <n v="96465.877940000006"/>
    <n v="230.84"/>
    <n v="96350.456520000007"/>
    <n v="3516101.949"/>
    <n v="36.449177919999997"/>
    <n v="0.96465877899999997"/>
    <n v="-6.0352074700559006"/>
    <n v="2.3958369645053538E-3"/>
  </r>
  <r>
    <x v="1"/>
    <x v="21"/>
    <x v="1"/>
    <n v="4927"/>
    <n v="1983028"/>
    <n v="2.4849999999999998E-3"/>
    <n v="0.99751500000000004"/>
    <n v="96235.047390000007"/>
    <n v="239.14"/>
    <n v="96115.475340000005"/>
    <n v="3419751.4920000001"/>
    <n v="35.535406119999998"/>
    <n v="0.96235047399999996"/>
    <n v="-5.9974826194335451"/>
    <n v="2.4880483538761654E-3"/>
  </r>
  <r>
    <x v="1"/>
    <x v="22"/>
    <x v="1"/>
    <n v="4954"/>
    <n v="1912625"/>
    <n v="2.5899999999999999E-3"/>
    <n v="0.99741000000000002"/>
    <n v="95995.943320000006"/>
    <n v="248.63"/>
    <n v="95871.628570000001"/>
    <n v="3323636.017"/>
    <n v="34.622671560000001"/>
    <n v="0.95995943299999997"/>
    <n v="-5.9560974032706904"/>
    <n v="2.59336388983242E-3"/>
  </r>
  <r>
    <x v="1"/>
    <x v="23"/>
    <x v="1"/>
    <n v="5708"/>
    <n v="1934987"/>
    <n v="2.9499999999999999E-3"/>
    <n v="0.99704999999999999"/>
    <n v="95747.298710000003"/>
    <n v="282.45"/>
    <n v="95606.07144"/>
    <n v="3227764.3879999998"/>
    <n v="33.7112841"/>
    <n v="0.95747298700000005"/>
    <n v="-5.8259501086304084"/>
    <n v="2.9543101213679048E-3"/>
  </r>
  <r>
    <x v="1"/>
    <x v="24"/>
    <x v="1"/>
    <n v="6220"/>
    <n v="2024559"/>
    <n v="3.0720000000000001E-3"/>
    <n v="0.99692800000000004"/>
    <n v="95464.854649999994"/>
    <n v="293.27"/>
    <n v="95318.220629999996"/>
    <n v="3132158.3169999998"/>
    <n v="32.809543660000003"/>
    <n v="0.95464854700000001"/>
    <n v="-5.7854264636967114"/>
    <n v="3.0767469042697082E-3"/>
  </r>
  <r>
    <x v="1"/>
    <x v="25"/>
    <x v="1"/>
    <n v="6937"/>
    <n v="2137964"/>
    <n v="3.2450000000000001E-3"/>
    <n v="0.99675499999999995"/>
    <n v="95171.560450000004"/>
    <n v="308.83"/>
    <n v="95017.144589999996"/>
    <n v="3036840.0959999999"/>
    <n v="31.9091132"/>
    <n v="0.95171560499999996"/>
    <n v="-5.7306399288260836"/>
    <n v="3.2502550057141636E-3"/>
  </r>
  <r>
    <x v="1"/>
    <x v="26"/>
    <x v="1"/>
    <n v="7499"/>
    <n v="2172236"/>
    <n v="3.4520000000000002E-3"/>
    <n v="0.99654799999999999"/>
    <n v="94862.759600000005"/>
    <n v="327.47000000000003"/>
    <n v="94699.02648"/>
    <n v="2941822.952"/>
    <n v="31.011357499999999"/>
    <n v="0.94862759600000002"/>
    <n v="-5.6688015057609551"/>
    <n v="3.4580084453599068E-3"/>
  </r>
  <r>
    <x v="1"/>
    <x v="27"/>
    <x v="1"/>
    <n v="7800"/>
    <n v="2054342"/>
    <n v="3.797E-3"/>
    <n v="0.99620299999999995"/>
    <n v="94535.274080000003"/>
    <n v="358.95"/>
    <n v="94355.798859999995"/>
    <n v="2847123.9249999998"/>
    <n v="30.117053689999999"/>
    <n v="0.945352741"/>
    <n v="-5.5735439977324717"/>
    <n v="3.8042173864578986E-3"/>
  </r>
  <r>
    <x v="1"/>
    <x v="28"/>
    <x v="1"/>
    <n v="8380"/>
    <n v="2008211"/>
    <n v="4.1729999999999996E-3"/>
    <n v="0.99582700000000002"/>
    <n v="94176.339129999993"/>
    <n v="393"/>
    <n v="93979.840200000006"/>
    <n v="2752768.1260000002"/>
    <n v="29.229933460000002"/>
    <n v="0.94176339099999995"/>
    <n v="-5.4791200773727216"/>
    <n v="4.1817476305217715E-3"/>
  </r>
  <r>
    <x v="1"/>
    <x v="29"/>
    <x v="1"/>
    <n v="9153"/>
    <n v="2003202"/>
    <n v="4.5690000000000001E-3"/>
    <n v="0.99543099999999995"/>
    <n v="93783.353669999997"/>
    <n v="428.5"/>
    <n v="93569.105599999995"/>
    <n v="2658788.2859999998"/>
    <n v="28.350322120000001"/>
    <n v="0.93783353700000005"/>
    <n v="-5.3884609164010024"/>
    <n v="4.5795034261970884E-3"/>
  </r>
  <r>
    <x v="1"/>
    <x v="30"/>
    <x v="1"/>
    <n v="10279"/>
    <n v="2039838"/>
    <n v="5.0390000000000001E-3"/>
    <n v="0.99496099999999998"/>
    <n v="93354.840200000006"/>
    <n v="470.42"/>
    <n v="93119.632679999995"/>
    <n v="2565219.1800000002"/>
    <n v="27.47815941"/>
    <n v="0.933548402"/>
    <n v="-5.2905476292836759"/>
    <n v="5.0517814137569471E-3"/>
  </r>
  <r>
    <x v="1"/>
    <x v="31"/>
    <x v="1"/>
    <n v="11557"/>
    <n v="2157926"/>
    <n v="5.3559999999999997E-3"/>
    <n v="0.99464399999999997"/>
    <n v="92884.413430000001"/>
    <n v="497.49"/>
    <n v="92635.668969999999"/>
    <n v="2472099.548"/>
    <n v="26.614794199999999"/>
    <n v="0.92884413399999999"/>
    <n v="-5.2295378511532107"/>
    <n v="5.3703924966722848E-3"/>
  </r>
  <r>
    <x v="1"/>
    <x v="32"/>
    <x v="1"/>
    <n v="13268"/>
    <n v="2186447"/>
    <n v="6.0679999999999996E-3"/>
    <n v="0.99393200000000004"/>
    <n v="92386.961169999995"/>
    <n v="560.6"/>
    <n v="92106.65913"/>
    <n v="2379463.8790000002"/>
    <n v="25.755407999999999"/>
    <n v="0.92386961199999995"/>
    <n v="-5.104726217495851"/>
    <n v="6.0864229310102205E-3"/>
  </r>
  <r>
    <x v="1"/>
    <x v="33"/>
    <x v="1"/>
    <n v="14413"/>
    <n v="2177713"/>
    <n v="6.6179999999999998E-3"/>
    <n v="0.99338199999999999"/>
    <n v="91826.330069999996"/>
    <n v="607.71"/>
    <n v="91522.476739999998"/>
    <n v="2287357.2200000002"/>
    <n v="24.909600739999998"/>
    <n v="0.91826330099999998"/>
    <n v="-5.0179620694827163"/>
    <n v="6.6400096126832753E-3"/>
  </r>
  <r>
    <x v="1"/>
    <x v="34"/>
    <x v="1"/>
    <n v="15800"/>
    <n v="2168260"/>
    <n v="7.2870000000000001E-3"/>
    <n v="0.99271299999999996"/>
    <n v="91218.585659999997"/>
    <n v="664.71"/>
    <n v="90886.230739999999"/>
    <n v="2195834.7429999998"/>
    <n v="24.072229660000001"/>
    <n v="0.91218585699999999"/>
    <n v="-4.9216633402939918"/>
    <n v="7.3136489163110607E-3"/>
  </r>
  <r>
    <x v="1"/>
    <x v="35"/>
    <x v="1"/>
    <n v="17335"/>
    <n v="2186968"/>
    <n v="7.9260000000000008E-3"/>
    <n v="0.99207400000000001"/>
    <n v="90553.880480000007"/>
    <n v="717.73"/>
    <n v="90195.015450000006"/>
    <n v="2104948.5120000001"/>
    <n v="23.245260179999999"/>
    <n v="0.90553880499999995"/>
    <n v="-4.8376067842138939"/>
    <n v="7.9575370796207117E-3"/>
  </r>
  <r>
    <x v="1"/>
    <x v="36"/>
    <x v="1"/>
    <n v="18283"/>
    <n v="2207097"/>
    <n v="8.2839999999999997E-3"/>
    <n v="0.99171600000000004"/>
    <n v="89836.105219999998"/>
    <n v="744.2"/>
    <n v="89464.004069999995"/>
    <n v="2014753.497"/>
    <n v="22.426990709999998"/>
    <n v="0.89836105200000005"/>
    <n v="-4.7934293354487991"/>
    <n v="8.318428261071811E-3"/>
  </r>
  <r>
    <x v="1"/>
    <x v="37"/>
    <x v="1"/>
    <n v="19808"/>
    <n v="2120821"/>
    <n v="9.3399999999999993E-3"/>
    <n v="0.99065999999999999"/>
    <n v="89091.927009999999"/>
    <n v="832.12"/>
    <n v="88675.867710000006"/>
    <n v="1925289.493"/>
    <n v="21.610145360000001"/>
    <n v="0.89091927000000004"/>
    <n v="-4.6734490267413857"/>
    <n v="9.3838372180150859E-3"/>
  </r>
  <r>
    <x v="1"/>
    <x v="38"/>
    <x v="1"/>
    <n v="20868"/>
    <n v="2100779"/>
    <n v="9.9330000000000009E-3"/>
    <n v="0.99006700000000003"/>
    <n v="88259.828070000003"/>
    <n v="876.68"/>
    <n v="87821.485629999996"/>
    <n v="1836613.625"/>
    <n v="20.809168400000001"/>
    <n v="0.88259828100000004"/>
    <n v="-4.6118927317489185"/>
    <n v="9.9825252944417027E-3"/>
  </r>
  <r>
    <x v="1"/>
    <x v="39"/>
    <x v="1"/>
    <n v="22356"/>
    <n v="2067741"/>
    <n v="1.0812E-2"/>
    <n v="0.98918799999999996"/>
    <n v="87383.102780000001"/>
    <n v="944.79"/>
    <n v="86910.709730000002"/>
    <n v="1748792.139"/>
    <n v="20.01293252"/>
    <n v="0.87383102800000001"/>
    <n v="-4.527098650567936"/>
    <n v="1.0870811059872802E-2"/>
  </r>
  <r>
    <x v="1"/>
    <x v="40"/>
    <x v="1"/>
    <n v="22875"/>
    <n v="1984701"/>
    <n v="1.1526E-2"/>
    <n v="0.98847399999999996"/>
    <n v="86438.334239999996"/>
    <n v="996.29"/>
    <n v="85940.190119999999"/>
    <n v="1661881.43"/>
    <n v="19.226208419999999"/>
    <n v="0.864383342"/>
    <n v="-4.4631499259676621"/>
    <n v="1.1592827885212932E-2"/>
  </r>
  <r>
    <x v="1"/>
    <x v="41"/>
    <x v="1"/>
    <n v="24337"/>
    <n v="1961475"/>
    <n v="1.2407E-2"/>
    <n v="0.98759300000000005"/>
    <n v="85442.074900000007"/>
    <n v="1060.08"/>
    <n v="84912.03499"/>
    <n v="1575941.2390000001"/>
    <n v="18.44455722"/>
    <n v="0.85442074899999998"/>
    <n v="-4.3894944495214023"/>
    <n v="1.248445248713048E-2"/>
  </r>
  <r>
    <x v="1"/>
    <x v="42"/>
    <x v="1"/>
    <n v="24890"/>
    <n v="1867184"/>
    <n v="1.333E-2"/>
    <n v="0.98667000000000005"/>
    <n v="84381.952399999995"/>
    <n v="1124.81"/>
    <n v="83819.546690000003"/>
    <n v="1491029.2039999999"/>
    <n v="17.670001249999999"/>
    <n v="0.84381952400000004"/>
    <n v="-4.3177381447915195"/>
    <n v="1.3419425146069357E-2"/>
  </r>
  <r>
    <x v="1"/>
    <x v="43"/>
    <x v="1"/>
    <n v="25337"/>
    <n v="1788512"/>
    <n v="1.4167000000000001E-2"/>
    <n v="0.98583299999999996"/>
    <n v="83257.121220000001"/>
    <n v="1179.5"/>
    <n v="82667.369399999996"/>
    <n v="1407209.6580000001"/>
    <n v="16.901973519999999"/>
    <n v="0.83257121199999995"/>
    <n v="-4.2568399625849231"/>
    <n v="1.4268020458503852E-2"/>
  </r>
  <r>
    <x v="1"/>
    <x v="44"/>
    <x v="1"/>
    <n v="26295"/>
    <n v="1713760"/>
    <n v="1.5343000000000001E-2"/>
    <n v="0.984657"/>
    <n v="82077.657130000007"/>
    <n v="1259.32"/>
    <n v="81447.998380000005"/>
    <n v="1324542.2879999999"/>
    <n v="16.137671749999999"/>
    <n v="0.82077657100000001"/>
    <n v="-4.177095935019068"/>
    <n v="1.5461648093860678E-2"/>
  </r>
  <r>
    <x v="1"/>
    <x v="45"/>
    <x v="1"/>
    <n v="26756"/>
    <n v="1651159"/>
    <n v="1.6204E-2"/>
    <n v="0.983796"/>
    <n v="80818.302259999997"/>
    <n v="1309.58"/>
    <n v="80163.51238"/>
    <n v="1243094.29"/>
    <n v="15.38134625"/>
    <n v="0.808183023"/>
    <n v="-4.1224971536416932"/>
    <n v="1.6336363126569716E-2"/>
  </r>
  <r>
    <x v="1"/>
    <x v="46"/>
    <x v="1"/>
    <n v="27052"/>
    <n v="1609408"/>
    <n v="1.6809000000000001E-2"/>
    <n v="0.98319100000000004"/>
    <n v="79508.692169999995"/>
    <n v="1336.46"/>
    <n v="78840.461370000005"/>
    <n v="1162930.7779999999"/>
    <n v="14.62646091"/>
    <n v="0.79508692199999997"/>
    <n v="-4.0858408217308799"/>
    <n v="1.6951445376558964E-2"/>
  </r>
  <r>
    <x v="1"/>
    <x v="47"/>
    <x v="1"/>
    <n v="28132"/>
    <n v="1553893"/>
    <n v="1.8103999999999999E-2"/>
    <n v="0.98189599999999999"/>
    <n v="78172.257190000004"/>
    <n v="1415.23"/>
    <n v="77464.641919999995"/>
    <n v="1084090.3160000001"/>
    <n v="13.86796743"/>
    <n v="0.78172257199999995"/>
    <n v="-4.0116223706509011"/>
    <n v="1.8269369257241947E-2"/>
  </r>
  <r>
    <x v="1"/>
    <x v="48"/>
    <x v="1"/>
    <n v="29863"/>
    <n v="1532242"/>
    <n v="1.949E-2"/>
    <n v="0.98050999999999999"/>
    <n v="76757.010490000001"/>
    <n v="1495.99"/>
    <n v="76009.013420000003"/>
    <n v="1006625.674"/>
    <n v="13.11444607"/>
    <n v="0.767570105"/>
    <n v="-3.9378537654626675"/>
    <n v="1.968174216649228E-2"/>
  </r>
  <r>
    <x v="1"/>
    <x v="49"/>
    <x v="1"/>
    <n v="32586"/>
    <n v="1590217"/>
    <n v="2.0492E-2"/>
    <n v="0.97950800000000005"/>
    <n v="75261.036219999995"/>
    <n v="1542.25"/>
    <n v="74489.911640000006"/>
    <n v="930616.66090000002"/>
    <n v="12.365185329999999"/>
    <n v="0.75261036199999998"/>
    <n v="-3.8877207129051814"/>
    <n v="2.0704141135765373E-2"/>
  </r>
  <r>
    <x v="1"/>
    <x v="50"/>
    <x v="1"/>
    <n v="26854"/>
    <n v="1161594"/>
    <n v="2.3118E-2"/>
    <n v="0.97688200000000003"/>
    <n v="73718.821469999995"/>
    <n v="1704.23"/>
    <n v="72866.705610000005"/>
    <n v="856126.74930000002"/>
    <n v="11.61340798"/>
    <n v="0.73718821499999998"/>
    <n v="-3.7671437441100615"/>
    <n v="2.3388325107525119E-2"/>
  </r>
  <r>
    <x v="1"/>
    <x v="51"/>
    <x v="1"/>
    <n v="28167"/>
    <n v="1135596"/>
    <n v="2.4804E-2"/>
    <n v="0.97519599999999995"/>
    <n v="72014.572620000006"/>
    <n v="1786.25"/>
    <n v="71121.447889999996"/>
    <n v="783260.04370000004"/>
    <n v="10.876410359999999"/>
    <n v="0.72014572600000004"/>
    <n v="-3.6967503484945055"/>
    <n v="2.5115486193826791E-2"/>
  </r>
  <r>
    <x v="1"/>
    <x v="52"/>
    <x v="1"/>
    <n v="29906"/>
    <n v="1094469"/>
    <n v="2.7324999999999999E-2"/>
    <n v="0.97267499999999996"/>
    <n v="70228.343659999999"/>
    <n v="1918.99"/>
    <n v="69268.848910000001"/>
    <n v="712138.59580000001"/>
    <n v="10.140330219999999"/>
    <n v="0.70228343699999995"/>
    <n v="-3.5999532449195351"/>
    <n v="2.7703501723693399E-2"/>
  </r>
  <r>
    <x v="1"/>
    <x v="53"/>
    <x v="1"/>
    <n v="32437"/>
    <n v="1108935"/>
    <n v="2.9250999999999999E-2"/>
    <n v="0.97074899999999997"/>
    <n v="68309.377609999996"/>
    <n v="1998.12"/>
    <n v="67310.318809999997"/>
    <n v="642869.74690000003"/>
    <n v="9.411149236"/>
    <n v="0.68309377599999999"/>
    <n v="-3.5318415178544811"/>
    <n v="2.9685189684325188E-2"/>
  </r>
  <r>
    <x v="1"/>
    <x v="54"/>
    <x v="1"/>
    <n v="30989"/>
    <n v="953596"/>
    <n v="3.2496999999999998E-2"/>
    <n v="0.967503"/>
    <n v="66311.288199999995"/>
    <n v="2154.92"/>
    <n v="65233.829230000003"/>
    <n v="575559.42810000002"/>
    <n v="8.6796598839999994"/>
    <n v="0.66311288199999996"/>
    <n v="-3.4266075015993702"/>
    <n v="3.3033780397380204E-2"/>
  </r>
  <r>
    <x v="1"/>
    <x v="55"/>
    <x v="1"/>
    <n v="30756"/>
    <n v="856476"/>
    <n v="3.5909999999999997E-2"/>
    <n v="0.96409"/>
    <n v="64156.370909999998"/>
    <n v="2303.86"/>
    <n v="63004.443270000003"/>
    <n v="510325.59879999998"/>
    <n v="7.954402526"/>
    <n v="0.64156370900000004"/>
    <n v="-3.3267394707441458"/>
    <n v="3.6566626219668746E-2"/>
  </r>
  <r>
    <x v="1"/>
    <x v="56"/>
    <x v="1"/>
    <n v="30677"/>
    <n v="799334"/>
    <n v="3.8378000000000002E-2"/>
    <n v="0.96162199999999998"/>
    <n v="61852.519610000003"/>
    <n v="2373.7800000000002"/>
    <n v="60665.631609999997"/>
    <n v="447321.1556"/>
    <n v="7.2320603649999997"/>
    <n v="0.618525196"/>
    <n v="-3.2602709002345862"/>
    <n v="3.9128913337241104E-2"/>
  </r>
  <r>
    <x v="1"/>
    <x v="57"/>
    <x v="1"/>
    <n v="31459"/>
    <n v="743645"/>
    <n v="4.2304000000000001E-2"/>
    <n v="0.95769599999999999"/>
    <n v="59478.731249999997"/>
    <n v="2516.19"/>
    <n v="58220.637130000003"/>
    <n v="386655.52399999998"/>
    <n v="6.5007359070000001"/>
    <n v="0.59478731299999998"/>
    <n v="-3.1628736347529158"/>
    <n v="4.3218175734538365E-2"/>
  </r>
  <r>
    <x v="1"/>
    <x v="58"/>
    <x v="1"/>
    <n v="31783"/>
    <n v="696383"/>
    <n v="4.564E-2"/>
    <n v="0.95435999999999999"/>
    <n v="56962.555650000002"/>
    <n v="2599.77"/>
    <n v="55662.670129999999"/>
    <n v="328434.88679999998"/>
    <n v="5.7658032209999996"/>
    <n v="0.56962555699999995"/>
    <n v="-3.086970753988262"/>
    <n v="4.6705811029595194E-2"/>
  </r>
  <r>
    <x v="1"/>
    <x v="59"/>
    <x v="1"/>
    <n v="32176"/>
    <n v="627781"/>
    <n v="5.1254000000000001E-2"/>
    <n v="0.94874599999999998"/>
    <n v="54362.778079999996"/>
    <n v="2786.31"/>
    <n v="52969.623169999999"/>
    <n v="272772.21669999999"/>
    <n v="5.0176283540000002"/>
    <n v="0.54362778099999998"/>
    <n v="-2.9709616152287794"/>
    <n v="5.2602023181314649E-2"/>
  </r>
  <r>
    <x v="1"/>
    <x v="60"/>
    <x v="1"/>
    <n v="33035"/>
    <n v="584947"/>
    <n v="5.6474999999999997E-2"/>
    <n v="0.94352499999999995"/>
    <n v="51576.493130000003"/>
    <n v="2912.78"/>
    <n v="50120.101909999998"/>
    <n v="219802.59349999999"/>
    <n v="4.2616816340000003"/>
    <n v="0.51576493099999998"/>
    <n v="-2.87395721662807"/>
    <n v="5.8116009181602396E-2"/>
  </r>
  <r>
    <x v="1"/>
    <x v="61"/>
    <x v="1"/>
    <n v="33672"/>
    <n v="544044"/>
    <n v="6.1892000000000003E-2"/>
    <n v="0.93810800000000005"/>
    <n v="48663.700270000001"/>
    <n v="3011.89"/>
    <n v="47157.753400000001"/>
    <n v="169682.49160000001"/>
    <n v="3.4868390749999998"/>
    <n v="0.48663700300000001"/>
    <n v="-2.7823643483547107"/>
    <n v="6.3868396285198969E-2"/>
  </r>
  <r>
    <x v="1"/>
    <x v="62"/>
    <x v="1"/>
    <n v="32898"/>
    <n v="474695"/>
    <n v="6.9303000000000003E-2"/>
    <n v="0.930697"/>
    <n v="45651.803959999997"/>
    <n v="3163.81"/>
    <n v="44069.900479999997"/>
    <n v="122524.73820000001"/>
    <n v="2.683896968"/>
    <n v="0.45651804000000001"/>
    <n v="-2.6692670836799763"/>
    <n v="7.1790739240202503E-2"/>
  </r>
  <r>
    <x v="1"/>
    <x v="63"/>
    <x v="1"/>
    <n v="33700"/>
    <n v="443081"/>
    <n v="7.6058000000000001E-2"/>
    <n v="0.92394200000000004"/>
    <n v="42487.976560000003"/>
    <n v="3231.55"/>
    <n v="40872.201300000001"/>
    <n v="78454.837759999995"/>
    <n v="1.8465185710000001"/>
    <n v="0.42487976599999999"/>
    <n v="-2.576259071857983"/>
    <n v="7.9064754241199561E-2"/>
  </r>
  <r>
    <x v="1"/>
    <x v="64"/>
    <x v="1"/>
    <n v="34663"/>
    <n v="406488"/>
    <n v="8.5274000000000003E-2"/>
    <n v="0.91472600000000004"/>
    <n v="39256.412100000001"/>
    <n v="3347.55"/>
    <n v="37582.636460000002"/>
    <n v="37582.636460000002"/>
    <n v="0.95736299999999996"/>
    <n v="0.39256412099999999"/>
    <n v="-2.4618856775125306"/>
    <n v="4.8077498903190539E-2"/>
  </r>
  <r>
    <x v="1"/>
    <x v="0"/>
    <x v="2"/>
    <n v="3503"/>
    <n v="4286221"/>
    <n v="8.1700000000000002E-4"/>
    <n v="0.99918300000000004"/>
    <n v="100000"/>
    <n v="81.7"/>
    <n v="99959.15"/>
    <n v="5656938.0159999998"/>
    <n v="56.569380160000001"/>
    <n v="1"/>
    <n v="-7.1098714631042714"/>
    <n v="8.1733399127552494E-4"/>
  </r>
  <r>
    <x v="1"/>
    <x v="1"/>
    <x v="2"/>
    <n v="4182"/>
    <n v="4386854"/>
    <n v="9.5299999999999996E-4"/>
    <n v="0.99904700000000002"/>
    <n v="99918.273000000001"/>
    <n v="95.22"/>
    <n v="99870.661940000005"/>
    <n v="5556978.8660000004"/>
    <n v="55.615241330000003"/>
    <n v="0.99918273000000002"/>
    <n v="-6.9558956543100718"/>
    <n v="9.534332963356606E-4"/>
  </r>
  <r>
    <x v="1"/>
    <x v="2"/>
    <x v="2"/>
    <n v="4382"/>
    <n v="4480904"/>
    <n v="9.7799999999999992E-4"/>
    <n v="0.99902199999999997"/>
    <n v="99823.020629999999"/>
    <n v="97.63"/>
    <n v="99774.207169999994"/>
    <n v="5457108.2039999999"/>
    <n v="54.667832830000002"/>
    <n v="0.99823020600000001"/>
    <n v="-6.9300008879294568"/>
    <n v="9.7850936862211332E-4"/>
  </r>
  <r>
    <x v="1"/>
    <x v="3"/>
    <x v="2"/>
    <n v="4722"/>
    <n v="4552952"/>
    <n v="1.0369999999999999E-3"/>
    <n v="0.99896300000000005"/>
    <n v="99725.400940000007"/>
    <n v="103.42"/>
    <n v="99673.693320000006"/>
    <n v="5357333.9970000004"/>
    <n v="53.720856939999997"/>
    <n v="0.99725400900000005"/>
    <n v="-6.871423349734747"/>
    <n v="1.0375857786306846E-3"/>
  </r>
  <r>
    <x v="1"/>
    <x v="4"/>
    <x v="2"/>
    <n v="4974"/>
    <n v="4674097"/>
    <n v="1.0640000000000001E-3"/>
    <n v="0.99893600000000005"/>
    <n v="99621.972800000003"/>
    <n v="106"/>
    <n v="99568.973910000001"/>
    <n v="5257660.3039999995"/>
    <n v="52.776111090000001"/>
    <n v="0.99621972800000003"/>
    <n v="-6.8457198880626846"/>
    <n v="1.0645887415120371E-3"/>
  </r>
  <r>
    <x v="1"/>
    <x v="5"/>
    <x v="2"/>
    <n v="5303"/>
    <n v="4758352"/>
    <n v="1.114E-3"/>
    <n v="0.99888600000000005"/>
    <n v="99515.958809999996"/>
    <n v="110.86"/>
    <n v="99460.528420000002"/>
    <n v="5158091.33"/>
    <n v="51.831800559999998"/>
    <n v="0.99515958800000004"/>
    <n v="-6.7997981374770449"/>
    <n v="1.1146132778317478E-3"/>
  </r>
  <r>
    <x v="1"/>
    <x v="6"/>
    <x v="2"/>
    <n v="5274"/>
    <n v="4747254"/>
    <n v="1.111E-3"/>
    <n v="0.99888900000000003"/>
    <n v="99405.052100000001"/>
    <n v="110.44"/>
    <n v="99349.832590000005"/>
    <n v="5058630.801"/>
    <n v="50.889071479999998"/>
    <n v="0.99405052100000002"/>
    <n v="-6.8024947683246442"/>
    <n v="1.1116274159460936E-3"/>
  </r>
  <r>
    <x v="1"/>
    <x v="7"/>
    <x v="2"/>
    <n v="5463"/>
    <n v="4559206"/>
    <n v="1.1980000000000001E-3"/>
    <n v="0.99880199999999997"/>
    <n v="99294.617259999999"/>
    <n v="118.95"/>
    <n v="99235.139779999998"/>
    <n v="4959280.9689999996"/>
    <n v="49.945113900000003"/>
    <n v="0.99294617299999999"/>
    <n v="-6.727101779288879"/>
    <n v="1.1986682765820567E-3"/>
  </r>
  <r>
    <x v="1"/>
    <x v="8"/>
    <x v="2"/>
    <n v="5594"/>
    <n v="4451507"/>
    <n v="1.2570000000000001E-3"/>
    <n v="0.99874300000000005"/>
    <n v="99175.638980000003"/>
    <n v="124.66"/>
    <n v="99113.307090000002"/>
    <n v="4860045.8289999999"/>
    <n v="49.004431719999999"/>
    <n v="0.99175639000000004"/>
    <n v="-6.6790273493740262"/>
    <n v="1.257752183036088E-3"/>
  </r>
  <r>
    <x v="1"/>
    <x v="9"/>
    <x v="2"/>
    <n v="5419"/>
    <n v="4374565"/>
    <n v="1.2390000000000001E-3"/>
    <n v="0.99876100000000001"/>
    <n v="99051.009609999994"/>
    <n v="122.72"/>
    <n v="98989.647509999995"/>
    <n v="4760932.5219999999"/>
    <n v="48.065461829999997"/>
    <n v="0.99051009599999995"/>
    <n v="-6.6934506763351314"/>
    <n v="1.2397254444731546E-3"/>
  </r>
  <r>
    <x v="1"/>
    <x v="10"/>
    <x v="2"/>
    <n v="5685"/>
    <n v="4392155"/>
    <n v="1.294E-3"/>
    <n v="0.99870599999999998"/>
    <n v="98928.31"/>
    <n v="128.01"/>
    <n v="98864.303379999998"/>
    <n v="4661942.8739999998"/>
    <n v="47.124456840000001"/>
    <n v="0.98928309999999997"/>
    <n v="-6.6500170829034282"/>
    <n v="1.2948052860719842E-3"/>
  </r>
  <r>
    <x v="1"/>
    <x v="11"/>
    <x v="2"/>
    <n v="5918"/>
    <n v="4423807"/>
    <n v="1.338E-3"/>
    <n v="0.99866200000000005"/>
    <n v="98800.26182"/>
    <n v="132.19"/>
    <n v="98734.164439999993"/>
    <n v="4563078.5710000005"/>
    <n v="46.184883390000003"/>
    <n v="0.988002618"/>
    <n v="-6.6165793172761003"/>
    <n v="1.3388474495279327E-3"/>
  </r>
  <r>
    <x v="1"/>
    <x v="12"/>
    <x v="2"/>
    <n v="6124"/>
    <n v="4283076"/>
    <n v="1.4300000000000001E-3"/>
    <n v="0.99856999999999996"/>
    <n v="98668.090599999996"/>
    <n v="141.1"/>
    <n v="98597.542920000007"/>
    <n v="4464344.4069999997"/>
    <n v="45.24608087"/>
    <n v="0.98668090600000002"/>
    <n v="-6.5500808347103208"/>
    <n v="1.4310700111035916E-3"/>
  </r>
  <r>
    <x v="1"/>
    <x v="13"/>
    <x v="2"/>
    <n v="6241"/>
    <n v="4345786"/>
    <n v="1.436E-3"/>
    <n v="0.99856400000000001"/>
    <n v="98527.013630000001"/>
    <n v="141.47999999999999"/>
    <n v="98456.271229999998"/>
    <n v="4365746.8640000001"/>
    <n v="44.31015112"/>
    <n v="0.98527013600000002"/>
    <n v="-6.5458938083561042"/>
    <n v="1.4369831964535604E-3"/>
  </r>
  <r>
    <x v="1"/>
    <x v="14"/>
    <x v="2"/>
    <n v="6595"/>
    <n v="4341535"/>
    <n v="1.519E-3"/>
    <n v="0.99848099999999995"/>
    <n v="98385.518609999999"/>
    <n v="149.44999999999999"/>
    <n v="98310.794810000007"/>
    <n v="4267290.5920000002"/>
    <n v="43.373157480000003"/>
    <n v="0.98385518599999999"/>
    <n v="-6.4897030553685013"/>
    <n v="1.5201789780710895E-3"/>
  </r>
  <r>
    <x v="1"/>
    <x v="15"/>
    <x v="2"/>
    <n v="6786"/>
    <n v="4293125"/>
    <n v="1.5809999999999999E-3"/>
    <n v="0.99841899999999995"/>
    <n v="98236.066290000002"/>
    <n v="155.31"/>
    <n v="98158.410680000001"/>
    <n v="4168979.798"/>
    <n v="42.438382920000002"/>
    <n v="0.98236066300000002"/>
    <n v="-6.4496977207548021"/>
    <n v="1.5822380683504563E-3"/>
  </r>
  <r>
    <x v="1"/>
    <x v="16"/>
    <x v="2"/>
    <n v="7025"/>
    <n v="4375562"/>
    <n v="1.606E-3"/>
    <n v="0.998394"/>
    <n v="98080.787800000006"/>
    <n v="157.52000000000001"/>
    <n v="98002.02893"/>
    <n v="4070821.3870000001"/>
    <n v="41.504778639999998"/>
    <n v="0.98080787800000002"/>
    <n v="-6.4340086634575675"/>
    <n v="1.6073132663006334E-3"/>
  </r>
  <r>
    <x v="1"/>
    <x v="17"/>
    <x v="2"/>
    <n v="7001"/>
    <n v="4103498"/>
    <n v="1.7060000000000001E-3"/>
    <n v="0.99829400000000001"/>
    <n v="97923.318310000002"/>
    <n v="167.06"/>
    <n v="97839.789720000001"/>
    <n v="3972819.358"/>
    <n v="40.57071826"/>
    <n v="0.97923318299999995"/>
    <n v="-6.3736038299126498"/>
    <n v="1.7074853624350621E-3"/>
  </r>
  <r>
    <x v="1"/>
    <x v="18"/>
    <x v="2"/>
    <n v="7173"/>
    <n v="4022119"/>
    <n v="1.7830000000000001E-3"/>
    <n v="0.99821700000000002"/>
    <n v="97756.250809999998"/>
    <n v="174.3"/>
    <n v="97669.101110000003"/>
    <n v="3874979.568"/>
    <n v="39.639199910000002"/>
    <n v="0.977562508"/>
    <n v="-6.3294579401011335"/>
    <n v="1.7845975020836413E-3"/>
  </r>
  <r>
    <x v="1"/>
    <x v="19"/>
    <x v="2"/>
    <n v="7292"/>
    <n v="3979601"/>
    <n v="1.8320000000000001E-3"/>
    <n v="0.99816800000000006"/>
    <n v="97581.913449999993"/>
    <n v="178.77"/>
    <n v="97492.528420000002"/>
    <n v="3777310.4670000002"/>
    <n v="38.709124809999999"/>
    <n v="0.97581913499999995"/>
    <n v="-6.3023470127301984"/>
    <n v="1.833679295443069E-3"/>
  </r>
  <r>
    <x v="1"/>
    <x v="20"/>
    <x v="2"/>
    <n v="7336"/>
    <n v="3862150"/>
    <n v="1.8990000000000001E-3"/>
    <n v="0.99810100000000002"/>
    <n v="97403.109769999995"/>
    <n v="184.97"/>
    <n v="97310.625520000001"/>
    <n v="3679817.9389999998"/>
    <n v="37.779265440000003"/>
    <n v="0.97403109799999998"/>
    <n v="-6.2664278471519879"/>
    <n v="1.9008206103800398E-3"/>
  </r>
  <r>
    <x v="1"/>
    <x v="21"/>
    <x v="2"/>
    <n v="7790"/>
    <n v="3979596"/>
    <n v="1.957E-3"/>
    <n v="0.99804300000000001"/>
    <n v="97218.096449999997"/>
    <n v="190.26"/>
    <n v="97122.968540000002"/>
    <n v="3582507.3130000001"/>
    <n v="36.850210439999998"/>
    <n v="0.97218096499999995"/>
    <n v="-6.2363425905681975"/>
    <n v="1.9589603679991212E-3"/>
  </r>
  <r>
    <x v="1"/>
    <x v="22"/>
    <x v="2"/>
    <n v="8088"/>
    <n v="3854553"/>
    <n v="2.098E-3"/>
    <n v="0.99790199999999996"/>
    <n v="97027.793470000004"/>
    <n v="203.56"/>
    <n v="96926.011310000002"/>
    <n v="3485384.3450000002"/>
    <n v="35.921504759999998"/>
    <n v="0.97027793500000004"/>
    <n v="-6.166770769008032"/>
    <n v="2.100158952025239E-3"/>
  </r>
  <r>
    <x v="1"/>
    <x v="23"/>
    <x v="2"/>
    <n v="9203"/>
    <n v="3912307"/>
    <n v="2.3519999999999999E-3"/>
    <n v="0.99764799999999998"/>
    <n v="96824.200259999998"/>
    <n v="227.73"/>
    <n v="96710.335000000006"/>
    <n v="3388458.3330000001"/>
    <n v="34.995985760000003"/>
    <n v="0.96824200299999996"/>
    <n v="-6.0524892489457569"/>
    <n v="2.3547642197099912E-3"/>
  </r>
  <r>
    <x v="1"/>
    <x v="24"/>
    <x v="2"/>
    <n v="10098"/>
    <n v="4087645"/>
    <n v="2.47E-3"/>
    <n v="0.99753000000000003"/>
    <n v="96596.438710000002"/>
    <n v="238.59"/>
    <n v="96477.142110000001"/>
    <n v="3291747.9980000001"/>
    <n v="34.077322539999997"/>
    <n v="0.96596438699999998"/>
    <n v="-6.0035371283422512"/>
    <n v="2.4730214754586904E-3"/>
  </r>
  <r>
    <x v="1"/>
    <x v="25"/>
    <x v="2"/>
    <n v="11486"/>
    <n v="4319616"/>
    <n v="2.6589999999999999E-3"/>
    <n v="0.99734100000000003"/>
    <n v="96357.809659999999"/>
    <n v="256.22000000000003"/>
    <n v="96229.701950000002"/>
    <n v="3195270.8560000001"/>
    <n v="33.16047622"/>
    <n v="0.96357809699999997"/>
    <n v="-5.9298051667212546"/>
    <n v="2.6625875274288164E-3"/>
  </r>
  <r>
    <x v="1"/>
    <x v="26"/>
    <x v="2"/>
    <n v="12359"/>
    <n v="4371961"/>
    <n v="2.8270000000000001E-3"/>
    <n v="0.99717299999999998"/>
    <n v="96101.591100000005"/>
    <n v="271.68"/>
    <n v="95965.751499999998"/>
    <n v="3099041.1540000001"/>
    <n v="32.247553019999998"/>
    <n v="0.96101591099999994"/>
    <n v="-5.8685392002706838"/>
    <n v="2.8310098045356059E-3"/>
  </r>
  <r>
    <x v="1"/>
    <x v="27"/>
    <x v="2"/>
    <n v="12731"/>
    <n v="4142964"/>
    <n v="3.0730000000000002E-3"/>
    <n v="0.99692700000000001"/>
    <n v="95829.923630000005"/>
    <n v="294.49"/>
    <n v="95682.680949999994"/>
    <n v="3003075.4029999999"/>
    <n v="31.337553960000001"/>
    <n v="0.958299236"/>
    <n v="-5.7851009958337896"/>
    <n v="3.0777773509328707E-3"/>
  </r>
  <r>
    <x v="1"/>
    <x v="28"/>
    <x v="2"/>
    <n v="13766"/>
    <n v="4055074"/>
    <n v="3.395E-3"/>
    <n v="0.99660499999999996"/>
    <n v="95535.445869999996"/>
    <n v="324.33999999999997"/>
    <n v="95373.274449999997"/>
    <n v="2907392.7220000001"/>
    <n v="30.432607449999999"/>
    <n v="0.95535445900000004"/>
    <n v="-5.6854515179714777"/>
    <n v="3.400742637231073E-3"/>
  </r>
  <r>
    <x v="1"/>
    <x v="29"/>
    <x v="2"/>
    <n v="15243"/>
    <n v="4058008"/>
    <n v="3.7559999999999998E-3"/>
    <n v="0.99624400000000002"/>
    <n v="95211.126040000003"/>
    <n v="357.61"/>
    <n v="95032.31955"/>
    <n v="2812019.4470000002"/>
    <n v="29.5345677"/>
    <n v="0.95211126000000001"/>
    <n v="-5.5844007176361208"/>
    <n v="3.7630361044805787E-3"/>
  </r>
  <r>
    <x v="1"/>
    <x v="30"/>
    <x v="2"/>
    <n v="17000"/>
    <n v="4131293"/>
    <n v="4.1149999999999997E-3"/>
    <n v="0.99588500000000002"/>
    <n v="94853.486720000001"/>
    <n v="390.32"/>
    <n v="94658.325670000006"/>
    <n v="2716987.128"/>
    <n v="28.644040629999999"/>
    <n v="0.948534867"/>
    <n v="-5.4931164448531042"/>
    <n v="4.1234617706716707E-3"/>
  </r>
  <r>
    <x v="1"/>
    <x v="31"/>
    <x v="2"/>
    <n v="19217"/>
    <n v="4375892"/>
    <n v="4.3920000000000001E-3"/>
    <n v="0.99560800000000005"/>
    <n v="94463.170840000006"/>
    <n v="414.88"/>
    <n v="94255.729720000003"/>
    <n v="2622328.8020000001"/>
    <n v="27.760330069999998"/>
    <n v="0.94463170799999996"/>
    <n v="-5.4279705747749079"/>
    <n v="4.4016412597992043E-3"/>
  </r>
  <r>
    <x v="1"/>
    <x v="32"/>
    <x v="2"/>
    <n v="21811"/>
    <n v="4452636"/>
    <n v="4.8979999999999996E-3"/>
    <n v="0.99510200000000004"/>
    <n v="94048.329989999998"/>
    <n v="460.65"/>
    <n v="93818.00563"/>
    <n v="2528073.0720000002"/>
    <n v="26.880573770000002"/>
    <n v="0.94048330000000002"/>
    <n v="-5.3189283204521614"/>
    <n v="4.9100393900089068E-3"/>
  </r>
  <r>
    <x v="1"/>
    <x v="33"/>
    <x v="2"/>
    <n v="23890"/>
    <n v="4445605"/>
    <n v="5.3740000000000003E-3"/>
    <n v="0.99462600000000001"/>
    <n v="93587.639259999996"/>
    <n v="502.94"/>
    <n v="93336.169269999999"/>
    <n v="2434255.0669999998"/>
    <n v="26.01043349"/>
    <n v="0.93587639300000003"/>
    <n v="-5.2261827687888376"/>
    <n v="5.3884787137853923E-3"/>
  </r>
  <r>
    <x v="1"/>
    <x v="34"/>
    <x v="2"/>
    <n v="26013"/>
    <n v="4433630"/>
    <n v="5.8669999999999998E-3"/>
    <n v="0.99413300000000004"/>
    <n v="93084.713629999998"/>
    <n v="546.13"/>
    <n v="92811.649619999997"/>
    <n v="2340918.898"/>
    <n v="25.148263409999998"/>
    <n v="0.93084713600000002"/>
    <n v="-5.1384118490384143"/>
    <n v="5.884283464109988E-3"/>
  </r>
  <r>
    <x v="1"/>
    <x v="35"/>
    <x v="2"/>
    <n v="28547"/>
    <n v="4484565"/>
    <n v="6.3660000000000001E-3"/>
    <n v="0.99363400000000002"/>
    <n v="92538.566869999995"/>
    <n v="589.1"/>
    <n v="92244.016610000006"/>
    <n v="2248107.2480000001"/>
    <n v="24.29373313"/>
    <n v="0.92538566899999997"/>
    <n v="-5.0567839501222362"/>
    <n v="6.3863208363133511E-3"/>
  </r>
  <r>
    <x v="1"/>
    <x v="36"/>
    <x v="2"/>
    <n v="30214"/>
    <n v="4518758"/>
    <n v="6.6860000000000001E-3"/>
    <n v="0.99331400000000003"/>
    <n v="91949.502269999997"/>
    <n v="614.77"/>
    <n v="91642.115080000003"/>
    <n v="2155863.2310000001"/>
    <n v="23.446165319999999"/>
    <n v="0.91949502299999997"/>
    <n v="-5.0077394909842301"/>
    <n v="6.7083797393297532E-3"/>
  </r>
  <r>
    <x v="1"/>
    <x v="37"/>
    <x v="2"/>
    <n v="32470"/>
    <n v="4362807"/>
    <n v="7.4419999999999998E-3"/>
    <n v="0.99255800000000005"/>
    <n v="91334.695670000001"/>
    <n v="679.71"/>
    <n v="90994.839269999997"/>
    <n v="2064221.1159999999"/>
    <n v="22.600624010000001"/>
    <n v="0.91334695700000001"/>
    <n v="-4.9006156490577064"/>
    <n v="7.4697659898682565E-3"/>
  </r>
  <r>
    <x v="1"/>
    <x v="38"/>
    <x v="2"/>
    <n v="34271"/>
    <n v="4332953"/>
    <n v="7.9089999999999994E-3"/>
    <n v="0.99209099999999995"/>
    <n v="90654.941200000001"/>
    <n v="716.99"/>
    <n v="90296.446240000005"/>
    <n v="1973226.277"/>
    <n v="21.76634005"/>
    <n v="0.90654941200000005"/>
    <n v="-4.8397539274448569"/>
    <n v="7.9404026294662734E-3"/>
  </r>
  <r>
    <x v="1"/>
    <x v="39"/>
    <x v="2"/>
    <n v="36644"/>
    <n v="4281025"/>
    <n v="8.5599999999999999E-3"/>
    <n v="0.99143999999999999"/>
    <n v="89937.916230000003"/>
    <n v="769.87"/>
    <n v="89552.981950000001"/>
    <n v="1882929.831"/>
    <n v="20.935884550000001"/>
    <n v="0.89937916200000001"/>
    <n v="-4.7606550888284866"/>
    <n v="8.5968087397088784E-3"/>
  </r>
  <r>
    <x v="1"/>
    <x v="40"/>
    <x v="2"/>
    <n v="37767"/>
    <n v="4123968"/>
    <n v="9.1579999999999995E-3"/>
    <n v="0.990842"/>
    <n v="89168.080730000001"/>
    <n v="816.6"/>
    <n v="88759.78009"/>
    <n v="1793376.8489999999"/>
    <n v="20.112318599999998"/>
    <n v="0.89168080699999996"/>
    <n v="-4.6931274647472332"/>
    <n v="9.200112589909824E-3"/>
  </r>
  <r>
    <x v="1"/>
    <x v="41"/>
    <x v="2"/>
    <n v="39615"/>
    <n v="4083962"/>
    <n v="9.7000000000000003E-3"/>
    <n v="0.99029999999999996"/>
    <n v="88351.485910000003"/>
    <n v="857.01"/>
    <n v="87922.981199999995"/>
    <n v="1704617.0689999999"/>
    <n v="19.293586869999999"/>
    <n v="0.88351485900000004"/>
    <n v="-4.6356293934727999"/>
    <n v="9.7472816344521956E-3"/>
  </r>
  <r>
    <x v="1"/>
    <x v="42"/>
    <x v="2"/>
    <n v="41181"/>
    <n v="3911429"/>
    <n v="1.0527999999999999E-2"/>
    <n v="0.98947200000000002"/>
    <n v="87494.464200000002"/>
    <n v="921.14"/>
    <n v="87033.893339999995"/>
    <n v="1616694.0870000001"/>
    <n v="18.477672869999999"/>
    <n v="0.87494464199999999"/>
    <n v="-4.5537169043991756"/>
    <n v="1.0583694917938575E-2"/>
  </r>
  <r>
    <x v="1"/>
    <x v="43"/>
    <x v="2"/>
    <n v="42032"/>
    <n v="3757382"/>
    <n v="1.1187000000000001E-2"/>
    <n v="0.98881300000000005"/>
    <n v="86573.289480000007"/>
    <n v="968.5"/>
    <n v="86089.041790000003"/>
    <n v="1529660.1939999999"/>
    <n v="17.668962369999999"/>
    <n v="0.86573289499999995"/>
    <n v="-4.4930028891173439"/>
    <n v="1.1249977261121398E-2"/>
  </r>
  <r>
    <x v="1"/>
    <x v="44"/>
    <x v="2"/>
    <n v="43704"/>
    <n v="3606295"/>
    <n v="1.2119E-2"/>
    <n v="0.98788100000000001"/>
    <n v="85604.836309999999"/>
    <n v="1037.45"/>
    <n v="85086.113800000006"/>
    <n v="1443571.152"/>
    <n v="16.863196219999999"/>
    <n v="0.85604836299999998"/>
    <n v="-4.412980809995787"/>
    <n v="1.2192940233471434E-2"/>
  </r>
  <r>
    <x v="1"/>
    <x v="45"/>
    <x v="2"/>
    <n v="44690"/>
    <n v="3490890"/>
    <n v="1.2801999999999999E-2"/>
    <n v="0.98719800000000002"/>
    <n v="84567.407649999994"/>
    <n v="1082.6300000000001"/>
    <n v="84026.091669999994"/>
    <n v="1358485.0390000001"/>
    <n v="16.063931440000001"/>
    <n v="0.84567407699999997"/>
    <n v="-4.358153870262325"/>
    <n v="1.288444958050518E-2"/>
  </r>
  <r>
    <x v="1"/>
    <x v="46"/>
    <x v="2"/>
    <n v="45693"/>
    <n v="3403647"/>
    <n v="1.3424999999999999E-2"/>
    <n v="0.98657499999999998"/>
    <n v="83484.784759999995"/>
    <n v="1120.78"/>
    <n v="82924.39314"/>
    <n v="1274458.9469999999"/>
    <n v="15.265763099999999"/>
    <n v="0.834847848"/>
    <n v="-4.3106366385872086"/>
    <n v="1.3515683362620164E-2"/>
  </r>
  <r>
    <x v="1"/>
    <x v="47"/>
    <x v="2"/>
    <n v="48292"/>
    <n v="3295266"/>
    <n v="1.4655E-2"/>
    <n v="0.98534500000000003"/>
    <n v="82364.025089999996"/>
    <n v="1207.04"/>
    <n v="81760.502699999997"/>
    <n v="1191534.554"/>
    <n v="14.466686790000001"/>
    <n v="0.82364025100000005"/>
    <n v="-4.2229737048192817"/>
    <n v="1.47631183453892E-2"/>
  </r>
  <r>
    <x v="1"/>
    <x v="48"/>
    <x v="2"/>
    <n v="51462"/>
    <n v="3251936"/>
    <n v="1.5824999999999999E-2"/>
    <n v="0.98417500000000002"/>
    <n v="81156.983380000005"/>
    <n v="1284.31"/>
    <n v="80514.828750000001"/>
    <n v="1109774.051"/>
    <n v="13.674412289999999"/>
    <n v="0.81156983400000005"/>
    <n v="-4.1461643109518969"/>
    <n v="1.5951223424932999E-2"/>
  </r>
  <r>
    <x v="1"/>
    <x v="49"/>
    <x v="2"/>
    <n v="56518"/>
    <n v="3378344"/>
    <n v="1.6729000000000001E-2"/>
    <n v="0.98327100000000001"/>
    <n v="79872.671310000005"/>
    <n v="1336.19"/>
    <n v="79204.576350000003"/>
    <n v="1029259.222"/>
    <n v="12.88625015"/>
    <n v="0.79872671299999998"/>
    <n v="-4.0906115386329933"/>
    <n v="1.6870115305089875E-2"/>
  </r>
  <r>
    <x v="1"/>
    <x v="50"/>
    <x v="2"/>
    <n v="47247"/>
    <n v="2487211"/>
    <n v="1.8995999999999999E-2"/>
    <n v="0.98100399999999999"/>
    <n v="78536.441590000002"/>
    <n v="1491.88"/>
    <n v="77790.502470000007"/>
    <n v="950054.64599999995"/>
    <n v="12.096991239999999"/>
    <n v="0.78536441599999995"/>
    <n v="-3.9635268482952619"/>
    <n v="1.9178176440704672E-2"/>
  </r>
  <r>
    <x v="1"/>
    <x v="51"/>
    <x v="2"/>
    <n v="49651"/>
    <n v="2445650"/>
    <n v="2.0302000000000001E-2"/>
    <n v="0.97969799999999996"/>
    <n v="77044.56525"/>
    <n v="1564.16"/>
    <n v="76262.485870000004"/>
    <n v="872264.14350000001"/>
    <n v="11.321553189999999"/>
    <n v="0.77044565300000001"/>
    <n v="-3.8970358756198977"/>
    <n v="2.0510212758564728E-2"/>
  </r>
  <r>
    <x v="1"/>
    <x v="52"/>
    <x v="2"/>
    <n v="53448"/>
    <n v="2371252"/>
    <n v="2.2540000000000001E-2"/>
    <n v="0.97746"/>
    <n v="75480.424950000001"/>
    <n v="1701.33"/>
    <n v="74629.760559999995"/>
    <n v="796001.65760000004"/>
    <n v="10.545802549999999"/>
    <n v="0.75480424999999995"/>
    <n v="-3.7924637703705066"/>
    <n v="2.2796937574751611E-2"/>
  </r>
  <r>
    <x v="1"/>
    <x v="53"/>
    <x v="2"/>
    <n v="58670"/>
    <n v="2413647"/>
    <n v="2.4308E-2"/>
    <n v="0.975692"/>
    <n v="73779.096810000003"/>
    <n v="1793.42"/>
    <n v="72882.385670000003"/>
    <n v="721371.89709999994"/>
    <n v="9.7774563289999996"/>
    <n v="0.73779096799999999"/>
    <n v="-3.7169497647090282"/>
    <n v="2.4607038219620493E-2"/>
  </r>
  <r>
    <x v="1"/>
    <x v="54"/>
    <x v="2"/>
    <n v="56409"/>
    <n v="2092487"/>
    <n v="2.6957999999999999E-2"/>
    <n v="0.97304199999999996"/>
    <n v="71985.702999999994"/>
    <n v="1940.59"/>
    <n v="71015.407709999999"/>
    <n v="648489.51139999996"/>
    <n v="9.0085876000000003"/>
    <n v="0.71985703000000001"/>
    <n v="-3.6134751796660591"/>
    <n v="2.7326321684864072E-2"/>
  </r>
  <r>
    <x v="1"/>
    <x v="55"/>
    <x v="2"/>
    <n v="56464"/>
    <n v="1900211"/>
    <n v="2.9714999999999998E-2"/>
    <n v="0.97028499999999995"/>
    <n v="70045.121520000001"/>
    <n v="2081.39"/>
    <n v="69004.426130000007"/>
    <n v="577474.10369999998"/>
    <n v="8.2443158230000009"/>
    <n v="0.70045121499999996"/>
    <n v="-3.5161033101635133"/>
    <n v="3.0163131394133673E-2"/>
  </r>
  <r>
    <x v="1"/>
    <x v="56"/>
    <x v="2"/>
    <n v="56578"/>
    <n v="1784266"/>
    <n v="3.1709000000000001E-2"/>
    <n v="0.96829100000000001"/>
    <n v="67963.759109999999"/>
    <n v="2155.06"/>
    <n v="66886.22769"/>
    <n v="508469.6776"/>
    <n v="7.4814825459999996"/>
    <n v="0.67963759099999999"/>
    <n v="-3.4511547267222697"/>
    <n v="3.2219793367291458E-2"/>
  </r>
  <r>
    <x v="1"/>
    <x v="57"/>
    <x v="2"/>
    <n v="59044"/>
    <n v="1664566"/>
    <n v="3.5471000000000003E-2"/>
    <n v="0.96452899999999997"/>
    <n v="65808.669250000006"/>
    <n v="2334.3000000000002"/>
    <n v="64641.5196"/>
    <n v="441583.44990000001"/>
    <n v="6.7101106120000003"/>
    <n v="0.658086693"/>
    <n v="-3.339039817754998"/>
    <n v="3.61114674073304E-2"/>
  </r>
  <r>
    <x v="1"/>
    <x v="58"/>
    <x v="2"/>
    <n v="60728"/>
    <n v="1578915"/>
    <n v="3.8462000000000003E-2"/>
    <n v="0.961538"/>
    <n v="63474.362849999998"/>
    <n v="2441.35"/>
    <n v="62253.687380000003"/>
    <n v="376941.93030000001"/>
    <n v="5.9384909649999997"/>
    <n v="0.63474362900000003"/>
    <n v="-3.2580845380934815"/>
    <n v="3.9216148031516004E-2"/>
  </r>
  <r>
    <x v="1"/>
    <x v="59"/>
    <x v="2"/>
    <n v="62081"/>
    <n v="1439937"/>
    <n v="4.3114E-2"/>
    <n v="0.95688600000000001"/>
    <n v="61033.021099999998"/>
    <n v="2631.38"/>
    <n v="59717.332260000003"/>
    <n v="314688.24290000001"/>
    <n v="5.1560325410000001"/>
    <n v="0.61033021099999996"/>
    <n v="-3.1439075086308952"/>
    <n v="4.4063917220915377E-2"/>
  </r>
  <r>
    <x v="1"/>
    <x v="60"/>
    <x v="2"/>
    <n v="64987"/>
    <n v="1358260"/>
    <n v="4.7846E-2"/>
    <n v="0.95215399999999994"/>
    <n v="58401.662239999998"/>
    <n v="2794.29"/>
    <n v="57004.519269999997"/>
    <n v="254970.9106"/>
    <n v="4.3658159860000003"/>
    <n v="0.58401662200000004"/>
    <n v="-3.0397677591437473"/>
    <n v="4.9018739409340366E-2"/>
  </r>
  <r>
    <x v="1"/>
    <x v="61"/>
    <x v="2"/>
    <n v="67240"/>
    <n v="1284298"/>
    <n v="5.2354999999999999E-2"/>
    <n v="0.94764499999999996"/>
    <n v="55607.38955"/>
    <n v="2911.32"/>
    <n v="54151.72711"/>
    <n v="197966.39139999999"/>
    <n v="3.5600734530000002"/>
    <n v="0.55607389600000001"/>
    <n v="-2.9497078352427115"/>
    <n v="5.3762286601148762E-2"/>
  </r>
  <r>
    <x v="1"/>
    <x v="62"/>
    <x v="2"/>
    <n v="67120"/>
    <n v="1135109"/>
    <n v="5.9131000000000003E-2"/>
    <n v="0.94086899999999996"/>
    <n v="52696.039640000003"/>
    <n v="3115.97"/>
    <n v="51138.054880000003"/>
    <n v="143814.6642"/>
    <n v="2.7291361030000001"/>
    <n v="0.526960396"/>
    <n v="-2.8279999574033448"/>
    <n v="6.0932505612419821E-2"/>
  </r>
  <r>
    <x v="1"/>
    <x v="63"/>
    <x v="2"/>
    <n v="69758"/>
    <n v="1079082"/>
    <n v="6.4645999999999995E-2"/>
    <n v="0.93535400000000002"/>
    <n v="49580.076159999997"/>
    <n v="3205.15"/>
    <n v="47977.499360000002"/>
    <n v="92676.609360000002"/>
    <n v="1.8692308790000001"/>
    <n v="0.49580076200000001"/>
    <n v="-2.7388290472947938"/>
    <n v="6.6805263481608396E-2"/>
  </r>
  <r>
    <x v="1"/>
    <x v="64"/>
    <x v="2"/>
    <n v="72916"/>
    <n v="1008890"/>
    <n v="7.2273000000000004E-2"/>
    <n v="0.92772699999999997"/>
    <n v="46374.93795"/>
    <n v="3351.66"/>
    <n v="44699.11"/>
    <n v="44699.11"/>
    <n v="0.96386349999999998"/>
    <n v="0.46374937999999999"/>
    <n v="-2.6273046635483901"/>
    <n v="4.5795544605387144E-2"/>
  </r>
  <r>
    <x v="2"/>
    <x v="0"/>
    <x v="0"/>
    <n v="904"/>
    <n v="2089336"/>
    <n v="4.3300000000000001E-4"/>
    <n v="0.99956699999999998"/>
    <n v="100000"/>
    <n v="43.3"/>
    <n v="99978.35"/>
    <n v="5829925.568"/>
    <n v="58.299255680000002"/>
    <n v="1"/>
    <n v="-7.744772829961784"/>
    <n v="4.3309369403890448E-4"/>
  </r>
  <r>
    <x v="2"/>
    <x v="1"/>
    <x v="0"/>
    <n v="1028"/>
    <n v="2104329"/>
    <n v="4.8899999999999996E-4"/>
    <n v="0.99951100000000004"/>
    <n v="99956.732669999998"/>
    <n v="48.88"/>
    <n v="99932.293250000002"/>
    <n v="5729947.2180000003"/>
    <n v="57.324274860000003"/>
    <n v="0.99956732699999995"/>
    <n v="-7.6231480684894022"/>
    <n v="4.8913105661652556E-4"/>
  </r>
  <r>
    <x v="2"/>
    <x v="2"/>
    <x v="0"/>
    <n v="1087"/>
    <n v="2150615"/>
    <n v="5.0500000000000002E-4"/>
    <n v="0.99949500000000002"/>
    <n v="99907.902130000002"/>
    <n v="50.45"/>
    <n v="99882.675380000001"/>
    <n v="5630014.9249999998"/>
    <n v="56.352048279999998"/>
    <n v="0.99907902100000001"/>
    <n v="-7.5909521286889143"/>
    <n v="5.0509270831190355E-4"/>
  </r>
  <r>
    <x v="2"/>
    <x v="3"/>
    <x v="0"/>
    <n v="1207"/>
    <n v="2196524"/>
    <n v="5.5000000000000003E-4"/>
    <n v="0.99944999999999995"/>
    <n v="99857.404989999995"/>
    <n v="54.92"/>
    <n v="99829.944199999998"/>
    <n v="5530132.2489999998"/>
    <n v="55.38029203"/>
    <n v="0.99857404999999999"/>
    <n v="-7.5055922797377574"/>
    <n v="5.5013540105384713E-4"/>
  </r>
  <r>
    <x v="2"/>
    <x v="4"/>
    <x v="0"/>
    <n v="1259"/>
    <n v="2228689"/>
    <n v="5.6499999999999996E-4"/>
    <n v="0.99943499999999996"/>
    <n v="99802.532890000002"/>
    <n v="56.39"/>
    <n v="99774.338669999997"/>
    <n v="5430302.3049999997"/>
    <n v="54.41046583"/>
    <n v="0.99802532899999996"/>
    <n v="-7.4786848268178332"/>
    <n v="5.6517535571782088E-4"/>
  </r>
  <r>
    <x v="2"/>
    <x v="5"/>
    <x v="0"/>
    <n v="1413"/>
    <n v="2295484"/>
    <n v="6.1600000000000001E-4"/>
    <n v="0.99938400000000005"/>
    <n v="99746.153829999996"/>
    <n v="61.44"/>
    <n v="99715.432010000004"/>
    <n v="5330527.9670000002"/>
    <n v="53.440937439999999"/>
    <n v="0.99746153800000004"/>
    <n v="-7.3922635944307542"/>
    <n v="6.1615323856239286E-4"/>
  </r>
  <r>
    <x v="2"/>
    <x v="6"/>
    <x v="0"/>
    <n v="1413"/>
    <n v="2350352"/>
    <n v="6.0099999999999997E-4"/>
    <n v="0.99939900000000004"/>
    <n v="99684.754440000004"/>
    <n v="59.91"/>
    <n v="99654.799169999998"/>
    <n v="5230812.5350000001"/>
    <n v="52.473545870000002"/>
    <n v="0.99684754399999997"/>
    <n v="-7.416915623429067"/>
    <n v="6.0117531806696807E-4"/>
  </r>
  <r>
    <x v="2"/>
    <x v="7"/>
    <x v="0"/>
    <n v="1665"/>
    <n v="2351456"/>
    <n v="7.0799999999999997E-4"/>
    <n v="0.99929199999999996"/>
    <n v="99624.82531"/>
    <n v="70.53"/>
    <n v="99589.558120000002"/>
    <n v="5131157.7350000003"/>
    <n v="51.504810370000001"/>
    <n v="0.99624825299999997"/>
    <n v="-7.253066464270554"/>
    <n v="7.0820680266896598E-4"/>
  </r>
  <r>
    <x v="2"/>
    <x v="8"/>
    <x v="0"/>
    <n v="1745"/>
    <n v="2260383"/>
    <n v="7.7200000000000001E-4"/>
    <n v="0.99922800000000001"/>
    <n v="99554.283769999995"/>
    <n v="76.86"/>
    <n v="99515.855819999997"/>
    <n v="5031568.1770000001"/>
    <n v="50.540950989999999"/>
    <n v="0.99554283799999999"/>
    <n v="-7.1665260079394981"/>
    <n v="7.7233923281959935E-4"/>
  </r>
  <r>
    <x v="2"/>
    <x v="9"/>
    <x v="0"/>
    <n v="1655"/>
    <n v="2210555"/>
    <n v="7.4899999999999999E-4"/>
    <n v="0.999251"/>
    <n v="99477.428549999997"/>
    <n v="74.510000000000005"/>
    <n v="99440.174249999996"/>
    <n v="4932052.3210000005"/>
    <n v="49.579612109999999"/>
    <n v="0.99477428599999995"/>
    <n v="-7.1967715744470544"/>
    <n v="7.4929462526762767E-4"/>
  </r>
  <r>
    <x v="2"/>
    <x v="10"/>
    <x v="0"/>
    <n v="1786"/>
    <n v="2174279"/>
    <n v="8.2100000000000001E-4"/>
    <n v="0.99917900000000004"/>
    <n v="99402.951709999994"/>
    <n v="81.61"/>
    <n v="99362.146800000002"/>
    <n v="4832612.1469999999"/>
    <n v="48.616384770000003"/>
    <n v="0.99402951699999997"/>
    <n v="-7.1049874485118458"/>
    <n v="8.2133910994833443E-4"/>
  </r>
  <r>
    <x v="2"/>
    <x v="11"/>
    <x v="0"/>
    <n v="1916"/>
    <n v="2183649"/>
    <n v="8.7699999999999996E-4"/>
    <n v="0.99912299999999998"/>
    <n v="99321.299969999993"/>
    <n v="87.1"/>
    <n v="99277.747579999996"/>
    <n v="4733250"/>
    <n v="47.655940889999997"/>
    <n v="0.99321300000000001"/>
    <n v="-7.0390035655920915"/>
    <n v="8.7733677360968113E-4"/>
  </r>
  <r>
    <x v="2"/>
    <x v="12"/>
    <x v="0"/>
    <n v="2028"/>
    <n v="2204770"/>
    <n v="9.2000000000000003E-4"/>
    <n v="0.99907999999999997"/>
    <n v="99234.152440000005"/>
    <n v="91.3"/>
    <n v="99188.504730000001"/>
    <n v="4633972.2529999996"/>
    <n v="46.697353069999998"/>
    <n v="0.99234152399999997"/>
    <n v="-6.9911368879211881"/>
    <n v="9.2046948589076375E-4"/>
  </r>
  <r>
    <x v="2"/>
    <x v="13"/>
    <x v="0"/>
    <n v="2166"/>
    <n v="2142863"/>
    <n v="1.011E-3"/>
    <n v="0.99898900000000002"/>
    <n v="99142.874500000005"/>
    <n v="100.23"/>
    <n v="99092.75778"/>
    <n v="4534783.7479999997"/>
    <n v="45.739885700000002"/>
    <n v="0.991428745"/>
    <n v="-6.8968153389438029"/>
    <n v="1.0114764396524981E-3"/>
  </r>
  <r>
    <x v="2"/>
    <x v="14"/>
    <x v="0"/>
    <n v="2279"/>
    <n v="2177520"/>
    <n v="1.047E-3"/>
    <n v="0.99895299999999998"/>
    <n v="99042.661160000003"/>
    <n v="103.7"/>
    <n v="98990.812330000001"/>
    <n v="4435690.99"/>
    <n v="44.785660419999999"/>
    <n v="0.99042661200000004"/>
    <n v="-6.8618263470937375"/>
    <n v="1.0475717593389357E-3"/>
  </r>
  <r>
    <x v="2"/>
    <x v="15"/>
    <x v="0"/>
    <n v="2385"/>
    <n v="2179052"/>
    <n v="1.0950000000000001E-3"/>
    <n v="0.99890500000000004"/>
    <n v="98939.002770000006"/>
    <n v="108.34"/>
    <n v="98884.833670000007"/>
    <n v="4336700.1780000003"/>
    <n v="43.832058709999998"/>
    <n v="0.98939002799999998"/>
    <n v="-6.8170009157136731"/>
    <n v="1.0956176955476233E-3"/>
  </r>
  <r>
    <x v="2"/>
    <x v="16"/>
    <x v="0"/>
    <n v="2460"/>
    <n v="2157640"/>
    <n v="1.14E-3"/>
    <n v="0.99885999999999997"/>
    <n v="98830.712780000002"/>
    <n v="112.67"/>
    <n v="98774.379270000005"/>
    <n v="4237815.3439999996"/>
    <n v="42.879538410000002"/>
    <n v="0.98830712799999998"/>
    <n v="-6.776727016575733"/>
    <n v="1.1406804924335848E-3"/>
  </r>
  <r>
    <x v="2"/>
    <x v="17"/>
    <x v="0"/>
    <n v="2662"/>
    <n v="2190170"/>
    <n v="1.2149999999999999E-3"/>
    <n v="0.99878500000000003"/>
    <n v="98718.032460000002"/>
    <n v="119.94"/>
    <n v="98658.061260000002"/>
    <n v="4139040.9649999999"/>
    <n v="41.927911870000003"/>
    <n v="0.98718032499999997"/>
    <n v="-6.7130112021896258"/>
    <n v="1.215714401036941E-3"/>
  </r>
  <r>
    <x v="2"/>
    <x v="18"/>
    <x v="0"/>
    <n v="2519"/>
    <n v="2063849"/>
    <n v="1.2210000000000001E-3"/>
    <n v="0.99877899999999997"/>
    <n v="98598.047529999996"/>
    <n v="120.39"/>
    <n v="98537.853419999999"/>
    <n v="4040382.9040000001"/>
    <n v="40.978325689999998"/>
    <n v="0.98598047499999997"/>
    <n v="-6.7080850838535691"/>
    <n v="1.2217636960075284E-3"/>
  </r>
  <r>
    <x v="2"/>
    <x v="19"/>
    <x v="0"/>
    <n v="2770"/>
    <n v="2025301"/>
    <n v="1.3680000000000001E-3"/>
    <n v="0.99863199999999996"/>
    <n v="98477.705159999998"/>
    <n v="134.72"/>
    <n v="98410.346409999998"/>
    <n v="3941845.05"/>
    <n v="40.02779151"/>
    <n v="0.98477705199999999"/>
    <n v="-6.5944054597817781"/>
    <n v="1.36896154274539E-3"/>
  </r>
  <r>
    <x v="2"/>
    <x v="20"/>
    <x v="0"/>
    <n v="2898"/>
    <n v="2009156"/>
    <n v="1.4419999999999999E-3"/>
    <n v="0.99855799999999995"/>
    <n v="98343.017399999997"/>
    <n v="141.81"/>
    <n v="98272.112080000006"/>
    <n v="3843434.7039999999"/>
    <n v="39.081927780000001"/>
    <n v="0.98343017399999999"/>
    <n v="-6.5417242401193798"/>
    <n v="1.4430342966855749E-3"/>
  </r>
  <r>
    <x v="2"/>
    <x v="21"/>
    <x v="0"/>
    <n v="2956"/>
    <n v="1948683"/>
    <n v="1.5169999999999999E-3"/>
    <n v="0.99848300000000001"/>
    <n v="98201.167759999997"/>
    <n v="148.97"/>
    <n v="98126.68217"/>
    <n v="3745162.5920000002"/>
    <n v="38.13765841"/>
    <n v="0.982011678"/>
    <n v="-6.4910205786157418"/>
    <n v="1.5181395200935381E-3"/>
  </r>
  <r>
    <x v="2"/>
    <x v="22"/>
    <x v="0"/>
    <n v="3277"/>
    <n v="2003193"/>
    <n v="1.6360000000000001E-3"/>
    <n v="0.99836400000000003"/>
    <n v="98052.204249999995"/>
    <n v="160.41"/>
    <n v="97971.99755"/>
    <n v="3647035.91"/>
    <n v="37.194838580000003"/>
    <n v="0.98052204300000001"/>
    <n v="-6.4155010408015816"/>
    <n v="1.6373044854361852E-3"/>
  </r>
  <r>
    <x v="2"/>
    <x v="23"/>
    <x v="0"/>
    <n v="3436"/>
    <n v="1947353"/>
    <n v="1.7639999999999999E-3"/>
    <n v="0.99823600000000001"/>
    <n v="97891.801800000001"/>
    <n v="172.68"/>
    <n v="97805.461230000001"/>
    <n v="3549063.912"/>
    <n v="36.254965650000003"/>
    <n v="0.978918018"/>
    <n v="-6.3401713213975377"/>
    <n v="1.7655459767333855E-3"/>
  </r>
  <r>
    <x v="2"/>
    <x v="24"/>
    <x v="0"/>
    <n v="3641"/>
    <n v="1981873"/>
    <n v="1.8370000000000001E-3"/>
    <n v="0.99816300000000002"/>
    <n v="97719.076960000006"/>
    <n v="179.51"/>
    <n v="97629.321989999997"/>
    <n v="3451258.4509999999"/>
    <n v="35.318164660000001"/>
    <n v="0.97719076999999999"/>
    <n v="-6.2996214727491484"/>
    <n v="1.8386895443964644E-3"/>
  </r>
  <r>
    <x v="2"/>
    <x v="25"/>
    <x v="0"/>
    <n v="4140"/>
    <n v="2066554"/>
    <n v="2.003E-3"/>
    <n v="0.99799700000000002"/>
    <n v="97539.552259999997"/>
    <n v="195.37"/>
    <n v="97441.866399999999"/>
    <n v="3353629.1290000002"/>
    <n v="34.38224855"/>
    <n v="0.97539552299999999"/>
    <n v="-6.2131092222984554"/>
    <n v="2.0049906675591706E-3"/>
  </r>
  <r>
    <x v="2"/>
    <x v="26"/>
    <x v="0"/>
    <n v="4863"/>
    <n v="2183846"/>
    <n v="2.2269999999999998E-3"/>
    <n v="0.99777300000000002"/>
    <n v="97344.147859999997"/>
    <n v="216.79"/>
    <n v="97235.755149999997"/>
    <n v="3256187.2620000001"/>
    <n v="33.450262129999999"/>
    <n v="0.973441479"/>
    <n v="-6.1070998907069063"/>
    <n v="2.2295294415184941E-3"/>
  </r>
  <r>
    <x v="2"/>
    <x v="27"/>
    <x v="0"/>
    <n v="5251"/>
    <n v="2201202"/>
    <n v="2.3860000000000001E-3"/>
    <n v="0.997614"/>
    <n v="97127.381389999995"/>
    <n v="231.75"/>
    <n v="97011.508419999998"/>
    <n v="3158951.5070000002"/>
    <n v="32.523799799999999"/>
    <n v="0.97127381400000001"/>
    <n v="-6.0381369553064124"/>
    <n v="2.3888912509477055E-3"/>
  </r>
  <r>
    <x v="2"/>
    <x v="28"/>
    <x v="0"/>
    <n v="5441"/>
    <n v="2089271"/>
    <n v="2.604E-3"/>
    <n v="0.99739599999999995"/>
    <n v="96895.682579999993"/>
    <n v="252.32"/>
    <n v="96769.524399999995"/>
    <n v="3061939.9989999998"/>
    <n v="31.600375960000001"/>
    <n v="0.96895682599999999"/>
    <n v="-5.950706554635814"/>
    <n v="2.6074328059915671E-3"/>
  </r>
  <r>
    <x v="2"/>
    <x v="29"/>
    <x v="0"/>
    <n v="5780"/>
    <n v="2046810"/>
    <n v="2.8240000000000001E-3"/>
    <n v="0.99717599999999995"/>
    <n v="96643.341260000001"/>
    <n v="272.92"/>
    <n v="96506.880860000005"/>
    <n v="2965170.4739999999"/>
    <n v="30.681580709999999"/>
    <n v="0.96643341299999996"/>
    <n v="-5.8696009593511418"/>
    <n v="2.8279847487085075E-3"/>
  </r>
  <r>
    <x v="2"/>
    <x v="30"/>
    <x v="0"/>
    <n v="6490"/>
    <n v="2053593"/>
    <n v="3.16E-3"/>
    <n v="0.99683999999999995"/>
    <n v="96370.429499999998"/>
    <n v="304.52999999999997"/>
    <n v="96218.164220000006"/>
    <n v="2868663.594"/>
    <n v="29.767052079999999"/>
    <n v="0.96370429499999999"/>
    <n v="-5.7571832513833163"/>
    <n v="3.1649954086115321E-3"/>
  </r>
  <r>
    <x v="2"/>
    <x v="31"/>
    <x v="0"/>
    <n v="7200"/>
    <n v="2089015"/>
    <n v="3.447E-3"/>
    <n v="0.99655300000000002"/>
    <n v="96065.868619999994"/>
    <n v="331.14"/>
    <n v="95900.299100000004"/>
    <n v="2772445.429"/>
    <n v="28.859838249999999"/>
    <n v="0.96065868600000004"/>
    <n v="-5.6702509914474089"/>
    <n v="3.4529603853726688E-3"/>
  </r>
  <r>
    <x v="2"/>
    <x v="32"/>
    <x v="0"/>
    <n v="8160"/>
    <n v="2214239"/>
    <n v="3.6849999999999999E-3"/>
    <n v="0.99631499999999995"/>
    <n v="95734.767959999997"/>
    <n v="352.78"/>
    <n v="95558.376650000006"/>
    <n v="2676545.13"/>
    <n v="27.95792153"/>
    <n v="0.95734768000000003"/>
    <n v="-5.6034847533408367"/>
    <n v="3.691775170527311E-3"/>
  </r>
  <r>
    <x v="2"/>
    <x v="33"/>
    <x v="0"/>
    <n v="9047"/>
    <n v="2261664"/>
    <n v="4.0000000000000001E-3"/>
    <n v="0.996"/>
    <n v="95381.962450000006"/>
    <n v="381.53"/>
    <n v="95191.198529999994"/>
    <n v="2580986.7540000002"/>
    <n v="27.059484699999999"/>
    <n v="0.95381962499999995"/>
    <n v="-5.521460917862246"/>
    <n v="4.0080389257639336E-3"/>
  </r>
  <r>
    <x v="2"/>
    <x v="34"/>
    <x v="0"/>
    <n v="9966"/>
    <n v="2262401"/>
    <n v="4.4050000000000001E-3"/>
    <n v="0.99559500000000001"/>
    <n v="95000.42009"/>
    <n v="418.48"/>
    <n v="94791.181660000002"/>
    <n v="2485795.5550000002"/>
    <n v="26.16615329"/>
    <n v="0.95000420100000005"/>
    <n v="-5.4250150195939941"/>
    <n v="4.4147567748995618E-3"/>
  </r>
  <r>
    <x v="2"/>
    <x v="35"/>
    <x v="0"/>
    <n v="10959"/>
    <n v="2258814"/>
    <n v="4.8520000000000004E-3"/>
    <n v="0.99514800000000003"/>
    <n v="94581.938049999997"/>
    <n v="458.91"/>
    <n v="94352.482269999993"/>
    <n v="2391004.3730000001"/>
    <n v="25.27971432"/>
    <n v="0.94581938099999996"/>
    <n v="-5.3283642879003335"/>
    <n v="4.8637821813775966E-3"/>
  </r>
  <r>
    <x v="2"/>
    <x v="36"/>
    <x v="0"/>
    <n v="11882"/>
    <n v="2290060"/>
    <n v="5.189E-3"/>
    <n v="0.994811"/>
    <n v="94123.058550000002"/>
    <n v="488.4"/>
    <n v="93878.856270000004"/>
    <n v="2296651.8909999998"/>
    <n v="24.400523379999999"/>
    <n v="0.94123058599999998"/>
    <n v="-5.2612142785965341"/>
    <n v="5.2024481285213135E-3"/>
  </r>
  <r>
    <x v="2"/>
    <x v="37"/>
    <x v="0"/>
    <n v="12929"/>
    <n v="2303341"/>
    <n v="5.6129999999999999E-3"/>
    <n v="0.99438700000000002"/>
    <n v="93634.700079999995"/>
    <n v="525.57000000000005"/>
    <n v="93371.914290000001"/>
    <n v="2202773.0350000001"/>
    <n v="23.525178520000001"/>
    <n v="0.93634700100000001"/>
    <n v="-5.1826699430220744"/>
    <n v="5.6287808132798314E-3"/>
  </r>
  <r>
    <x v="2"/>
    <x v="38"/>
    <x v="0"/>
    <n v="13554"/>
    <n v="2232903"/>
    <n v="6.0699999999999999E-3"/>
    <n v="0.99392999999999998"/>
    <n v="93109.114409999995"/>
    <n v="565.16999999999996"/>
    <n v="92826.528250000003"/>
    <n v="2109401.1209999998"/>
    <n v="22.655151799999999"/>
    <n v="0.93109114400000004"/>
    <n v="-5.1043966739107303"/>
    <n v="6.0884538726068242E-3"/>
  </r>
  <r>
    <x v="2"/>
    <x v="39"/>
    <x v="0"/>
    <n v="14387"/>
    <n v="2222318"/>
    <n v="6.4739999999999997E-3"/>
    <n v="0.99352600000000002"/>
    <n v="92543.930460000003"/>
    <n v="599.13"/>
    <n v="92244.365760000001"/>
    <n v="2016574.5919999999"/>
    <n v="21.7904576"/>
    <n v="0.92543930500000005"/>
    <n v="-5.0399611234780846"/>
    <n v="6.4950304153638047E-3"/>
  </r>
  <r>
    <x v="2"/>
    <x v="40"/>
    <x v="0"/>
    <n v="15369"/>
    <n v="2202546"/>
    <n v="6.9779999999999998E-3"/>
    <n v="0.99302199999999996"/>
    <n v="91944.812990000006"/>
    <n v="641.59"/>
    <n v="91624.017540000001"/>
    <n v="1924330.227"/>
    <n v="20.929187460000001"/>
    <n v="0.91944813000000003"/>
    <n v="-4.9649929362175547"/>
    <n v="7.0024210219380382E-3"/>
  </r>
  <r>
    <x v="2"/>
    <x v="41"/>
    <x v="0"/>
    <n v="15902"/>
    <n v="2128409"/>
    <n v="7.4710000000000002E-3"/>
    <n v="0.99252899999999999"/>
    <n v="91303.237359999999"/>
    <n v="682.13"/>
    <n v="90962.174119999996"/>
    <n v="1832706.209"/>
    <n v="20.072740710000001"/>
    <n v="0.91303237400000004"/>
    <n v="-4.8967264199884726"/>
    <n v="7.4990523499006388E-3"/>
  </r>
  <r>
    <x v="2"/>
    <x v="42"/>
    <x v="0"/>
    <n v="16467"/>
    <n v="2111180"/>
    <n v="7.7999999999999996E-3"/>
    <n v="0.99219999999999997"/>
    <n v="90621.082720000006"/>
    <n v="706.84"/>
    <n v="90267.660499999998"/>
    <n v="1741744.0349999999"/>
    <n v="19.220075309999999"/>
    <n v="0.906210827"/>
    <n v="-4.853631545286591"/>
    <n v="7.8304894779189331E-3"/>
  </r>
  <r>
    <x v="2"/>
    <x v="43"/>
    <x v="0"/>
    <n v="17301"/>
    <n v="2032205"/>
    <n v="8.5129999999999997E-3"/>
    <n v="0.99148700000000001"/>
    <n v="89914.247029999999"/>
    <n v="765.44"/>
    <n v="89531.527040000001"/>
    <n v="1651476.3740000001"/>
    <n v="18.367238"/>
    <n v="0.89914247000000003"/>
    <n v="-4.7661608720802171"/>
    <n v="8.5493924205575968E-3"/>
  </r>
  <r>
    <x v="2"/>
    <x v="44"/>
    <x v="0"/>
    <n v="17921"/>
    <n v="1956079"/>
    <n v="9.162E-3"/>
    <n v="0.990838"/>
    <n v="89148.769929999995"/>
    <n v="816.78"/>
    <n v="88740.379409999994"/>
    <n v="1561944.8470000001"/>
    <n v="17.52065507"/>
    <n v="0.89148769900000002"/>
    <n v="-4.6926907835175866"/>
    <n v="9.2041512600245165E-3"/>
  </r>
  <r>
    <x v="2"/>
    <x v="45"/>
    <x v="0"/>
    <n v="18620"/>
    <n v="1878995"/>
    <n v="9.9100000000000004E-3"/>
    <n v="0.99009000000000003"/>
    <n v="88332.016059999994"/>
    <n v="875.37"/>
    <n v="87894.330919999993"/>
    <n v="1473204.4680000001"/>
    <n v="16.678035139999999"/>
    <n v="0.88332016099999999"/>
    <n v="-4.6142109306402403"/>
    <n v="9.9593431577506795E-3"/>
  </r>
  <r>
    <x v="2"/>
    <x v="46"/>
    <x v="0"/>
    <n v="19061"/>
    <n v="1825058"/>
    <n v="1.0444E-2"/>
    <n v="0.98955599999999999"/>
    <n v="87456.685289999994"/>
    <n v="913.4"/>
    <n v="86999.986480000007"/>
    <n v="1385310.1370000001"/>
    <n v="15.839957030000001"/>
    <n v="0.87456685300000003"/>
    <n v="-4.5617276281452543"/>
    <n v="1.0498852478987266E-2"/>
  </r>
  <r>
    <x v="2"/>
    <x v="47"/>
    <x v="0"/>
    <n v="19936"/>
    <n v="1778116"/>
    <n v="1.1212E-2"/>
    <n v="0.988788"/>
    <n v="86543.283150000003"/>
    <n v="970.32"/>
    <n v="86058.121499999994"/>
    <n v="1298310.1510000001"/>
    <n v="15.00185922"/>
    <n v="0.86543283199999999"/>
    <n v="-4.4907706456795955"/>
    <n v="1.1275169828087009E-2"/>
  </r>
  <r>
    <x v="2"/>
    <x v="48"/>
    <x v="0"/>
    <n v="21697"/>
    <n v="1723919"/>
    <n v="1.2586E-2"/>
    <n v="0.98741400000000001"/>
    <n v="85572.971380000003"/>
    <n v="1077.02"/>
    <n v="85034.46067"/>
    <n v="1212252.0290000001"/>
    <n v="14.166295849999999"/>
    <n v="0.85572971399999997"/>
    <n v="-4.3751701938773948"/>
    <n v="1.266568770629301E-2"/>
  </r>
  <r>
    <x v="2"/>
    <x v="49"/>
    <x v="0"/>
    <n v="23515"/>
    <n v="1700425"/>
    <n v="1.3828999999999999E-2"/>
    <n v="0.98617100000000002"/>
    <n v="84495.962100000004"/>
    <n v="1168.49"/>
    <n v="83911.714770000006"/>
    <n v="1127217.568"/>
    <n v="13.340490369999999"/>
    <n v="0.84495962099999999"/>
    <n v="-4.2809874424996162"/>
    <n v="1.3925230128619874E-2"/>
  </r>
  <r>
    <x v="2"/>
    <x v="50"/>
    <x v="0"/>
    <n v="25874"/>
    <n v="1765955"/>
    <n v="1.4652E-2"/>
    <n v="0.985348"/>
    <n v="83327.476250000007"/>
    <n v="1220.9100000000001"/>
    <n v="82717.019159999996"/>
    <n v="1043305.8540000001"/>
    <n v="12.520550249999999"/>
    <n v="0.83327476300000003"/>
    <n v="-4.2231784340655691"/>
    <n v="1.4760078922040808E-2"/>
  </r>
  <r>
    <x v="2"/>
    <x v="51"/>
    <x v="0"/>
    <n v="21865"/>
    <n v="1307666"/>
    <n v="1.6721E-2"/>
    <n v="0.98327900000000001"/>
    <n v="82106.59852"/>
    <n v="1372.9"/>
    <n v="81420.146299999993"/>
    <n v="960588.8345"/>
    <n v="11.69928912"/>
    <n v="0.82106598500000005"/>
    <n v="-4.0910898645016047"/>
    <n v="1.6861916939596686E-2"/>
  </r>
  <r>
    <x v="2"/>
    <x v="52"/>
    <x v="0"/>
    <n v="23530"/>
    <n v="1290521"/>
    <n v="1.8232999999999999E-2"/>
    <n v="0.98176699999999995"/>
    <n v="80733.724430000002"/>
    <n v="1472.02"/>
    <n v="79997.715429999997"/>
    <n v="879168.68819999998"/>
    <n v="10.889732820000001"/>
    <n v="0.80733724399999995"/>
    <n v="-4.0045221399250694"/>
    <n v="1.840077497411001E-2"/>
  </r>
  <r>
    <x v="2"/>
    <x v="53"/>
    <x v="0"/>
    <n v="25389"/>
    <n v="1255382"/>
    <n v="2.0223999999999999E-2"/>
    <n v="0.97977599999999998"/>
    <n v="79261.710770000005"/>
    <n v="1602.99"/>
    <n v="78460.216350000002"/>
    <n v="799170.97279999999"/>
    <n v="10.082686389999999"/>
    <n v="0.79261710799999996"/>
    <n v="-3.9008852610176903"/>
    <n v="2.0430610240080287E-2"/>
  </r>
  <r>
    <x v="2"/>
    <x v="54"/>
    <x v="0"/>
    <n v="28192"/>
    <n v="1280269"/>
    <n v="2.2020000000000001E-2"/>
    <n v="0.97797999999999996"/>
    <n v="77658.712180000002"/>
    <n v="1710.04"/>
    <n v="76803.689759999994"/>
    <n v="720710.75639999995"/>
    <n v="9.280488128"/>
    <n v="0.77658712200000002"/>
    <n v="-3.815804147687603"/>
    <n v="2.226508032602802E-2"/>
  </r>
  <r>
    <x v="2"/>
    <x v="55"/>
    <x v="0"/>
    <n v="27378"/>
    <n v="1115294"/>
    <n v="2.4548E-2"/>
    <n v="0.97545199999999999"/>
    <n v="75948.638430000006"/>
    <n v="1864.39"/>
    <n v="75016.444839999996"/>
    <n v="643907.06669999997"/>
    <n v="8.4781910509999996"/>
    <n v="0.75948638400000001"/>
    <n v="-3.7071248944552866"/>
    <n v="2.485308125822094E-2"/>
  </r>
  <r>
    <x v="2"/>
    <x v="56"/>
    <x v="0"/>
    <n v="27440"/>
    <n v="1019726"/>
    <n v="2.6908999999999999E-2"/>
    <n v="0.97309100000000004"/>
    <n v="74084.267399999997"/>
    <n v="1993.53"/>
    <n v="73087.500620000006"/>
    <n v="568890.62179999996"/>
    <n v="7.6789666929999996"/>
    <n v="0.74084267400000003"/>
    <n v="-3.6152944758405323"/>
    <n v="2.7275938762349902E-2"/>
  </r>
  <r>
    <x v="2"/>
    <x v="57"/>
    <x v="0"/>
    <n v="28187"/>
    <n v="959502"/>
    <n v="2.9377E-2"/>
    <n v="0.97062300000000001"/>
    <n v="72090.719819999998"/>
    <n v="2117.81"/>
    <n v="71031.815279999995"/>
    <n v="495803.12119999999"/>
    <n v="6.8774888430000001"/>
    <n v="0.72090719800000003"/>
    <n v="-3.5275432237291167"/>
    <n v="2.9814945127332574E-2"/>
  </r>
  <r>
    <x v="2"/>
    <x v="58"/>
    <x v="0"/>
    <n v="29753"/>
    <n v="894185"/>
    <n v="3.3273999999999998E-2"/>
    <n v="0.96672599999999997"/>
    <n v="69972.932549999998"/>
    <n v="2328.2800000000002"/>
    <n v="68808.792870000005"/>
    <n v="424771.30589999998"/>
    <n v="6.070508845"/>
    <n v="0.69972932600000004"/>
    <n v="-3.4029789677445859"/>
    <n v="3.3836952442431845E-2"/>
  </r>
  <r>
    <x v="2"/>
    <x v="59"/>
    <x v="0"/>
    <n v="31235"/>
    <n v="853738"/>
    <n v="3.6586E-2"/>
    <n v="0.96341399999999999"/>
    <n v="67644.661940000005"/>
    <n v="2474.85"/>
    <n v="66407.238140000001"/>
    <n v="355962.51309999998"/>
    <n v="5.2622409939999999"/>
    <n v="0.67644661900000003"/>
    <n v="-3.3080896254130305"/>
    <n v="3.7267778007191707E-2"/>
  </r>
  <r>
    <x v="2"/>
    <x v="60"/>
    <x v="0"/>
    <n v="32267"/>
    <n v="782413"/>
    <n v="4.1239999999999999E-2"/>
    <n v="0.95875999999999995"/>
    <n v="65169.803119999997"/>
    <n v="2687.6"/>
    <n v="63826.001779999999"/>
    <n v="289555.27490000002"/>
    <n v="4.4430896070000001"/>
    <n v="0.65169803100000001"/>
    <n v="-3.1883466198333781"/>
    <n v="4.2108238490977265E-2"/>
  </r>
  <r>
    <x v="2"/>
    <x v="61"/>
    <x v="0"/>
    <n v="33792"/>
    <n v="741699"/>
    <n v="4.5560000000000003E-2"/>
    <n v="0.95443999999999996"/>
    <n v="62482.176460000002"/>
    <n v="2846.69"/>
    <n v="61058.832479999997"/>
    <n v="225729.27309999999"/>
    <n v="3.612698628"/>
    <n v="0.62482176499999997"/>
    <n v="-3.0887251404031555"/>
    <n v="4.6622089947469511E-2"/>
  </r>
  <r>
    <x v="2"/>
    <x v="62"/>
    <x v="0"/>
    <n v="35949"/>
    <n v="706475"/>
    <n v="5.0885E-2"/>
    <n v="0.94911500000000004"/>
    <n v="59635.472199999997"/>
    <n v="3034.55"/>
    <n v="58118.1967"/>
    <n v="164670.44070000001"/>
    <n v="2.7612834209999999"/>
    <n v="0.59635472199999995"/>
    <n v="-2.9781870943382422"/>
    <n v="5.2213423947084413E-2"/>
  </r>
  <r>
    <x v="2"/>
    <x v="63"/>
    <x v="0"/>
    <n v="36345"/>
    <n v="626409"/>
    <n v="5.8021000000000003E-2"/>
    <n v="0.94197900000000001"/>
    <n v="56600.919540000003"/>
    <n v="3284.04"/>
    <n v="54958.898560000001"/>
    <n v="106552.24400000001"/>
    <n v="1.882517896"/>
    <n v="0.56600919500000002"/>
    <n v="-2.8469502650013507"/>
    <n v="5.9754478695491872E-2"/>
  </r>
  <r>
    <x v="2"/>
    <x v="64"/>
    <x v="0"/>
    <n v="38742"/>
    <n v="599235"/>
    <n v="6.4652000000000001E-2"/>
    <n v="0.93534799999999996"/>
    <n v="53316.866430000002"/>
    <n v="3447.04"/>
    <n v="51593.345410000002"/>
    <n v="51593.345410000002"/>
    <n v="0.96767400000000003"/>
    <n v="0.53316866399999996"/>
    <n v="-2.7387362384345746"/>
    <n v="4.4966220354807705E-2"/>
  </r>
  <r>
    <x v="2"/>
    <x v="0"/>
    <x v="1"/>
    <n v="2633"/>
    <n v="2187409"/>
    <n v="1.204E-3"/>
    <n v="0.99879600000000002"/>
    <n v="100000"/>
    <n v="120.4"/>
    <n v="99939.8"/>
    <n v="5481504.0290000001"/>
    <n v="54.815040289999999"/>
    <n v="1"/>
    <n v="-6.7221059320955074"/>
    <n v="1.2047250681192579E-3"/>
  </r>
  <r>
    <x v="2"/>
    <x v="1"/>
    <x v="1"/>
    <n v="2864"/>
    <n v="2213975"/>
    <n v="1.294E-3"/>
    <n v="0.99870599999999998"/>
    <n v="99879.629279999994"/>
    <n v="129.24"/>
    <n v="99815.007159999994"/>
    <n v="5381564.2290000003"/>
    <n v="53.880498629999998"/>
    <n v="0.99879629299999995"/>
    <n v="-6.6500170829034282"/>
    <n v="1.2947950200270794E-3"/>
  </r>
  <r>
    <x v="2"/>
    <x v="2"/>
    <x v="1"/>
    <n v="3115"/>
    <n v="2270148"/>
    <n v="1.372E-3"/>
    <n v="0.99862799999999996"/>
    <n v="99750.424899999998"/>
    <n v="136.86000000000001"/>
    <n v="99681.996109999993"/>
    <n v="5281749.2220000001"/>
    <n v="52.949641339999999"/>
    <n v="0.99750424900000001"/>
    <n v="-6.5914857496784434"/>
    <n v="1.3729661935444057E-3"/>
  </r>
  <r>
    <x v="2"/>
    <x v="3"/>
    <x v="1"/>
    <n v="3387"/>
    <n v="2318784"/>
    <n v="1.4610000000000001E-3"/>
    <n v="0.99853899999999995"/>
    <n v="99613.551640000005"/>
    <n v="145.54"/>
    <n v="99540.783939999994"/>
    <n v="5182067.2249999996"/>
    <n v="52.021709299999998"/>
    <n v="0.99613551600000005"/>
    <n v="-6.5286341462135749"/>
    <n v="1.4621140290102233E-3"/>
  </r>
  <r>
    <x v="2"/>
    <x v="4"/>
    <x v="1"/>
    <n v="3655"/>
    <n v="2358826"/>
    <n v="1.549E-3"/>
    <n v="0.99845099999999998"/>
    <n v="99468.048169999995"/>
    <n v="154.08000000000001"/>
    <n v="99391.010169999994"/>
    <n v="5082526.4419999998"/>
    <n v="51.097076250000001"/>
    <n v="0.99468048200000003"/>
    <n v="-6.4701457175474051"/>
    <n v="1.5502411964618604E-3"/>
  </r>
  <r>
    <x v="2"/>
    <x v="5"/>
    <x v="1"/>
    <n v="3851"/>
    <n v="2413370"/>
    <n v="1.596E-3"/>
    <n v="0.99840399999999996"/>
    <n v="99313.922470000005"/>
    <n v="158.51"/>
    <n v="99234.669959999999"/>
    <n v="4983135.4309999999"/>
    <n v="50.17559782"/>
    <n v="0.99313922499999996"/>
    <n v="-6.44025477995452"/>
    <n v="1.597324561995785E-3"/>
  </r>
  <r>
    <x v="2"/>
    <x v="6"/>
    <x v="1"/>
    <n v="4102"/>
    <n v="2443974"/>
    <n v="1.678E-3"/>
    <n v="0.99832200000000004"/>
    <n v="99155.447839999993"/>
    <n v="166.38"/>
    <n v="99072.256420000005"/>
    <n v="4883900.7609999999"/>
    <n v="49.254991709999999"/>
    <n v="0.99155447799999996"/>
    <n v="-6.3901526709371224"/>
    <n v="1.6793806911548667E-3"/>
  </r>
  <r>
    <x v="2"/>
    <x v="7"/>
    <x v="1"/>
    <n v="4147"/>
    <n v="2432679"/>
    <n v="1.7049999999999999E-3"/>
    <n v="0.99829500000000004"/>
    <n v="98989.023960000006"/>
    <n v="168.78"/>
    <n v="98904.635819999996"/>
    <n v="4784828.5049999999"/>
    <n v="48.336960140000002"/>
    <n v="0.98989024000000003"/>
    <n v="-6.3741901682466571"/>
    <n v="1.7064920536274662E-3"/>
  </r>
  <r>
    <x v="2"/>
    <x v="8"/>
    <x v="1"/>
    <n v="4170"/>
    <n v="2335023"/>
    <n v="1.786E-3"/>
    <n v="0.99821400000000005"/>
    <n v="98820.276870000002"/>
    <n v="176.49"/>
    <n v="98732.030360000004"/>
    <n v="4685923.8689999999"/>
    <n v="47.418647440000001"/>
    <n v="0.98820276900000004"/>
    <n v="-6.3277767965278295"/>
    <n v="1.7875656569192966E-3"/>
  </r>
  <r>
    <x v="2"/>
    <x v="9"/>
    <x v="1"/>
    <n v="4115"/>
    <n v="2277184"/>
    <n v="1.807E-3"/>
    <n v="0.998193"/>
    <n v="98643.798720000006"/>
    <n v="178.25"/>
    <n v="98554.674050000001"/>
    <n v="4587191.8389999997"/>
    <n v="46.502587069999997"/>
    <n v="0.98643798699999996"/>
    <n v="-6.3160872673720458"/>
    <n v="1.8086408052715246E-3"/>
  </r>
  <r>
    <x v="2"/>
    <x v="10"/>
    <x v="1"/>
    <n v="4033"/>
    <n v="2236352"/>
    <n v="1.8029999999999999E-3"/>
    <n v="0.998197"/>
    <n v="98465.543810000003"/>
    <n v="177.53"/>
    <n v="98376.777119999999"/>
    <n v="4488637.165"/>
    <n v="45.585866799999998"/>
    <n v="0.98465543799999999"/>
    <n v="-6.318303334760957"/>
    <n v="1.804592905550666E-3"/>
  </r>
  <r>
    <x v="2"/>
    <x v="11"/>
    <x v="1"/>
    <n v="4244"/>
    <n v="2241759"/>
    <n v="1.8929999999999999E-3"/>
    <n v="0.99810699999999997"/>
    <n v="98287.972680000006"/>
    <n v="186.06"/>
    <n v="98194.943109999993"/>
    <n v="4390260.3880000003"/>
    <n v="44.667320609999997"/>
    <n v="0.98287972700000004"/>
    <n v="-6.2695924067549509"/>
    <n v="1.8948024067258352E-3"/>
  </r>
  <r>
    <x v="2"/>
    <x v="12"/>
    <x v="1"/>
    <n v="4432"/>
    <n v="2248948"/>
    <n v="1.9710000000000001E-3"/>
    <n v="0.99802900000000005"/>
    <n v="98101.898199999996"/>
    <n v="193.36"/>
    <n v="98005.218779999996"/>
    <n v="4292065.4450000003"/>
    <n v="43.751094760000001"/>
    <n v="0.98101898200000004"/>
    <n v="-6.2292142508115536"/>
    <n v="1.9729558620031383E-3"/>
  </r>
  <r>
    <x v="2"/>
    <x v="13"/>
    <x v="1"/>
    <n v="4453"/>
    <n v="2168114"/>
    <n v="2.0539999999999998E-3"/>
    <n v="0.997946"/>
    <n v="97908.568859999999"/>
    <n v="201.1"/>
    <n v="97808.016759999999"/>
    <n v="4194060.2259999998"/>
    <n v="42.836498120000002"/>
    <n v="0.97908568900000004"/>
    <n v="-6.1879661674757704"/>
    <n v="2.0560685355244706E-3"/>
  </r>
  <r>
    <x v="2"/>
    <x v="14"/>
    <x v="1"/>
    <n v="4602"/>
    <n v="2193958"/>
    <n v="2.098E-3"/>
    <n v="0.99790199999999996"/>
    <n v="97707.478489999994"/>
    <n v="204.99"/>
    <n v="97604.983349999995"/>
    <n v="4096252.2089999998"/>
    <n v="41.923630330000002"/>
    <n v="0.977074785"/>
    <n v="-6.166770769008032"/>
    <n v="2.1001997006067129E-3"/>
  </r>
  <r>
    <x v="2"/>
    <x v="15"/>
    <x v="1"/>
    <n v="4661"/>
    <n v="2185895"/>
    <n v="2.1320000000000002E-3"/>
    <n v="0.99786799999999998"/>
    <n v="97502.529339999994"/>
    <n v="207.88"/>
    <n v="97398.591639999999"/>
    <n v="3998647.2259999998"/>
    <n v="41.010702520000002"/>
    <n v="0.97502529299999996"/>
    <n v="-6.1506947726785386"/>
    <n v="2.1343227707081363E-3"/>
  </r>
  <r>
    <x v="2"/>
    <x v="16"/>
    <x v="1"/>
    <n v="4809"/>
    <n v="2156347"/>
    <n v="2.2300000000000002E-3"/>
    <n v="0.99777000000000005"/>
    <n v="97294.623980000004"/>
    <n v="216.97"/>
    <n v="97186.140469999998"/>
    <n v="3901248.6340000001"/>
    <n v="40.097268219999997"/>
    <n v="0.97294623999999996"/>
    <n v="-6.1057536935101098"/>
    <n v="2.2325201554000943E-3"/>
  </r>
  <r>
    <x v="2"/>
    <x v="17"/>
    <x v="1"/>
    <n v="4920"/>
    <n v="2204181"/>
    <n v="2.232E-3"/>
    <n v="0.99776799999999999"/>
    <n v="97077.641350000005"/>
    <n v="216.68"/>
    <n v="96969.3027"/>
    <n v="3804062.4939999999"/>
    <n v="39.185773779999998"/>
    <n v="0.97077641400000003"/>
    <n v="-6.1048572344630729"/>
    <n v="2.2345217213125134E-3"/>
  </r>
  <r>
    <x v="2"/>
    <x v="18"/>
    <x v="1"/>
    <n v="4831"/>
    <n v="2056619"/>
    <n v="2.349E-3"/>
    <n v="0.99765099999999995"/>
    <n v="96860.952250000002"/>
    <n v="227.53"/>
    <n v="96747.189060000004"/>
    <n v="3707093.1910000001"/>
    <n v="38.272318249999998"/>
    <n v="0.96860952300000003"/>
    <n v="-6.0537655733053617"/>
    <n v="2.3517995955905551E-3"/>
  </r>
  <r>
    <x v="2"/>
    <x v="19"/>
    <x v="1"/>
    <n v="4884"/>
    <n v="2012943"/>
    <n v="2.4260000000000002E-3"/>
    <n v="0.99757399999999996"/>
    <n v="96633.425780000005"/>
    <n v="234.43"/>
    <n v="96516.209430000003"/>
    <n v="3610346.0019999999"/>
    <n v="37.361254379999998"/>
    <n v="0.96633425799999995"/>
    <n v="-6.0215114684602788"/>
    <n v="2.4289187936504587E-3"/>
  </r>
  <r>
    <x v="2"/>
    <x v="20"/>
    <x v="1"/>
    <n v="5074"/>
    <n v="1985267"/>
    <n v="2.5560000000000001E-3"/>
    <n v="0.997444"/>
    <n v="96398.96428"/>
    <n v="246.4"/>
    <n v="96275.766399999993"/>
    <n v="3513829.7919999999"/>
    <n v="36.450908149999997"/>
    <n v="0.96398964300000001"/>
    <n v="-5.9693117424668483"/>
    <n v="2.5593146430595306E-3"/>
  </r>
  <r>
    <x v="2"/>
    <x v="21"/>
    <x v="1"/>
    <n v="5045"/>
    <n v="1927055"/>
    <n v="2.6180000000000001E-3"/>
    <n v="0.99738199999999999"/>
    <n v="96152.585149999999"/>
    <n v="251.73"/>
    <n v="96026.721420000002"/>
    <n v="3417554.0260000001"/>
    <n v="35.543028"/>
    <n v="0.96152585199999996"/>
    <n v="-5.9453446114944288"/>
    <n v="2.6214578017924994E-3"/>
  </r>
  <r>
    <x v="2"/>
    <x v="22"/>
    <x v="1"/>
    <n v="5236"/>
    <n v="1987507"/>
    <n v="2.6340000000000001E-3"/>
    <n v="0.99736599999999997"/>
    <n v="95900.859179999999"/>
    <n v="252.6"/>
    <n v="95774.557750000007"/>
    <n v="3321527.304"/>
    <n v="34.635010919999999"/>
    <n v="0.95900859199999999"/>
    <n v="-5.9392516756610476"/>
    <n v="2.6374442610683129E-3"/>
  </r>
  <r>
    <x v="2"/>
    <x v="23"/>
    <x v="1"/>
    <n v="5464"/>
    <n v="1916102"/>
    <n v="2.8519999999999999E-3"/>
    <n v="0.99714800000000003"/>
    <n v="95648.212570000003"/>
    <n v="272.79000000000002"/>
    <n v="95511.818220000001"/>
    <n v="3225752.747"/>
    <n v="33.725175409999999"/>
    <n v="0.95648212600000004"/>
    <n v="-5.8597347764300878"/>
    <n v="2.8560858074504745E-3"/>
  </r>
  <r>
    <x v="2"/>
    <x v="24"/>
    <x v="1"/>
    <n v="5868"/>
    <n v="1937184"/>
    <n v="3.029E-3"/>
    <n v="0.99697100000000005"/>
    <n v="95375.459959999993"/>
    <n v="288.89"/>
    <n v="95231.013829999996"/>
    <n v="3130240.929"/>
    <n v="32.820192220000003"/>
    <n v="0.95375460000000001"/>
    <n v="-5.7995227469370372"/>
    <n v="3.0335707721623633E-3"/>
  </r>
  <r>
    <x v="2"/>
    <x v="25"/>
    <x v="1"/>
    <n v="6870"/>
    <n v="2025025"/>
    <n v="3.3930000000000002E-3"/>
    <n v="0.99660700000000002"/>
    <n v="95086.554409999997"/>
    <n v="322.63"/>
    <n v="94925.24007"/>
    <n v="3035009.915"/>
    <n v="31.918391969999998"/>
    <n v="0.95086554400000001"/>
    <n v="-5.6860407931800436"/>
    <n v="3.398779156778141E-3"/>
  </r>
  <r>
    <x v="2"/>
    <x v="26"/>
    <x v="1"/>
    <n v="7680"/>
    <n v="2136737"/>
    <n v="3.594E-3"/>
    <n v="0.99640600000000001"/>
    <n v="94763.96845"/>
    <n v="340.58"/>
    <n v="94593.677599999995"/>
    <n v="2940084.6749999998"/>
    <n v="31.02534352"/>
    <n v="0.94763968499999995"/>
    <n v="-5.6284894906207699"/>
    <n v="3.6004525240668989E-3"/>
  </r>
  <r>
    <x v="2"/>
    <x v="27"/>
    <x v="1"/>
    <n v="8282"/>
    <n v="2169762"/>
    <n v="3.8170000000000001E-3"/>
    <n v="0.99618300000000004"/>
    <n v="94423.361600000004"/>
    <n v="360.41"/>
    <n v="94243.154609999998"/>
    <n v="2845490.997"/>
    <n v="30.13545534"/>
    <n v="0.944233616"/>
    <n v="-5.5682905052190446"/>
    <n v="3.8242565523317071E-3"/>
  </r>
  <r>
    <x v="2"/>
    <x v="28"/>
    <x v="1"/>
    <n v="8450"/>
    <n v="2050739"/>
    <n v="4.1200000000000004E-3"/>
    <n v="0.99587999999999999"/>
    <n v="94062.946819999997"/>
    <n v="387.54"/>
    <n v="93869.177150000003"/>
    <n v="2751247.8420000002"/>
    <n v="29.249007559999999"/>
    <n v="0.94062946800000002"/>
    <n v="-5.491902115620702"/>
    <n v="4.1285127048300051E-3"/>
  </r>
  <r>
    <x v="2"/>
    <x v="29"/>
    <x v="1"/>
    <n v="8941"/>
    <n v="2003912"/>
    <n v="4.4619999999999998E-3"/>
    <n v="0.99553800000000003"/>
    <n v="93675.363660000003"/>
    <n v="417.98"/>
    <n v="93466.373919999998"/>
    <n v="2657378.665"/>
    <n v="28.367956750000001"/>
    <n v="0.93675363700000003"/>
    <n v="-5.4121581829717966"/>
    <n v="4.4719821133871003E-3"/>
  </r>
  <r>
    <x v="2"/>
    <x v="30"/>
    <x v="1"/>
    <n v="9935"/>
    <n v="1997485"/>
    <n v="4.9740000000000001E-3"/>
    <n v="0.99502599999999997"/>
    <n v="93257.405480000001"/>
    <n v="463.86"/>
    <n v="93025.474310000005"/>
    <n v="2563912.2910000002"/>
    <n v="27.492854619999999"/>
    <n v="0.93257405500000001"/>
    <n v="-5.303530933600924"/>
    <n v="4.9863754670062144E-3"/>
  </r>
  <r>
    <x v="2"/>
    <x v="31"/>
    <x v="1"/>
    <n v="11297"/>
    <n v="2032379"/>
    <n v="5.5589999999999997E-3"/>
    <n v="0.99444100000000002"/>
    <n v="92793.566040000005"/>
    <n v="515.84"/>
    <n v="92535.64632"/>
    <n v="2470886.8169999998"/>
    <n v="26.627781670000001"/>
    <n v="0.92793566000000005"/>
    <n v="-5.1923370430108049"/>
    <n v="5.5744990597384131E-3"/>
  </r>
  <r>
    <x v="2"/>
    <x v="32"/>
    <x v="1"/>
    <n v="12566"/>
    <n v="2148966"/>
    <n v="5.8469999999999998E-3"/>
    <n v="0.99415299999999995"/>
    <n v="92277.772020000004"/>
    <n v="539.54999999999995"/>
    <n v="92007.997950000004"/>
    <n v="2378351.1710000001"/>
    <n v="25.773825250000002"/>
    <n v="0.92277772000000002"/>
    <n v="-5.1418265697886039"/>
    <n v="5.8641654787418077E-3"/>
  </r>
  <r>
    <x v="2"/>
    <x v="33"/>
    <x v="1"/>
    <n v="14244"/>
    <n v="2175762"/>
    <n v="6.5469999999999999E-3"/>
    <n v="0.99345300000000003"/>
    <n v="91738.181129999997"/>
    <n v="600.61"/>
    <n v="91437.876189999995"/>
    <n v="2286343.173"/>
    <n v="24.922482049999999"/>
    <n v="0.91738181100000005"/>
    <n v="-5.0287483495231831"/>
    <n v="6.568502311483944E-3"/>
  </r>
  <r>
    <x v="2"/>
    <x v="34"/>
    <x v="1"/>
    <n v="15539"/>
    <n v="2165590"/>
    <n v="7.175E-3"/>
    <n v="0.99282499999999996"/>
    <n v="91137.601360000001"/>
    <n v="653.91"/>
    <n v="90810.645220000006"/>
    <n v="2194905.2969999998"/>
    <n v="24.083421810000001"/>
    <n v="0.91137601400000001"/>
    <n v="-4.9371525173364521"/>
    <n v="7.2008092616786465E-3"/>
  </r>
  <r>
    <x v="2"/>
    <x v="35"/>
    <x v="1"/>
    <n v="17001"/>
    <n v="2154452"/>
    <n v="7.8910000000000004E-3"/>
    <n v="0.99210900000000002"/>
    <n v="90483.651540000006"/>
    <n v="714.01"/>
    <n v="90126.648289999997"/>
    <n v="2104094.6510000001"/>
    <n v="23.25386537"/>
    <n v="0.90483651499999995"/>
    <n v="-4.842032409443239"/>
    <n v="7.9222965681037885E-3"/>
  </r>
  <r>
    <x v="2"/>
    <x v="36"/>
    <x v="1"/>
    <n v="18374"/>
    <n v="2171286"/>
    <n v="8.4620000000000008E-3"/>
    <n v="0.99153800000000003"/>
    <n v="89769.635840000003"/>
    <n v="759.63"/>
    <n v="89389.820510000005"/>
    <n v="2013968.003"/>
    <n v="22.434846530000002"/>
    <n v="0.89769635800000003"/>
    <n v="-4.7721697266842611"/>
    <n v="8.4979486162299282E-3"/>
  </r>
  <r>
    <x v="2"/>
    <x v="37"/>
    <x v="1"/>
    <n v="19776"/>
    <n v="2190232"/>
    <n v="9.0290000000000006E-3"/>
    <n v="0.99097100000000005"/>
    <n v="89009.981289999996"/>
    <n v="803.67"/>
    <n v="88608.145730000004"/>
    <n v="1924578.183"/>
    <n v="21.622049059999998"/>
    <n v="0.89009981299999996"/>
    <n v="-4.707313659656795"/>
    <n v="9.0699344428875148E-3"/>
  </r>
  <r>
    <x v="2"/>
    <x v="38"/>
    <x v="1"/>
    <n v="20854"/>
    <n v="2102988"/>
    <n v="9.9159999999999995E-3"/>
    <n v="0.99008399999999996"/>
    <n v="88206.294099999999"/>
    <n v="874.65"/>
    <n v="87768.967290000001"/>
    <n v="1835970.037"/>
    <n v="20.814501450000002"/>
    <n v="0.88206294100000004"/>
    <n v="-4.6136056648091932"/>
    <n v="9.9653691742804234E-3"/>
  </r>
  <r>
    <x v="2"/>
    <x v="39"/>
    <x v="1"/>
    <n v="22382"/>
    <n v="2081562"/>
    <n v="1.0753E-2"/>
    <n v="0.98924699999999999"/>
    <n v="87331.60815"/>
    <n v="939.08"/>
    <n v="86862.069759999998"/>
    <n v="1748201.07"/>
    <n v="20.017964930000002"/>
    <n v="0.87331608199999999"/>
    <n v="-4.5325704935737479"/>
    <n v="1.0811160355885004E-2"/>
  </r>
  <r>
    <x v="2"/>
    <x v="40"/>
    <x v="1"/>
    <n v="23683"/>
    <n v="2047375"/>
    <n v="1.1566999999999999E-2"/>
    <n v="0.98843300000000001"/>
    <n v="86392.574840000001"/>
    <n v="999.3"/>
    <n v="85892.923379999993"/>
    <n v="1661339"/>
    <n v="19.23011327"/>
    <n v="0.86392574799999999"/>
    <n v="-4.4595990626688726"/>
    <n v="1.1634255877648988E-2"/>
  </r>
  <r>
    <x v="2"/>
    <x v="41"/>
    <x v="1"/>
    <n v="24309"/>
    <n v="1963253"/>
    <n v="1.2382000000000001E-2"/>
    <n v="0.987618"/>
    <n v="85393.229170000006"/>
    <n v="1057.3399999999999"/>
    <n v="84864.559689999995"/>
    <n v="1575446.0759999999"/>
    <n v="18.449309060000001"/>
    <n v="0.85393229199999998"/>
    <n v="-4.3915114738850969"/>
    <n v="1.2459146719177068E-2"/>
  </r>
  <r>
    <x v="2"/>
    <x v="42"/>
    <x v="1"/>
    <n v="25388"/>
    <n v="1938979"/>
    <n v="1.3093E-2"/>
    <n v="0.98690699999999998"/>
    <n v="84335.890140000003"/>
    <n v="1104.21"/>
    <n v="83783.785239999997"/>
    <n v="1490581.517"/>
    <n v="17.674343799999999"/>
    <n v="0.84335890099999999"/>
    <n v="-4.3356775427365211"/>
    <n v="1.3179283659646088E-2"/>
  </r>
  <r>
    <x v="2"/>
    <x v="43"/>
    <x v="1"/>
    <n v="26512"/>
    <n v="1843702"/>
    <n v="1.438E-2"/>
    <n v="0.98562000000000005"/>
    <n v="83231.6391"/>
    <n v="1196.8699999999999"/>
    <n v="82633.203609999997"/>
    <n v="1406797.7309999999"/>
    <n v="16.90219905"/>
    <n v="0.83231639099999999"/>
    <n v="-4.2419169266892363"/>
    <n v="1.4484127511438107E-2"/>
  </r>
  <r>
    <x v="2"/>
    <x v="44"/>
    <x v="1"/>
    <n v="27056"/>
    <n v="1763974"/>
    <n v="1.5337999999999999E-2"/>
    <n v="0.98466200000000004"/>
    <n v="82034.787760000007"/>
    <n v="1258.25"/>
    <n v="81405.662970000005"/>
    <n v="1324164.5279999999"/>
    <n v="16.141500010000001"/>
    <n v="0.82034787799999997"/>
    <n v="-4.1774218696394696"/>
    <n v="1.5456542137096739E-2"/>
  </r>
  <r>
    <x v="2"/>
    <x v="45"/>
    <x v="1"/>
    <n v="27527"/>
    <n v="1688983"/>
    <n v="1.6298E-2"/>
    <n v="0.98370199999999997"/>
    <n v="80776.530429999999"/>
    <n v="1316.5"/>
    <n v="80118.282479999994"/>
    <n v="1242758.865"/>
    <n v="15.385147870000001"/>
    <n v="0.80776530400000002"/>
    <n v="-4.1167128780841091"/>
    <n v="1.6431954624892112E-2"/>
  </r>
  <r>
    <x v="2"/>
    <x v="46"/>
    <x v="1"/>
    <n v="27805"/>
    <n v="1626011"/>
    <n v="1.7100000000000001E-2"/>
    <n v="0.9829"/>
    <n v="79460.036680000005"/>
    <n v="1358.77"/>
    <n v="78780.65337"/>
    <n v="1162640.5819999999"/>
    <n v="14.63176498"/>
    <n v="0.79460036700000003"/>
    <n v="-4.0686768154735224"/>
    <n v="1.7247509778327452E-2"/>
  </r>
  <r>
    <x v="2"/>
    <x v="47"/>
    <x v="1"/>
    <n v="28708"/>
    <n v="1583631"/>
    <n v="1.8127999999999998E-2"/>
    <n v="0.98187199999999997"/>
    <n v="78101.259699999995"/>
    <n v="1415.82"/>
    <n v="77393.349879999994"/>
    <n v="1083859.929"/>
    <n v="13.877624170000001"/>
    <n v="0.78101259700000003"/>
    <n v="-4.0102975746964864"/>
    <n v="1.829381947983694E-2"/>
  </r>
  <r>
    <x v="2"/>
    <x v="48"/>
    <x v="1"/>
    <n v="29696"/>
    <n v="1527330"/>
    <n v="1.9442999999999998E-2"/>
    <n v="0.98055700000000001"/>
    <n v="76685.443159999995"/>
    <n v="1491"/>
    <n v="75939.945619999999"/>
    <n v="1006466.579"/>
    <n v="13.12461059"/>
    <n v="0.76685443200000003"/>
    <n v="-3.9402681708684484"/>
    <n v="1.9633936373004795E-2"/>
  </r>
  <r>
    <x v="2"/>
    <x v="49"/>
    <x v="1"/>
    <n v="31522"/>
    <n v="1503913"/>
    <n v="2.0959999999999999E-2"/>
    <n v="0.97904000000000002"/>
    <n v="75194.441919999997"/>
    <n v="1576.08"/>
    <n v="74406.404169999994"/>
    <n v="930526.6335"/>
    <n v="12.374939019999999"/>
    <n v="0.75194441899999998"/>
    <n v="-3.8651394195292958"/>
    <n v="2.1182047550752515E-2"/>
  </r>
  <r>
    <x v="2"/>
    <x v="50"/>
    <x v="1"/>
    <n v="34188"/>
    <n v="1558707"/>
    <n v="2.1933999999999999E-2"/>
    <n v="0.97806599999999999"/>
    <n v="73618.367249999996"/>
    <n v="1614.75"/>
    <n v="72810.994619999998"/>
    <n v="856120.22930000001"/>
    <n v="11.62916622"/>
    <n v="0.73618367299999998"/>
    <n v="-3.8197173346441198"/>
    <n v="2.217727765998416E-2"/>
  </r>
  <r>
    <x v="2"/>
    <x v="51"/>
    <x v="1"/>
    <n v="28792"/>
    <n v="1136177"/>
    <n v="2.5340999999999999E-2"/>
    <n v="0.97465900000000005"/>
    <n v="72003.654060000001"/>
    <n v="1824.64"/>
    <n v="71091.331760000001"/>
    <n v="783309.23470000003"/>
    <n v="10.878742819999999"/>
    <n v="0.72003654100000003"/>
    <n v="-3.6753316415686679"/>
    <n v="2.5666140547686331E-2"/>
  </r>
  <r>
    <x v="2"/>
    <x v="52"/>
    <x v="1"/>
    <n v="29455"/>
    <n v="1108765"/>
    <n v="2.6565999999999999E-2"/>
    <n v="0.97343400000000002"/>
    <n v="70179.000679999997"/>
    <n v="1864.38"/>
    <n v="69246.813009999998"/>
    <n v="712217.90300000005"/>
    <n v="10.148589980000001"/>
    <n v="0.70179000700000005"/>
    <n v="-3.6281230762718253"/>
    <n v="2.6923688392635647E-2"/>
  </r>
  <r>
    <x v="2"/>
    <x v="53"/>
    <x v="1"/>
    <n v="31658"/>
    <n v="1066091"/>
    <n v="2.9694999999999999E-2"/>
    <n v="0.97030499999999997"/>
    <n v="68314.653890000001"/>
    <n v="2028.6"/>
    <n v="67300.352069999994"/>
    <n v="642971.08990000002"/>
    <n v="9.4119058399999993"/>
    <n v="0.683146539"/>
    <n v="-3.5167765975143137"/>
    <n v="3.0142493325932326E-2"/>
  </r>
  <r>
    <x v="2"/>
    <x v="54"/>
    <x v="1"/>
    <n v="34580"/>
    <n v="1077532"/>
    <n v="3.2092000000000002E-2"/>
    <n v="0.96790799999999999"/>
    <n v="66286.022840000005"/>
    <n v="2127.25"/>
    <n v="65222.397319999996"/>
    <n v="575670.73789999995"/>
    <n v="8.6846474300000001"/>
    <n v="0.662860228"/>
    <n v="-3.4391485010907274"/>
    <n v="3.2615327403470631E-2"/>
  </r>
  <r>
    <x v="2"/>
    <x v="55"/>
    <x v="1"/>
    <n v="32363"/>
    <n v="923942"/>
    <n v="3.5027000000000003E-2"/>
    <n v="0.96497299999999997"/>
    <n v="64158.781450000002"/>
    <n v="2247.29"/>
    <n v="63035.136630000001"/>
    <n v="510448.3406"/>
    <n v="7.9560167609999999"/>
    <n v="0.64158781499999995"/>
    <n v="-3.3516360863193775"/>
    <n v="3.5651387840376948E-2"/>
  </r>
  <r>
    <x v="2"/>
    <x v="56"/>
    <x v="1"/>
    <n v="31884"/>
    <n v="827432"/>
    <n v="3.8533999999999999E-2"/>
    <n v="0.96146600000000004"/>
    <n v="61911.485999999997"/>
    <n v="2385.6999999999998"/>
    <n v="60718.6374"/>
    <n v="447413.20390000002"/>
    <n v="7.2266591040000003"/>
    <n v="0.61911486000000004"/>
    <n v="-3.2562143105235686"/>
    <n v="3.929105976317665E-2"/>
  </r>
  <r>
    <x v="2"/>
    <x v="57"/>
    <x v="1"/>
    <n v="32283"/>
    <n v="769612"/>
    <n v="4.1946999999999998E-2"/>
    <n v="0.95805300000000004"/>
    <n v="59525.80861"/>
    <n v="2496.9299999999998"/>
    <n v="58277.344060000003"/>
    <n v="386694.56650000002"/>
    <n v="6.4962505430000004"/>
    <n v="0.59525808599999996"/>
    <n v="-3.1713483623329428"/>
    <n v="4.2845640645872186E-2"/>
  </r>
  <r>
    <x v="2"/>
    <x v="58"/>
    <x v="1"/>
    <n v="32945"/>
    <n v="713055"/>
    <n v="4.6203000000000001E-2"/>
    <n v="0.95379700000000001"/>
    <n v="57028.872909999998"/>
    <n v="2634.91"/>
    <n v="55711.420400000003"/>
    <n v="328417.22249999997"/>
    <n v="5.7587885869999997"/>
    <n v="0.57028872900000005"/>
    <n v="-3.0747105479376988"/>
    <n v="4.7295679254516262E-2"/>
  </r>
  <r>
    <x v="2"/>
    <x v="59"/>
    <x v="1"/>
    <n v="34030"/>
    <n v="664775"/>
    <n v="5.1189999999999999E-2"/>
    <n v="0.94881000000000004"/>
    <n v="54393.990299999998"/>
    <n v="2784.43"/>
    <n v="53001.776120000002"/>
    <n v="272705.80209999997"/>
    <n v="5.0135281589999998"/>
    <n v="0.54393990299999995"/>
    <n v="-2.972211078512645"/>
    <n v="5.2534661373352672E-2"/>
  </r>
  <r>
    <x v="2"/>
    <x v="60"/>
    <x v="1"/>
    <n v="33752"/>
    <n v="596081"/>
    <n v="5.6623E-2"/>
    <n v="0.94337700000000002"/>
    <n v="51609.548210000001"/>
    <n v="2922.29"/>
    <n v="50148.404490000001"/>
    <n v="219704.02590000001"/>
    <n v="4.2570422250000002"/>
    <n v="0.51609548199999999"/>
    <n v="-2.8713400158910081"/>
    <n v="5.8272846291271344E-2"/>
  </r>
  <r>
    <x v="2"/>
    <x v="61"/>
    <x v="1"/>
    <n v="34438"/>
    <n v="552132"/>
    <n v="6.2372999999999998E-2"/>
    <n v="0.93762699999999999"/>
    <n v="48687.251620000003"/>
    <n v="3036.77"/>
    <n v="47168.866650000004"/>
    <n v="169555.62150000001"/>
    <n v="3.4825465769999999"/>
    <n v="0.48687251599999998"/>
    <n v="-2.774622789552776"/>
    <n v="6.4380805582728851E-2"/>
  </r>
  <r>
    <x v="2"/>
    <x v="62"/>
    <x v="1"/>
    <n v="35325"/>
    <n v="510165"/>
    <n v="6.9241999999999998E-2"/>
    <n v="0.93075799999999997"/>
    <n v="45650.493069999997"/>
    <n v="3160.93"/>
    <n v="44070.027349999997"/>
    <n v="122386.7548"/>
    <n v="2.6809514330000002"/>
    <n v="0.456504931"/>
    <n v="-2.6701476640537427"/>
    <n v="7.1725176667359156E-2"/>
  </r>
  <r>
    <x v="2"/>
    <x v="63"/>
    <x v="1"/>
    <n v="34510"/>
    <n v="441701"/>
    <n v="7.8130000000000005E-2"/>
    <n v="0.92186999999999997"/>
    <n v="42489.547760000001"/>
    <n v="3319.71"/>
    <n v="40829.693579999999"/>
    <n v="78316.727459999995"/>
    <n v="1.8431998359999999"/>
    <n v="0.42489547799999999"/>
    <n v="-2.5493811729734839"/>
    <n v="8.1306258301233114E-2"/>
  </r>
  <r>
    <x v="2"/>
    <x v="64"/>
    <x v="1"/>
    <n v="35141"/>
    <n v="408980"/>
    <n v="8.5924E-2"/>
    <n v="0.914076"/>
    <n v="39169.84893"/>
    <n v="3365.63"/>
    <n v="37487.033880000003"/>
    <n v="37487.033880000003"/>
    <n v="0.95703800000000006"/>
    <n v="0.39169848899999998"/>
    <n v="-2.4542920943704067"/>
    <n v="4.8367229337050628E-2"/>
  </r>
  <r>
    <x v="2"/>
    <x v="0"/>
    <x v="2"/>
    <n v="3537"/>
    <n v="4276745"/>
    <n v="8.2700000000000004E-4"/>
    <n v="0.99917299999999998"/>
    <n v="100000"/>
    <n v="82.7"/>
    <n v="99958.65"/>
    <n v="5655482.5099999998"/>
    <n v="56.554825100000002"/>
    <n v="1"/>
    <n v="-7.0977058629405825"/>
    <n v="8.2734211870715414E-4"/>
  </r>
  <r>
    <x v="2"/>
    <x v="1"/>
    <x v="2"/>
    <n v="3892"/>
    <n v="4318304"/>
    <n v="9.01E-4"/>
    <n v="0.99909899999999996"/>
    <n v="99917.296919999993"/>
    <n v="90.03"/>
    <n v="99872.284180000002"/>
    <n v="5555523.8600000003"/>
    <n v="55.601222530000001"/>
    <n v="0.99917296899999997"/>
    <n v="-7.0120053003559359"/>
    <n v="9.0145142209854367E-4"/>
  </r>
  <r>
    <x v="2"/>
    <x v="2"/>
    <x v="2"/>
    <n v="4202"/>
    <n v="4420763"/>
    <n v="9.5100000000000002E-4"/>
    <n v="0.99904899999999996"/>
    <n v="99827.243480000005"/>
    <n v="94.94"/>
    <n v="99779.775630000004"/>
    <n v="5455651.5760000004"/>
    <n v="54.650928800000003"/>
    <n v="0.99827243499999996"/>
    <n v="-6.9579964954188842"/>
    <n v="9.5149519384408738E-4"/>
  </r>
  <r>
    <x v="2"/>
    <x v="3"/>
    <x v="2"/>
    <n v="4594"/>
    <n v="4515308"/>
    <n v="1.0169999999999999E-3"/>
    <n v="0.99898299999999995"/>
    <n v="99732.356220000001"/>
    <n v="101.43"/>
    <n v="99681.642319999999"/>
    <n v="5355871.8"/>
    <n v="53.702449270000002"/>
    <n v="0.99732356200000005"/>
    <n v="-6.8908981619157146"/>
    <n v="1.0175396326596966E-3"/>
  </r>
  <r>
    <x v="2"/>
    <x v="4"/>
    <x v="2"/>
    <n v="4914"/>
    <n v="4587515"/>
    <n v="1.0709999999999999E-3"/>
    <n v="0.99892899999999996"/>
    <n v="99630.885750000001"/>
    <n v="106.7"/>
    <n v="99577.533410000004"/>
    <n v="5256190.1579999998"/>
    <n v="52.756633829999998"/>
    <n v="0.99630885800000002"/>
    <n v="-6.8391624875165258"/>
    <n v="1.0715269330891103E-3"/>
  </r>
  <r>
    <x v="2"/>
    <x v="5"/>
    <x v="2"/>
    <n v="5264"/>
    <n v="4708854"/>
    <n v="1.1180000000000001E-3"/>
    <n v="0.99888200000000005"/>
    <n v="99524.164309999993"/>
    <n v="111.27"/>
    <n v="99468.530299999999"/>
    <n v="5156612.625"/>
    <n v="51.812669419999999"/>
    <n v="0.99524164299999995"/>
    <n v="-6.79621390424923"/>
    <n v="1.1186452012868092E-3"/>
  </r>
  <r>
    <x v="2"/>
    <x v="6"/>
    <x v="2"/>
    <n v="5515"/>
    <n v="4794326"/>
    <n v="1.15E-3"/>
    <n v="0.99885000000000002"/>
    <n v="99412.906839999996"/>
    <n v="114.32"/>
    <n v="99355.744420000003"/>
    <n v="5057144.0939999996"/>
    <n v="50.870095800000001"/>
    <n v="0.994129068"/>
    <n v="-6.7679933366069784"/>
    <n v="1.1506130708828291E-3"/>
  </r>
  <r>
    <x v="2"/>
    <x v="7"/>
    <x v="2"/>
    <n v="5812"/>
    <n v="4784135"/>
    <n v="1.2149999999999999E-3"/>
    <n v="0.99878500000000003"/>
    <n v="99298.550369999997"/>
    <n v="120.65"/>
    <n v="99238.226500000004"/>
    <n v="4957788.3499999996"/>
    <n v="49.928103999999998"/>
    <n v="0.99298550399999996"/>
    <n v="-6.7130112021896258"/>
    <n v="1.215761255704768E-3"/>
  </r>
  <r>
    <x v="2"/>
    <x v="8"/>
    <x v="2"/>
    <n v="5915"/>
    <n v="4595406"/>
    <n v="1.2869999999999999E-3"/>
    <n v="0.99871299999999996"/>
    <n v="99177.917660000006"/>
    <n v="127.64"/>
    <n v="99114.096669999999"/>
    <n v="4858550.1229999997"/>
    <n v="48.988224780000003"/>
    <n v="0.99177917699999996"/>
    <n v="-6.6554413503681475"/>
    <n v="1.2878088403689724E-3"/>
  </r>
  <r>
    <x v="2"/>
    <x v="9"/>
    <x v="2"/>
    <n v="5770"/>
    <n v="4487739"/>
    <n v="1.286E-3"/>
    <n v="0.99871399999999999"/>
    <n v="99050.260309999998"/>
    <n v="127.38"/>
    <n v="98986.570989999993"/>
    <n v="4759436.0269999998"/>
    <n v="48.050716999999999"/>
    <n v="0.99050260300000004"/>
    <n v="-6.6562186531667091"/>
    <n v="1.286841045456865E-3"/>
  </r>
  <r>
    <x v="2"/>
    <x v="10"/>
    <x v="2"/>
    <n v="5819"/>
    <n v="4410631"/>
    <n v="1.3190000000000001E-3"/>
    <n v="0.99868100000000004"/>
    <n v="98922.908869999999"/>
    <n v="130.47999999999999"/>
    <n v="98857.669209999993"/>
    <n v="4660449.4560000002"/>
    <n v="47.111933010000001"/>
    <n v="0.98922908899999995"/>
    <n v="-6.6308814052469591"/>
    <n v="1.319877571814223E-3"/>
  </r>
  <r>
    <x v="2"/>
    <x v="11"/>
    <x v="2"/>
    <n v="6160"/>
    <n v="4425408"/>
    <n v="1.392E-3"/>
    <n v="0.99860800000000005"/>
    <n v="98792.398650000003"/>
    <n v="137.52000000000001"/>
    <n v="98723.639139999999"/>
    <n v="4561591.7869999995"/>
    <n v="46.173509789999997"/>
    <n v="0.98792398699999995"/>
    <n v="-6.5770137170699092"/>
    <n v="1.3929794179603375E-3"/>
  </r>
  <r>
    <x v="2"/>
    <x v="12"/>
    <x v="2"/>
    <n v="6460"/>
    <n v="4453718"/>
    <n v="1.4499999999999999E-3"/>
    <n v="0.99855000000000005"/>
    <n v="98654.883379999999"/>
    <n v="143.05000000000001"/>
    <n v="98583.358590000003"/>
    <n v="4462868.1469999999"/>
    <n v="45.23717422"/>
    <n v="0.98654883400000004"/>
    <n v="-6.5361917225496544"/>
    <n v="1.4510566076812242E-3"/>
  </r>
  <r>
    <x v="2"/>
    <x v="13"/>
    <x v="2"/>
    <n v="6619"/>
    <n v="4310977"/>
    <n v="1.5349999999999999E-3"/>
    <n v="0.99846500000000005"/>
    <n v="98511.787089999998"/>
    <n v="151.22"/>
    <n v="98436.17929"/>
    <n v="4364284.7889999999"/>
    <n v="44.302158329999997"/>
    <n v="0.98511787100000003"/>
    <n v="-6.4792248979429763"/>
    <n v="1.5362240799696222E-3"/>
  </r>
  <r>
    <x v="2"/>
    <x v="14"/>
    <x v="2"/>
    <n v="6881"/>
    <n v="4371478"/>
    <n v="1.5740000000000001E-3"/>
    <n v="0.99842600000000004"/>
    <n v="98360.533779999998"/>
    <n v="154.82"/>
    <n v="98283.124039999995"/>
    <n v="4265848.6100000003"/>
    <n v="43.369514639999998"/>
    <n v="0.98360533800000005"/>
    <n v="-6.4541351289869251"/>
    <n v="1.5752450556547112E-3"/>
  </r>
  <r>
    <x v="2"/>
    <x v="15"/>
    <x v="2"/>
    <n v="7046"/>
    <n v="4364947"/>
    <n v="1.614E-3"/>
    <n v="0.998386"/>
    <n v="98205.707699999999"/>
    <n v="158.5"/>
    <n v="98126.455690000003"/>
    <n v="4167565.486"/>
    <n v="42.437100479999998"/>
    <n v="0.982057077"/>
    <n v="-6.4290397091343801"/>
    <n v="1.6152628422671747E-3"/>
  </r>
  <r>
    <x v="2"/>
    <x v="16"/>
    <x v="2"/>
    <n v="7269"/>
    <n v="4313987"/>
    <n v="1.6850000000000001E-3"/>
    <n v="0.99831499999999995"/>
    <n v="98047.18174"/>
    <n v="165.21"/>
    <n v="97964.576990000001"/>
    <n v="4069439.03"/>
    <n v="41.50490568"/>
    <n v="0.98047181699999997"/>
    <n v="-6.3859897151778116"/>
    <n v="1.6864258875768569E-3"/>
  </r>
  <r>
    <x v="2"/>
    <x v="17"/>
    <x v="2"/>
    <n v="7582"/>
    <n v="4394351"/>
    <n v="1.725E-3"/>
    <n v="0.99827500000000002"/>
    <n v="97881.97378"/>
    <n v="168.85"/>
    <n v="97797.550579999996"/>
    <n v="3971474.4530000002"/>
    <n v="40.57411492"/>
    <n v="0.97881973799999999"/>
    <n v="-6.3625282284988138"/>
    <n v="1.7265262017813218E-3"/>
  </r>
  <r>
    <x v="2"/>
    <x v="18"/>
    <x v="2"/>
    <n v="7350"/>
    <n v="4120468"/>
    <n v="1.784E-3"/>
    <n v="0.99821599999999999"/>
    <n v="97713.088520000005"/>
    <n v="174.32"/>
    <n v="97625.928450000007"/>
    <n v="3873676.9019999998"/>
    <n v="39.643377989999998"/>
    <n v="0.977130885"/>
    <n v="-6.3288972448243195"/>
    <n v="1.7855910146303499E-3"/>
  </r>
  <r>
    <x v="2"/>
    <x v="19"/>
    <x v="2"/>
    <n v="7654"/>
    <n v="4038244"/>
    <n v="1.895E-3"/>
    <n v="0.99810500000000002"/>
    <n v="97538.790070000003"/>
    <n v="184.84"/>
    <n v="97446.372069999998"/>
    <n v="3776050.9739999999"/>
    <n v="38.713325959999999"/>
    <n v="0.97538790099999995"/>
    <n v="-6.2685364404477477"/>
    <n v="1.8968385490367638E-3"/>
  </r>
  <r>
    <x v="2"/>
    <x v="20"/>
    <x v="2"/>
    <n v="7972"/>
    <n v="3994423"/>
    <n v="1.9959999999999999E-3"/>
    <n v="0.998004"/>
    <n v="97353.917159999997"/>
    <n v="194.32"/>
    <n v="97256.757949999999"/>
    <n v="3678604.602"/>
    <n v="37.785892019999999"/>
    <n v="0.97353917199999995"/>
    <n v="-6.2166101010928649"/>
    <n v="1.9980100400937098E-3"/>
  </r>
  <r>
    <x v="2"/>
    <x v="21"/>
    <x v="2"/>
    <n v="8001"/>
    <n v="3875738"/>
    <n v="2.0639999999999999E-3"/>
    <n v="0.99793600000000005"/>
    <n v="97159.619909999994"/>
    <n v="200.54"/>
    <n v="97059.351179999998"/>
    <n v="3581347.844"/>
    <n v="36.860455479999999"/>
    <n v="0.97159619900000005"/>
    <n v="-6.183109431362821"/>
    <n v="2.0661588585389559E-3"/>
  </r>
  <r>
    <x v="2"/>
    <x v="22"/>
    <x v="2"/>
    <n v="8513"/>
    <n v="3990700"/>
    <n v="2.1329999999999999E-3"/>
    <n v="0.99786699999999995"/>
    <n v="96959.045429999998"/>
    <n v="206.81"/>
    <n v="96855.638609999995"/>
    <n v="3484288.4929999998"/>
    <n v="35.935672400000001"/>
    <n v="0.96959045399999999"/>
    <n v="-6.1502258394929239"/>
    <n v="2.1352398753792033E-3"/>
  </r>
  <r>
    <x v="2"/>
    <x v="23"/>
    <x v="2"/>
    <n v="8900"/>
    <n v="3863455"/>
    <n v="2.3040000000000001E-3"/>
    <n v="0.99769600000000003"/>
    <n v="96752.211450000003"/>
    <n v="222.92"/>
    <n v="96640.752900000007"/>
    <n v="3387432.8539999998"/>
    <n v="35.011425610000003"/>
    <n v="0.96752211499999996"/>
    <n v="-6.0731085361484922"/>
    <n v="2.3066869086058729E-3"/>
  </r>
  <r>
    <x v="2"/>
    <x v="24"/>
    <x v="2"/>
    <n v="9509"/>
    <n v="3919057"/>
    <n v="2.4260000000000002E-3"/>
    <n v="0.99757399999999996"/>
    <n v="96529.329419999995"/>
    <n v="234.18"/>
    <n v="96412.23934"/>
    <n v="3290792.1009999998"/>
    <n v="34.091111179999999"/>
    <n v="0.96529329399999997"/>
    <n v="-6.0215114684602788"/>
    <n v="2.4289451474889504E-3"/>
  </r>
  <r>
    <x v="2"/>
    <x v="25"/>
    <x v="2"/>
    <n v="11010"/>
    <n v="4091579"/>
    <n v="2.6909999999999998E-3"/>
    <n v="0.997309"/>
    <n v="96295.115579999998"/>
    <n v="259.13"/>
    <n v="96165.550499999998"/>
    <n v="3194379.8620000002"/>
    <n v="33.172812999999998"/>
    <n v="0.96295115600000003"/>
    <n v="-5.9178424072373685"/>
    <n v="2.6946238514882173E-3"/>
  </r>
  <r>
    <x v="2"/>
    <x v="26"/>
    <x v="2"/>
    <n v="12543"/>
    <n v="4320583"/>
    <n v="2.9030000000000002E-3"/>
    <n v="0.99709700000000001"/>
    <n v="96035.995760000005"/>
    <n v="278.79000000000002"/>
    <n v="95896.59951"/>
    <n v="3098214.3110000002"/>
    <n v="32.260969299999999"/>
    <n v="0.96035995799999996"/>
    <n v="-5.8420105939396443"/>
    <n v="2.9071939218522197E-3"/>
  </r>
  <r>
    <x v="2"/>
    <x v="27"/>
    <x v="2"/>
    <n v="13533"/>
    <n v="4370964"/>
    <n v="3.0959999999999998E-3"/>
    <n v="0.99690400000000001"/>
    <n v="95757.195540000001"/>
    <n v="296.45999999999998"/>
    <n v="95608.963399999993"/>
    <n v="3002317.7119999998"/>
    <n v="31.35344237"/>
    <n v="0.95757195500000003"/>
    <n v="-5.7776443232546564"/>
    <n v="3.1007554760456532E-3"/>
  </r>
  <r>
    <x v="2"/>
    <x v="28"/>
    <x v="2"/>
    <n v="13891"/>
    <n v="4140010"/>
    <n v="3.3549999999999999E-3"/>
    <n v="0.996645"/>
    <n v="95460.720409999994"/>
    <n v="320.27"/>
    <n v="95300.585049999994"/>
    <n v="2906708.7480000001"/>
    <n v="30.44926474"/>
    <n v="0.95460720399999999"/>
    <n v="-5.697303508558492"/>
    <n v="3.360630460948096E-3"/>
  </r>
  <r>
    <x v="2"/>
    <x v="29"/>
    <x v="2"/>
    <n v="14721"/>
    <n v="4050722"/>
    <n v="3.6340000000000001E-3"/>
    <n v="0.99636599999999997"/>
    <n v="95140.420490000004"/>
    <n v="345.74"/>
    <n v="94967.550350000005"/>
    <n v="2811408.1630000002"/>
    <n v="29.55009184"/>
    <n v="0.951404205"/>
    <n v="-5.6174213090081579"/>
    <n v="3.6406122686164924E-3"/>
  </r>
  <r>
    <x v="2"/>
    <x v="30"/>
    <x v="2"/>
    <n v="16425"/>
    <n v="4051078"/>
    <n v="4.0540000000000003E-3"/>
    <n v="0.995946"/>
    <n v="94794.664319999996"/>
    <n v="384.3"/>
    <n v="94602.515539999993"/>
    <n v="2716440.6129999999"/>
    <n v="28.656049710000001"/>
    <n v="0.94794664299999998"/>
    <n v="-5.5080512309523284"/>
    <n v="4.0622608136003536E-3"/>
  </r>
  <r>
    <x v="2"/>
    <x v="31"/>
    <x v="2"/>
    <n v="18497"/>
    <n v="4121394"/>
    <n v="4.4879999999999998E-3"/>
    <n v="0.99551199999999995"/>
    <n v="94410.321590000007"/>
    <n v="423.71"/>
    <n v="94198.464829999997"/>
    <n v="2621838.0970000001"/>
    <n v="27.770672250000001"/>
    <n v="0.94410321600000002"/>
    <n v="-5.4063481107617415"/>
    <n v="4.4980564198480125E-3"/>
  </r>
  <r>
    <x v="2"/>
    <x v="32"/>
    <x v="2"/>
    <n v="20726"/>
    <n v="4363205"/>
    <n v="4.7499999999999999E-3"/>
    <n v="0.99524999999999997"/>
    <n v="93986.603860000003"/>
    <n v="446.44"/>
    <n v="93763.385680000007"/>
    <n v="2527639.6329999999"/>
    <n v="26.893615990000001"/>
    <n v="0.93986603899999999"/>
    <n v="-5.3496106609355873"/>
    <n v="4.761347263550199E-3"/>
  </r>
  <r>
    <x v="2"/>
    <x v="33"/>
    <x v="2"/>
    <n v="23291"/>
    <n v="4437426"/>
    <n v="5.2490000000000002E-3"/>
    <n v="0.99475100000000005"/>
    <n v="93540.150769999993"/>
    <n v="490.99"/>
    <n v="93294.654639999993"/>
    <n v="2433876.247"/>
    <n v="26.019588670000001"/>
    <n v="0.93540150799999999"/>
    <n v="-5.2497176967119739"/>
    <n v="5.2627874950411024E-3"/>
  </r>
  <r>
    <x v="2"/>
    <x v="34"/>
    <x v="2"/>
    <n v="25505"/>
    <n v="4427991"/>
    <n v="5.7600000000000004E-3"/>
    <n v="0.99424000000000001"/>
    <n v="93049.180630000003"/>
    <n v="535.96"/>
    <n v="92781.198990000004"/>
    <n v="2340581.5920000002"/>
    <n v="25.154241840000001"/>
    <n v="0.93049180600000003"/>
    <n v="-5.1568178042743371"/>
    <n v="5.7766012076856553E-3"/>
  </r>
  <r>
    <x v="2"/>
    <x v="35"/>
    <x v="2"/>
    <n v="27960"/>
    <n v="4413266"/>
    <n v="6.3350000000000004E-3"/>
    <n v="0.99366500000000002"/>
    <n v="92513.222150000001"/>
    <n v="586.07000000000005"/>
    <n v="92220.186520000003"/>
    <n v="2247800.3930000002"/>
    <n v="24.297071720000002"/>
    <n v="0.925132222"/>
    <n v="-5.0616654652090345"/>
    <n v="6.3551176014894394E-3"/>
  </r>
  <r>
    <x v="2"/>
    <x v="36"/>
    <x v="2"/>
    <n v="30256"/>
    <n v="4461346"/>
    <n v="6.7819999999999998E-3"/>
    <n v="0.99321800000000005"/>
    <n v="91927.109800000006"/>
    <n v="623.45000000000005"/>
    <n v="91615.384969999999"/>
    <n v="2155580.2069999999"/>
    <n v="23.448797760000001"/>
    <n v="0.91927109799999995"/>
    <n v="-4.9934832352786902"/>
    <n v="6.8050790889951042E-3"/>
  </r>
  <r>
    <x v="2"/>
    <x v="37"/>
    <x v="2"/>
    <n v="32705"/>
    <n v="4493573"/>
    <n v="7.2779999999999997E-3"/>
    <n v="0.99272199999999999"/>
    <n v="91303.677630000006"/>
    <n v="664.51"/>
    <n v="90971.423550000007"/>
    <n v="2063964.8219999999"/>
    <n v="22.605494929999999"/>
    <n v="0.91303677599999999"/>
    <n v="-4.9228991797921688"/>
    <n v="7.304602166982227E-3"/>
  </r>
  <r>
    <x v="2"/>
    <x v="38"/>
    <x v="2"/>
    <n v="34408"/>
    <n v="4335891"/>
    <n v="7.9360000000000003E-3"/>
    <n v="0.99206399999999995"/>
    <n v="90639.153699999995"/>
    <n v="719.31"/>
    <n v="90279.497539999997"/>
    <n v="1972993.398"/>
    <n v="21.767562009999999"/>
    <n v="0.90639153699999997"/>
    <n v="-4.8363459089995651"/>
    <n v="7.9675882541742626E-3"/>
  </r>
  <r>
    <x v="2"/>
    <x v="39"/>
    <x v="2"/>
    <n v="36769"/>
    <n v="4303880"/>
    <n v="8.5430000000000002E-3"/>
    <n v="0.99145700000000003"/>
    <n v="89919.875469999999"/>
    <n v="768.19"/>
    <n v="89535.782720000003"/>
    <n v="1882713.9010000001"/>
    <n v="20.937683589999999"/>
    <n v="0.89919875500000002"/>
    <n v="-4.7626430448126555"/>
    <n v="8.5796992227478667E-3"/>
  </r>
  <r>
    <x v="2"/>
    <x v="40"/>
    <x v="2"/>
    <n v="39052"/>
    <n v="4249921"/>
    <n v="9.1889999999999993E-3"/>
    <n v="0.990811"/>
    <n v="89151.670060000004"/>
    <n v="819.21"/>
    <n v="88742.062709999998"/>
    <n v="1793178.118"/>
    <n v="20.11379166"/>
    <n v="0.89151670100000002"/>
    <n v="-4.6897481624633892"/>
    <n v="9.231360238995269E-3"/>
  </r>
  <r>
    <x v="2"/>
    <x v="41"/>
    <x v="2"/>
    <n v="40211"/>
    <n v="4091662"/>
    <n v="9.8279999999999999E-3"/>
    <n v="0.99017200000000005"/>
    <n v="88332.466360000006"/>
    <n v="868.13"/>
    <n v="87898.40062"/>
    <n v="1704436.0549999999"/>
    <n v="19.295691900000001"/>
    <n v="0.88332466399999998"/>
    <n v="-4.622519824323204"/>
    <n v="9.8765142050154416E-3"/>
  </r>
  <r>
    <x v="2"/>
    <x v="42"/>
    <x v="2"/>
    <n v="41855"/>
    <n v="4050159"/>
    <n v="1.0333999999999999E-2"/>
    <n v="0.98966600000000005"/>
    <n v="87464.374909999999"/>
    <n v="903.86"/>
    <n v="87012.446479999999"/>
    <n v="1616537.655"/>
    <n v="18.48224098"/>
    <n v="0.87464374899999997"/>
    <n v="-4.5723158491171443"/>
    <n v="1.0387710151979455E-2"/>
  </r>
  <r>
    <x v="2"/>
    <x v="43"/>
    <x v="2"/>
    <n v="43813"/>
    <n v="3875907"/>
    <n v="1.1304E-2"/>
    <n v="0.98869600000000002"/>
    <n v="86560.50387"/>
    <n v="978.48"/>
    <n v="86071.263900000005"/>
    <n v="1529525.2080000001"/>
    <n v="17.670012759999999"/>
    <n v="0.86560503899999997"/>
    <n v="-4.4825986335999106"/>
    <n v="1.1368253741707669E-2"/>
  </r>
  <r>
    <x v="2"/>
    <x v="44"/>
    <x v="2"/>
    <n v="44977"/>
    <n v="3720053"/>
    <n v="1.209E-2"/>
    <n v="0.98790999999999995"/>
    <n v="85582.029580000002"/>
    <n v="1034.69"/>
    <n v="85064.68621"/>
    <n v="1443453.9439999999"/>
    <n v="16.866320550000001"/>
    <n v="0.85582029599999998"/>
    <n v="-4.415376614355436"/>
    <n v="1.2163569446424201E-2"/>
  </r>
  <r>
    <x v="2"/>
    <x v="45"/>
    <x v="2"/>
    <n v="46147"/>
    <n v="3567978"/>
    <n v="1.2933999999999999E-2"/>
    <n v="0.987066"/>
    <n v="84547.306970000005"/>
    <n v="1093.53"/>
    <n v="84000.539539999998"/>
    <n v="1358389.2579999999"/>
    <n v="16.066617690000001"/>
    <n v="0.84547307000000005"/>
    <n v="-4.3478957759577357"/>
    <n v="1.3018128415659611E-2"/>
  </r>
  <r>
    <x v="2"/>
    <x v="46"/>
    <x v="2"/>
    <n v="46866"/>
    <n v="3451069"/>
    <n v="1.358E-2"/>
    <n v="0.98641999999999996"/>
    <n v="83453.801189999998"/>
    <n v="1133.3"/>
    <n v="82887.149879999997"/>
    <n v="1274388.719"/>
    <n v="15.27058924"/>
    <n v="0.834538012"/>
    <n v="-4.2991571568515869"/>
    <n v="1.3672807926077024E-2"/>
  </r>
  <r>
    <x v="2"/>
    <x v="47"/>
    <x v="2"/>
    <n v="48644"/>
    <n v="3361747"/>
    <n v="1.447E-2"/>
    <n v="0.98553000000000002"/>
    <n v="82320.48689"/>
    <n v="1191.18"/>
    <n v="81724.89817"/>
    <n v="1191501.5689999999"/>
    <n v="14.473937340000001"/>
    <n v="0.82320486900000001"/>
    <n v="-4.2356777383387447"/>
    <n v="1.4575483618675871E-2"/>
  </r>
  <r>
    <x v="2"/>
    <x v="48"/>
    <x v="2"/>
    <n v="51393"/>
    <n v="3251249"/>
    <n v="1.5807000000000002E-2"/>
    <n v="0.98419299999999998"/>
    <n v="81129.321179999999"/>
    <n v="1282.4100000000001"/>
    <n v="80488.115590000001"/>
    <n v="1109776.67"/>
    <n v="13.67910706"/>
    <n v="0.81129321200000004"/>
    <n v="-4.1473023990868789"/>
    <n v="1.5932912473536221E-2"/>
  </r>
  <r>
    <x v="2"/>
    <x v="49"/>
    <x v="2"/>
    <n v="55037"/>
    <n v="3204338"/>
    <n v="1.7176E-2"/>
    <n v="0.98282400000000003"/>
    <n v="79846.897339999996"/>
    <n v="1371.45"/>
    <n v="79161.172189999997"/>
    <n v="1029288.5550000001"/>
    <n v="12.89077709"/>
    <n v="0.79846897299999997"/>
    <n v="-4.0642422184056572"/>
    <n v="1.7324779421455078E-2"/>
  </r>
  <r>
    <x v="2"/>
    <x v="50"/>
    <x v="2"/>
    <n v="60062"/>
    <n v="3324662"/>
    <n v="1.8065999999999999E-2"/>
    <n v="0.98193399999999997"/>
    <n v="78475.46471"/>
    <n v="1417.74"/>
    <n v="77766.595839999994"/>
    <n v="950127.38269999996"/>
    <n v="12.107317699999999"/>
    <n v="0.78475464699999997"/>
    <n v="-4.0137235602544852"/>
    <n v="1.8230702985496713E-2"/>
  </r>
  <r>
    <x v="2"/>
    <x v="51"/>
    <x v="2"/>
    <n v="50657"/>
    <n v="2443843"/>
    <n v="2.0728E-2"/>
    <n v="0.97927200000000003"/>
    <n v="77057.758679999999"/>
    <n v="1597.25"/>
    <n v="76259.132070000007"/>
    <n v="872360.78689999995"/>
    <n v="11.32086894"/>
    <n v="0.77057758700000001"/>
    <n v="-3.8762698357223284"/>
    <n v="2.0945036930962151E-2"/>
  </r>
  <r>
    <x v="2"/>
    <x v="52"/>
    <x v="2"/>
    <n v="52985"/>
    <n v="2399286"/>
    <n v="2.2083999999999999E-2"/>
    <n v="0.97791600000000001"/>
    <n v="75460.473230000003"/>
    <n v="1666.47"/>
    <n v="74627.238679999995"/>
    <n v="796101.65480000002"/>
    <n v="10.54991601"/>
    <n v="0.754604732"/>
    <n v="-3.8129019145603391"/>
    <n v="2.2330582467863534E-2"/>
  </r>
  <r>
    <x v="2"/>
    <x v="53"/>
    <x v="2"/>
    <n v="57047"/>
    <n v="2321473"/>
    <n v="2.4573999999999999E-2"/>
    <n v="0.97542600000000002"/>
    <n v="73794.030310000002"/>
    <n v="1813.41"/>
    <n v="72887.323059999995"/>
    <n v="721474.41610000003"/>
    <n v="9.7768669510000006"/>
    <n v="0.73794030300000002"/>
    <n v="-3.7060663055367575"/>
    <n v="2.4879630324202977E-2"/>
  </r>
  <r>
    <x v="2"/>
    <x v="54"/>
    <x v="2"/>
    <n v="62772"/>
    <n v="2357801"/>
    <n v="2.6623000000000001E-2"/>
    <n v="0.97337700000000005"/>
    <n v="71980.643700000001"/>
    <n v="1916.34"/>
    <n v="71022.473360000004"/>
    <n v="648587.09310000006"/>
    <n v="9.0105764510000004"/>
    <n v="0.71980643700000002"/>
    <n v="-3.625979775144891"/>
    <n v="2.6982165194734158E-2"/>
  </r>
  <r>
    <x v="2"/>
    <x v="55"/>
    <x v="2"/>
    <n v="59741"/>
    <n v="2039236"/>
    <n v="2.9295999999999999E-2"/>
    <n v="0.97070400000000001"/>
    <n v="70064.294959999999"/>
    <n v="2052.6"/>
    <n v="69037.993170000002"/>
    <n v="577564.61970000004"/>
    <n v="8.2433516250000007"/>
    <n v="0.70064294999999999"/>
    <n v="-3.530304291049982"/>
    <n v="2.9731451797965578E-2"/>
  </r>
  <r>
    <x v="2"/>
    <x v="56"/>
    <x v="2"/>
    <n v="59324"/>
    <n v="1847158"/>
    <n v="3.2115999999999999E-2"/>
    <n v="0.96788399999999997"/>
    <n v="68011.707110000003"/>
    <n v="2184.2600000000002"/>
    <n v="66919.575119999994"/>
    <n v="508526.62650000001"/>
    <n v="7.4770454700000002"/>
    <n v="0.68011707099999996"/>
    <n v="-3.4384009306596997"/>
    <n v="3.2640081784491376E-2"/>
  </r>
  <r>
    <x v="2"/>
    <x v="57"/>
    <x v="2"/>
    <n v="60470"/>
    <n v="1729114"/>
    <n v="3.4972000000000003E-2"/>
    <n v="0.965028"/>
    <n v="65827.418319999997"/>
    <n v="2302.12"/>
    <n v="64676.360079999999"/>
    <n v="441607.0514"/>
    <n v="6.7085579639999997"/>
    <n v="0.65827418299999996"/>
    <n v="-3.3532075376634922"/>
    <n v="3.5594452247639845E-2"/>
  </r>
  <r>
    <x v="2"/>
    <x v="58"/>
    <x v="2"/>
    <n v="62698"/>
    <n v="1607240"/>
    <n v="3.9010000000000003E-2"/>
    <n v="0.96099000000000001"/>
    <n v="63525.323729999996"/>
    <n v="2478.12"/>
    <n v="62286.262289999999"/>
    <n v="376930.69130000001"/>
    <n v="5.9335501060000002"/>
    <n v="0.63525323700000003"/>
    <n v="-3.2439372554635719"/>
    <n v="3.9785974770663111E-2"/>
  </r>
  <r>
    <x v="2"/>
    <x v="59"/>
    <x v="2"/>
    <n v="65265"/>
    <n v="1518513"/>
    <n v="4.2979999999999997E-2"/>
    <n v="0.95701999999999998"/>
    <n v="61047.217940000002"/>
    <n v="2623.81"/>
    <n v="59735.31323"/>
    <n v="314644.429"/>
    <n v="5.1541157760000003"/>
    <n v="0.61047217899999995"/>
    <n v="-3.1470203877677729"/>
    <n v="4.3923924563522107E-2"/>
  </r>
  <r>
    <x v="2"/>
    <x v="60"/>
    <x v="2"/>
    <n v="66019"/>
    <n v="1378494"/>
    <n v="4.7891999999999997E-2"/>
    <n v="0.95210799999999995"/>
    <n v="58423.436199999996"/>
    <n v="2798.02"/>
    <n v="57024.428599999999"/>
    <n v="254909.1158"/>
    <n v="4.3631311750000004"/>
    <n v="0.58423436200000001"/>
    <n v="-3.0388068031275401"/>
    <n v="4.9067044434707247E-2"/>
  </r>
  <r>
    <x v="2"/>
    <x v="61"/>
    <x v="2"/>
    <n v="68230"/>
    <n v="1293831"/>
    <n v="5.2734999999999997E-2"/>
    <n v="0.94726500000000002"/>
    <n v="55625.413990000001"/>
    <n v="2933.41"/>
    <n v="54158.710890000002"/>
    <n v="197884.68719999999"/>
    <n v="3.5574510469999998"/>
    <n v="0.55625413999999995"/>
    <n v="-2.9424759072535593"/>
    <n v="5.416321299311011E-2"/>
  </r>
  <r>
    <x v="2"/>
    <x v="62"/>
    <x v="2"/>
    <n v="71274"/>
    <n v="1216640"/>
    <n v="5.8583000000000003E-2"/>
    <n v="0.94141699999999995"/>
    <n v="52692.015420000003"/>
    <n v="3086.86"/>
    <n v="51148.587249999997"/>
    <n v="143725.97630000001"/>
    <n v="2.7276613959999998"/>
    <n v="0.52692015400000003"/>
    <n v="-2.8373107268760869"/>
    <n v="6.0350825224414664E-2"/>
  </r>
  <r>
    <x v="2"/>
    <x v="63"/>
    <x v="2"/>
    <n v="70855"/>
    <n v="1068110"/>
    <n v="6.6336999999999993E-2"/>
    <n v="0.93366300000000002"/>
    <n v="49605.177320000003"/>
    <n v="3290.66"/>
    <n v="47959.847999999998"/>
    <n v="92577.389079999994"/>
    <n v="1.866284813"/>
    <n v="0.49605177299999997"/>
    <n v="-2.7130074680715279"/>
    <n v="6.8612804208839084E-2"/>
  </r>
  <r>
    <x v="2"/>
    <x v="64"/>
    <x v="2"/>
    <n v="73883"/>
    <n v="1008215"/>
    <n v="7.3280999999999999E-2"/>
    <n v="0.92671899999999996"/>
    <n v="46314.528570000002"/>
    <n v="3393.97"/>
    <n v="44617.541089999999"/>
    <n v="44617.541089999999"/>
    <n v="0.96335950000000004"/>
    <n v="0.46314528599999999"/>
    <n v="-2.6134539124211624"/>
    <n v="4.6392795482046091E-2"/>
  </r>
  <r>
    <x v="3"/>
    <x v="0"/>
    <x v="0"/>
    <n v="890"/>
    <n v="2087209"/>
    <n v="4.26E-4"/>
    <n v="0.99957399999999996"/>
    <n v="100000"/>
    <n v="42.6"/>
    <n v="99978.7"/>
    <n v="5837832.7089999998"/>
    <n v="58.378327089999999"/>
    <n v="1"/>
    <n v="-7.7610712116949037"/>
    <n v="4.2609084399534416E-4"/>
  </r>
  <r>
    <x v="3"/>
    <x v="1"/>
    <x v="0"/>
    <n v="946"/>
    <n v="2098900"/>
    <n v="4.5100000000000001E-4"/>
    <n v="0.99954900000000002"/>
    <n v="99957.359330000007"/>
    <n v="45.08"/>
    <n v="99934.818950000001"/>
    <n v="5737854.0089999996"/>
    <n v="57.403017120000001"/>
    <n v="0.99957359300000004"/>
    <n v="-7.7040432184615959"/>
    <n v="4.5109396293677157E-4"/>
  </r>
  <r>
    <x v="3"/>
    <x v="2"/>
    <x v="0"/>
    <n v="1010"/>
    <n v="2115157"/>
    <n v="4.7800000000000002E-4"/>
    <n v="0.99952200000000002"/>
    <n v="99912.307320000007"/>
    <n v="47.76"/>
    <n v="99888.428279999993"/>
    <n v="5637919.1900000004"/>
    <n v="56.428675720000001"/>
    <n v="0.99912307300000003"/>
    <n v="-7.6458998254728181"/>
    <n v="4.7813334359202993E-4"/>
  </r>
  <r>
    <x v="3"/>
    <x v="3"/>
    <x v="0"/>
    <n v="1110"/>
    <n v="2162394"/>
    <n v="5.13E-4"/>
    <n v="0.99948700000000001"/>
    <n v="99864.598599999998"/>
    <n v="51.23"/>
    <n v="99838.983330000003"/>
    <n v="5538030.7620000001"/>
    <n v="55.455395000000003"/>
    <n v="0.99864598599999999"/>
    <n v="-7.5752347127935042"/>
    <n v="5.1312630085445651E-4"/>
  </r>
  <r>
    <x v="3"/>
    <x v="4"/>
    <x v="0"/>
    <n v="1190"/>
    <n v="2208372"/>
    <n v="5.3899999999999998E-4"/>
    <n v="0.99946100000000004"/>
    <n v="99813.336110000004"/>
    <n v="53.8"/>
    <n v="99786.436419999998"/>
    <n v="5438191.7779999999"/>
    <n v="54.48361903"/>
    <n v="0.99813336100000005"/>
    <n v="-7.5257949870552769"/>
    <n v="5.3915139297933568E-4"/>
  </r>
  <r>
    <x v="3"/>
    <x v="5"/>
    <x v="0"/>
    <n v="1298"/>
    <n v="2240559"/>
    <n v="5.7899999999999998E-4"/>
    <n v="0.999421"/>
    <n v="99759.550839999996"/>
    <n v="57.76"/>
    <n v="99730.670450000005"/>
    <n v="5338405.3420000002"/>
    <n v="53.512724319999997"/>
    <n v="0.99759550799999996"/>
    <n v="-7.4542080803912789"/>
    <n v="5.7915994121049506E-4"/>
  </r>
  <r>
    <x v="3"/>
    <x v="6"/>
    <x v="0"/>
    <n v="1458"/>
    <n v="2307677"/>
    <n v="6.3199999999999997E-4"/>
    <n v="0.99936800000000003"/>
    <n v="99701.758170000001"/>
    <n v="63.01"/>
    <n v="99670.252410000001"/>
    <n v="5238674.6720000003"/>
    <n v="52.543453270000001"/>
    <n v="0.99701758200000001"/>
    <n v="-7.3666211638174168"/>
    <n v="6.3218455159040014E-4"/>
  </r>
  <r>
    <x v="3"/>
    <x v="7"/>
    <x v="0"/>
    <n v="1582"/>
    <n v="2362325"/>
    <n v="6.7000000000000002E-4"/>
    <n v="0.99933000000000005"/>
    <n v="99638.766180000006"/>
    <n v="66.760000000000005"/>
    <n v="99605.387189999994"/>
    <n v="5139004.4189999998"/>
    <n v="51.57635543"/>
    <n v="0.99638766199999995"/>
    <n v="-7.308232845579262"/>
    <n v="6.7024476456068523E-4"/>
  </r>
  <r>
    <x v="3"/>
    <x v="8"/>
    <x v="0"/>
    <n v="1687"/>
    <n v="2362288"/>
    <n v="7.1400000000000001E-4"/>
    <n v="0.99928600000000001"/>
    <n v="99572.040169999993"/>
    <n v="71.09"/>
    <n v="99536.49295"/>
    <n v="5039399.0319999997"/>
    <n v="50.610583290000001"/>
    <n v="0.995720402"/>
    <n v="-7.2446275956246895"/>
    <n v="7.1421046499476855E-4"/>
  </r>
  <r>
    <x v="3"/>
    <x v="9"/>
    <x v="0"/>
    <n v="1807"/>
    <n v="2270069"/>
    <n v="7.9600000000000005E-4"/>
    <n v="0.99920399999999998"/>
    <n v="99500.931970000005"/>
    <n v="79.2"/>
    <n v="99461.330600000001"/>
    <n v="4939862.5389999999"/>
    <n v="49.646394669999999"/>
    <n v="0.99500931999999997"/>
    <n v="-7.1359113721198915"/>
    <n v="7.9628937155963564E-4"/>
  </r>
  <r>
    <x v="3"/>
    <x v="10"/>
    <x v="0"/>
    <n v="1902"/>
    <n v="2218983"/>
    <n v="8.5700000000000001E-4"/>
    <n v="0.999143"/>
    <n v="99421.728130000003"/>
    <n v="85.2"/>
    <n v="99379.125920000006"/>
    <n v="4840401.2079999996"/>
    <n v="48.685546909999999"/>
    <n v="0.99421728099999995"/>
    <n v="-7.0620726393664945"/>
    <n v="8.5732295969486404E-4"/>
  </r>
  <r>
    <x v="3"/>
    <x v="11"/>
    <x v="0"/>
    <n v="1870"/>
    <n v="2180487"/>
    <n v="8.5800000000000004E-4"/>
    <n v="0.99914199999999997"/>
    <n v="99336.508860000002"/>
    <n v="85.23"/>
    <n v="99293.893500000006"/>
    <n v="4741022.0820000004"/>
    <n v="47.726884470000002"/>
    <n v="0.99336508899999998"/>
    <n v="-7.0609064584763122"/>
    <n v="8.5836077353460103E-4"/>
  </r>
  <r>
    <x v="3"/>
    <x v="12"/>
    <x v="0"/>
    <n v="2064"/>
    <n v="2188295"/>
    <n v="9.4300000000000004E-4"/>
    <n v="0.99905699999999997"/>
    <n v="99251.317209999994"/>
    <n v="93.59"/>
    <n v="99204.520210000002"/>
    <n v="4641728.1890000002"/>
    <n v="46.76742153"/>
    <n v="0.992513172"/>
    <n v="-6.9664442753308169"/>
    <n v="9.4340468725796506E-4"/>
  </r>
  <r>
    <x v="3"/>
    <x v="13"/>
    <x v="0"/>
    <n v="2140"/>
    <n v="2209229"/>
    <n v="9.6900000000000003E-4"/>
    <n v="0.999031"/>
    <n v="99157.70336"/>
    <n v="96.08"/>
    <n v="99109.66145"/>
    <n v="4542523.6689999998"/>
    <n v="45.811102060000003"/>
    <n v="0.99157703399999997"/>
    <n v="-6.9392459460735081"/>
    <n v="9.6943105676139027E-4"/>
  </r>
  <r>
    <x v="3"/>
    <x v="14"/>
    <x v="0"/>
    <n v="2172"/>
    <n v="2147153"/>
    <n v="1.0120000000000001E-3"/>
    <n v="0.99898799999999999"/>
    <n v="99061.652889999998"/>
    <n v="100.25"/>
    <n v="99011.527690000003"/>
    <n v="4443414.0070000002"/>
    <n v="44.855036009999999"/>
    <n v="0.99061652899999997"/>
    <n v="-6.8958267081168634"/>
    <n v="1.0125081480280233E-3"/>
  </r>
  <r>
    <x v="3"/>
    <x v="15"/>
    <x v="0"/>
    <n v="2393"/>
    <n v="2180901"/>
    <n v="1.0970000000000001E-3"/>
    <n v="0.99890299999999999"/>
    <n v="98961.444889999999"/>
    <n v="108.56"/>
    <n v="98907.164539999998"/>
    <n v="4344402.4800000004"/>
    <n v="43.899949970000002"/>
    <n v="0.98961444899999995"/>
    <n v="-6.8151760976890436"/>
    <n v="1.0975950452254467E-3"/>
  </r>
  <r>
    <x v="3"/>
    <x v="16"/>
    <x v="0"/>
    <n v="2509"/>
    <n v="2181088"/>
    <n v="1.15E-3"/>
    <n v="0.99885000000000002"/>
    <n v="98852.859160000007"/>
    <n v="113.68"/>
    <n v="98796.018769999995"/>
    <n v="4245495.3150000004"/>
    <n v="42.947622869999996"/>
    <n v="0.98852859199999998"/>
    <n v="-6.7679933366069784"/>
    <n v="1.150653851720478E-3"/>
  </r>
  <r>
    <x v="3"/>
    <x v="17"/>
    <x v="0"/>
    <n v="2584"/>
    <n v="2158541"/>
    <n v="1.1969999999999999E-3"/>
    <n v="0.998803"/>
    <n v="98739.14443"/>
    <n v="118.19"/>
    <n v="98680.049050000001"/>
    <n v="4146699.2960000001"/>
    <n v="41.99650828"/>
    <n v="0.98739144400000001"/>
    <n v="-6.7279368524063008"/>
    <n v="1.1977092364258942E-3"/>
  </r>
  <r>
    <x v="3"/>
    <x v="18"/>
    <x v="0"/>
    <n v="2711"/>
    <n v="2190232"/>
    <n v="1.238E-3"/>
    <n v="0.99876200000000004"/>
    <n v="98620.943320000006"/>
    <n v="122.09"/>
    <n v="98559.896959999998"/>
    <n v="4048019.247"/>
    <n v="41.046243429999997"/>
    <n v="0.98620943299999997"/>
    <n v="-6.6942581047197329"/>
    <n v="1.2387389762526248E-3"/>
  </r>
  <r>
    <x v="3"/>
    <x v="19"/>
    <x v="0"/>
    <n v="2897"/>
    <n v="2062635"/>
    <n v="1.405E-3"/>
    <n v="0.99859500000000001"/>
    <n v="98498.873430000007"/>
    <n v="138.38999999999999"/>
    <n v="98429.677970000004"/>
    <n v="3949459.35"/>
    <n v="40.096492609999999"/>
    <n v="0.98498873399999998"/>
    <n v="-6.5677179761964277"/>
    <n v="1.4059780465514138E-3"/>
  </r>
  <r>
    <x v="3"/>
    <x v="20"/>
    <x v="0"/>
    <n v="2867"/>
    <n v="2022766"/>
    <n v="1.4170000000000001E-3"/>
    <n v="0.998583"/>
    <n v="98360.530369999993"/>
    <n v="139.38"/>
    <n v="98290.841929999995"/>
    <n v="3851029.6719999998"/>
    <n v="39.152184900000002"/>
    <n v="0.98360530400000001"/>
    <n v="-6.5592133182735939"/>
    <n v="1.4180367447764275E-3"/>
  </r>
  <r>
    <x v="3"/>
    <x v="21"/>
    <x v="0"/>
    <n v="2987"/>
    <n v="2006441"/>
    <n v="1.4890000000000001E-3"/>
    <n v="0.99851100000000004"/>
    <n v="98221.117480000001"/>
    <n v="146.25"/>
    <n v="98147.991859999995"/>
    <n v="3752738.83"/>
    <n v="38.207046779999999"/>
    <n v="0.98221117499999999"/>
    <n v="-6.5096505252802652"/>
    <n v="1.4900964929498374E-3"/>
  </r>
  <r>
    <x v="3"/>
    <x v="22"/>
    <x v="0"/>
    <n v="3097"/>
    <n v="1945641"/>
    <n v="1.5920000000000001E-3"/>
    <n v="0.99840799999999996"/>
    <n v="98074.895149999997"/>
    <n v="156.13999999999999"/>
    <n v="97996.827529999995"/>
    <n v="3654590.8390000002"/>
    <n v="37.263265310000001"/>
    <n v="0.98074895200000001"/>
    <n v="-6.4427641915599461"/>
    <n v="1.5933166964389091E-3"/>
  </r>
  <r>
    <x v="3"/>
    <x v="23"/>
    <x v="0"/>
    <n v="3413"/>
    <n v="1999241"/>
    <n v="1.707E-3"/>
    <n v="0.99829299999999999"/>
    <n v="97918.783129999996"/>
    <n v="167.15"/>
    <n v="97835.209449999995"/>
    <n v="3556594.0109999999"/>
    <n v="36.321877139999998"/>
    <n v="0.97918783099999995"/>
    <n v="-6.3730178351698337"/>
    <n v="1.7084852509551534E-3"/>
  </r>
  <r>
    <x v="3"/>
    <x v="24"/>
    <x v="0"/>
    <n v="3546"/>
    <n v="1942802"/>
    <n v="1.825E-3"/>
    <n v="0.99817500000000003"/>
    <n v="97751.621289999995"/>
    <n v="178.4"/>
    <n v="97662.422940000004"/>
    <n v="3458758.8020000001"/>
    <n v="35.383134890000001"/>
    <n v="0.97751621300000002"/>
    <n v="-6.3061752919476826"/>
    <n v="1.8267007145037399E-3"/>
  </r>
  <r>
    <x v="3"/>
    <x v="25"/>
    <x v="0"/>
    <n v="4032"/>
    <n v="1975992"/>
    <n v="2.0400000000000001E-3"/>
    <n v="0.99795999999999996"/>
    <n v="97573.205140000005"/>
    <n v="199.05"/>
    <n v="97473.680470000007"/>
    <n v="3361096.3790000002"/>
    <n v="34.446919870000002"/>
    <n v="0.97573205100000004"/>
    <n v="-6.1948054711260117"/>
    <n v="2.0420902161978728E-3"/>
  </r>
  <r>
    <x v="3"/>
    <x v="26"/>
    <x v="0"/>
    <n v="4615"/>
    <n v="2059393"/>
    <n v="2.2409999999999999E-3"/>
    <n v="0.99775899999999995"/>
    <n v="97374.10759"/>
    <n v="218.22"/>
    <n v="97264.999899999995"/>
    <n v="3263622.6979999999"/>
    <n v="33.516329740000003"/>
    <n v="0.97374107600000004"/>
    <n v="-6.1008330841633471"/>
    <n v="2.2435613522803818E-3"/>
  </r>
  <r>
    <x v="3"/>
    <x v="27"/>
    <x v="0"/>
    <n v="5077"/>
    <n v="2175691"/>
    <n v="2.3340000000000001E-3"/>
    <n v="0.99766600000000005"/>
    <n v="97155.896930000003"/>
    <n v="226.76"/>
    <n v="97042.516000000003"/>
    <n v="3166357.6979999999"/>
    <n v="32.590483939999999"/>
    <n v="0.97155896900000005"/>
    <n v="-6.0601717451177723"/>
    <n v="2.3367071866720606E-3"/>
  </r>
  <r>
    <x v="3"/>
    <x v="28"/>
    <x v="0"/>
    <n v="5463"/>
    <n v="2192223"/>
    <n v="2.4919999999999999E-3"/>
    <n v="0.99750799999999995"/>
    <n v="96929.182530000005"/>
    <n v="241.55"/>
    <n v="96808.408769999995"/>
    <n v="3069315.182"/>
    <n v="31.665542840000001"/>
    <n v="0.969291825"/>
    <n v="-5.9946696780569306"/>
    <n v="2.4951344824652314E-3"/>
  </r>
  <r>
    <x v="3"/>
    <x v="29"/>
    <x v="0"/>
    <n v="5717"/>
    <n v="2079841"/>
    <n v="2.7490000000000001E-3"/>
    <n v="0.997251"/>
    <n v="96687.635880000002"/>
    <n v="265.79000000000002"/>
    <n v="96554.738719999994"/>
    <n v="2972506.773"/>
    <n v="30.743401120000001"/>
    <n v="0.96687635900000002"/>
    <n v="-5.8965180697990283"/>
    <n v="2.7527387325598893E-3"/>
  </r>
  <r>
    <x v="3"/>
    <x v="30"/>
    <x v="0"/>
    <n v="6122"/>
    <n v="2036538"/>
    <n v="3.006E-3"/>
    <n v="0.99699400000000005"/>
    <n v="96421.864019999994"/>
    <n v="289.83999999999997"/>
    <n v="96276.941959999996"/>
    <n v="2875952.0350000001"/>
    <n v="29.826762469999998"/>
    <n v="0.96421864000000002"/>
    <n v="-5.8071449876513546"/>
    <n v="3.0104821153524343E-3"/>
  </r>
  <r>
    <x v="3"/>
    <x v="31"/>
    <x v="0"/>
    <n v="6938"/>
    <n v="2042479"/>
    <n v="3.3969999999999998E-3"/>
    <n v="0.99660300000000002"/>
    <n v="96132.012000000002"/>
    <n v="326.56"/>
    <n v="95968.731780000002"/>
    <n v="2779675.0929999999"/>
    <n v="28.915186890000001"/>
    <n v="0.96132012"/>
    <n v="-5.6848625898036902"/>
    <n v="3.4027747354206106E-3"/>
  </r>
  <r>
    <x v="3"/>
    <x v="32"/>
    <x v="0"/>
    <n v="7568"/>
    <n v="2077402"/>
    <n v="3.643E-3"/>
    <n v="0.99635700000000005"/>
    <n v="95805.465729999996"/>
    <n v="349.02"/>
    <n v="95630.95607"/>
    <n v="2683706.361"/>
    <n v="28.012038149999999"/>
    <n v="0.95805465700000003"/>
    <n v="-5.6149477609557099"/>
    <n v="3.6496550529969704E-3"/>
  </r>
  <r>
    <x v="3"/>
    <x v="33"/>
    <x v="0"/>
    <n v="8559"/>
    <n v="2201960"/>
    <n v="3.8869999999999998E-3"/>
    <n v="0.99611300000000003"/>
    <n v="95456.445290000003"/>
    <n v="371.04"/>
    <n v="95270.925690000004"/>
    <n v="2588075.4049999998"/>
    <n v="27.112631289999999"/>
    <n v="0.95456445300000003"/>
    <n v="-5.5501176271120514"/>
    <n v="3.8945774458987422E-3"/>
  </r>
  <r>
    <x v="3"/>
    <x v="34"/>
    <x v="0"/>
    <n v="9716"/>
    <n v="2248978"/>
    <n v="4.3200000000000001E-3"/>
    <n v="0.99568000000000001"/>
    <n v="95085.406889999998"/>
    <n v="410.77"/>
    <n v="94880.022410000005"/>
    <n v="2492804.4789999998"/>
    <n v="26.216478009999999"/>
    <n v="0.95085406900000002"/>
    <n v="-5.4444998767261179"/>
    <n v="4.3293627842447141E-3"/>
  </r>
  <r>
    <x v="3"/>
    <x v="35"/>
    <x v="0"/>
    <n v="10576"/>
    <n v="2248963"/>
    <n v="4.7029999999999997E-3"/>
    <n v="0.99529699999999999"/>
    <n v="94674.620379999993"/>
    <n v="445.25"/>
    <n v="94451.993010000006"/>
    <n v="2397924.4569999999"/>
    <n v="25.32805991"/>
    <n v="0.94674620399999998"/>
    <n v="-5.3595546760192265"/>
    <n v="4.7140340737170426E-3"/>
  </r>
  <r>
    <x v="3"/>
    <x v="36"/>
    <x v="0"/>
    <n v="11699"/>
    <n v="2244572"/>
    <n v="5.2119999999999996E-3"/>
    <n v="0.99478800000000001"/>
    <n v="94229.402390000003"/>
    <n v="491.12"/>
    <n v="93983.84057"/>
    <n v="2303472.4640000002"/>
    <n v="24.44536849"/>
    <n v="0.94229402399999995"/>
    <n v="-5.2567916197195386"/>
    <n v="5.2255795137077041E-3"/>
  </r>
  <r>
    <x v="3"/>
    <x v="37"/>
    <x v="0"/>
    <n v="12654"/>
    <n v="2274643"/>
    <n v="5.5630000000000002E-3"/>
    <n v="0.99443700000000002"/>
    <n v="93738.266539999997"/>
    <n v="521.47"/>
    <n v="93477.533549999993"/>
    <n v="2209488.6230000001"/>
    <n v="23.5708287"/>
    <n v="0.937382665"/>
    <n v="-5.1916177478889809"/>
    <n v="5.5785598815997648E-3"/>
  </r>
  <r>
    <x v="3"/>
    <x v="38"/>
    <x v="0"/>
    <n v="13478"/>
    <n v="2287131"/>
    <n v="5.8929999999999998E-3"/>
    <n v="0.99410699999999996"/>
    <n v="93216.79393"/>
    <n v="549.33000000000004"/>
    <n v="92942.130650000006"/>
    <n v="2116011.09"/>
    <n v="22.699891300000001"/>
    <n v="0.93216793899999995"/>
    <n v="-5.1339900731263608"/>
    <n v="5.9104518972486197E-3"/>
  </r>
  <r>
    <x v="3"/>
    <x v="39"/>
    <x v="0"/>
    <n v="14295"/>
    <n v="2216349"/>
    <n v="6.45E-3"/>
    <n v="0.99355000000000004"/>
    <n v="92667.469930000007"/>
    <n v="597.71"/>
    <n v="92368.617339999997"/>
    <n v="2023068.959"/>
    <n v="21.831490169999999"/>
    <n v="0.92667469899999999"/>
    <n v="-5.0436751481744562"/>
    <n v="6.4709200612921491E-3"/>
  </r>
  <r>
    <x v="3"/>
    <x v="40"/>
    <x v="0"/>
    <n v="15164"/>
    <n v="2204821"/>
    <n v="6.8780000000000004E-3"/>
    <n v="0.99312199999999995"/>
    <n v="92069.783609999999"/>
    <n v="633.26"/>
    <n v="91753.155620000005"/>
    <n v="1930700.3419999999"/>
    <n v="20.969967189999998"/>
    <n v="0.92069783599999999"/>
    <n v="-4.9794273669720628"/>
    <n v="6.901777779327903E-3"/>
  </r>
  <r>
    <x v="3"/>
    <x v="41"/>
    <x v="0"/>
    <n v="16209"/>
    <n v="2184082"/>
    <n v="7.4209999999999996E-3"/>
    <n v="0.99257899999999999"/>
    <n v="91436.55932"/>
    <n v="678.55"/>
    <n v="91097.283970000004"/>
    <n v="1838947.186"/>
    <n v="20.111727739999999"/>
    <n v="0.91436559299999998"/>
    <n v="-4.9034414599941405"/>
    <n v="7.4486320013519743E-3"/>
  </r>
  <r>
    <x v="3"/>
    <x v="42"/>
    <x v="0"/>
    <n v="16737"/>
    <n v="2109543"/>
    <n v="7.9340000000000001E-3"/>
    <n v="0.992066"/>
    <n v="90757.969790000003"/>
    <n v="720.07"/>
    <n v="90397.932920000007"/>
    <n v="1747849.902"/>
    <n v="19.258362720000001"/>
    <n v="0.90757969800000005"/>
    <n v="-4.8365979568899986"/>
    <n v="7.965558029318788E-3"/>
  </r>
  <r>
    <x v="3"/>
    <x v="43"/>
    <x v="0"/>
    <n v="17658"/>
    <n v="2091595"/>
    <n v="8.4419999999999999E-3"/>
    <n v="0.99155800000000005"/>
    <n v="90037.900970000002"/>
    <n v="760.1"/>
    <n v="89657.850990000006"/>
    <n v="1657451.969"/>
    <n v="18.408380820000001"/>
    <n v="0.90037900999999998"/>
    <n v="-4.7745360316218299"/>
    <n v="8.4777867121621289E-3"/>
  </r>
  <r>
    <x v="3"/>
    <x v="44"/>
    <x v="0"/>
    <n v="18093"/>
    <n v="2012074"/>
    <n v="8.992E-3"/>
    <n v="0.991008"/>
    <n v="89277.768509999994"/>
    <n v="802.79"/>
    <n v="88876.375660000005"/>
    <n v="1567794.118"/>
    <n v="17.560856909999998"/>
    <n v="0.89277768499999999"/>
    <n v="-4.7114199858308021"/>
    <n v="9.0326600325491176E-3"/>
  </r>
  <r>
    <x v="3"/>
    <x v="45"/>
    <x v="0"/>
    <n v="18893"/>
    <n v="1935507"/>
    <n v="9.7610000000000006E-3"/>
    <n v="0.99023899999999998"/>
    <n v="88474.963709999996"/>
    <n v="863.6"/>
    <n v="88043.161649999995"/>
    <n v="1478917.743"/>
    <n v="16.71566374"/>
    <n v="0.88474963699999998"/>
    <n v="-4.6293604247893088"/>
    <n v="9.8088267113491962E-3"/>
  </r>
  <r>
    <x v="3"/>
    <x v="46"/>
    <x v="0"/>
    <n v="19488"/>
    <n v="1857985"/>
    <n v="1.0489E-2"/>
    <n v="0.98951100000000003"/>
    <n v="87611.335990000007"/>
    <n v="918.96"/>
    <n v="87151.858340000006"/>
    <n v="1390874.581"/>
    <n v="15.875509320000001"/>
    <n v="0.87611335999999995"/>
    <n v="-4.5574281900026703"/>
    <n v="1.0544352316869701E-2"/>
  </r>
  <r>
    <x v="3"/>
    <x v="47"/>
    <x v="0"/>
    <n v="20398"/>
    <n v="1803359"/>
    <n v="1.1311E-2"/>
    <n v="0.98868900000000004"/>
    <n v="86692.399770000004"/>
    <n v="980.58"/>
    <n v="86202.1109"/>
    <n v="1303722.723"/>
    <n v="15.03848926"/>
    <n v="0.86692399799999997"/>
    <n v="-4.4819795754328933"/>
    <n v="1.1375360141230442E-2"/>
  </r>
  <r>
    <x v="3"/>
    <x v="48"/>
    <x v="0"/>
    <n v="21238"/>
    <n v="1755485"/>
    <n v="1.2097999999999999E-2"/>
    <n v="0.98790199999999995"/>
    <n v="85711.812109999999"/>
    <n v="1036.94"/>
    <n v="85193.341360000006"/>
    <n v="1217520.612"/>
    <n v="14.204817070000001"/>
    <n v="0.85711812099999996"/>
    <n v="-4.4147151292974147"/>
    <n v="1.21716090218197E-2"/>
  </r>
  <r>
    <x v="3"/>
    <x v="49"/>
    <x v="0"/>
    <n v="22681"/>
    <n v="1699744"/>
    <n v="1.3344E-2"/>
    <n v="0.98665599999999998"/>
    <n v="84674.863660000003"/>
    <n v="1129.9000000000001"/>
    <n v="84109.912970000005"/>
    <n v="1132327.27"/>
    <n v="13.372649470000001"/>
    <n v="0.84674863700000003"/>
    <n v="-4.316688433365746"/>
    <n v="1.3433611231742505E-2"/>
  </r>
  <r>
    <x v="3"/>
    <x v="50"/>
    <x v="0"/>
    <n v="24851"/>
    <n v="1674714"/>
    <n v="1.4839E-2"/>
    <n v="0.98516099999999995"/>
    <n v="83544.981400000004"/>
    <n v="1239.72"/>
    <n v="82925.119409999999"/>
    <n v="1048217.357"/>
    <n v="12.54674236"/>
    <n v="0.83544981399999996"/>
    <n v="-4.2104964289581481"/>
    <n v="1.4949872590439818E-2"/>
  </r>
  <r>
    <x v="3"/>
    <x v="51"/>
    <x v="0"/>
    <n v="27574"/>
    <n v="1738342"/>
    <n v="1.5862000000000001E-2"/>
    <n v="0.98413799999999996"/>
    <n v="82305.261469999998"/>
    <n v="1305.53"/>
    <n v="81652.498439999996"/>
    <n v="965292.23789999995"/>
    <n v="11.72819599"/>
    <n v="0.82305261500000004"/>
    <n v="-4.1438289673210091"/>
    <n v="1.5988857458522736E-2"/>
  </r>
  <r>
    <x v="3"/>
    <x v="52"/>
    <x v="0"/>
    <n v="23635"/>
    <n v="1285319"/>
    <n v="1.8388000000000002E-2"/>
    <n v="0.98161200000000004"/>
    <n v="80999.715559999997"/>
    <n v="1489.42"/>
    <n v="80255.004180000004"/>
    <n v="883639.73950000003"/>
    <n v="10.90917089"/>
    <n v="0.809997156"/>
    <n v="-3.9960570010381553"/>
    <n v="1.855859755334573E-2"/>
  </r>
  <r>
    <x v="3"/>
    <x v="53"/>
    <x v="0"/>
    <n v="24854"/>
    <n v="1266423"/>
    <n v="1.9625E-2"/>
    <n v="0.980375"/>
    <n v="79510.257859999998"/>
    <n v="1560.39"/>
    <n v="78730.063450000001"/>
    <n v="803384.73529999994"/>
    <n v="10.10416463"/>
    <n v="0.79510257900000003"/>
    <n v="-3.9309510153136649"/>
    <n v="1.9819497287086516E-2"/>
  </r>
  <r>
    <x v="3"/>
    <x v="54"/>
    <x v="0"/>
    <n v="27255"/>
    <n v="1229353"/>
    <n v="2.2169999999999999E-2"/>
    <n v="0.97782999999999998"/>
    <n v="77949.840890000007"/>
    <n v="1728.15"/>
    <n v="77085.766900000002"/>
    <n v="724654.67189999996"/>
    <n v="9.2964227200000007"/>
    <n v="0.779498409"/>
    <n v="-3.8090152553539172"/>
    <n v="2.2418537726286662E-2"/>
  </r>
  <r>
    <x v="3"/>
    <x v="55"/>
    <x v="0"/>
    <n v="30233"/>
    <n v="1251144"/>
    <n v="2.4164000000000001E-2"/>
    <n v="0.97583600000000004"/>
    <n v="76221.677439999999"/>
    <n v="1841.82"/>
    <n v="75300.767129999993"/>
    <n v="647568.90500000003"/>
    <n v="8.4958626820000003"/>
    <n v="0.76221677399999999"/>
    <n v="-3.7228913567056421"/>
    <n v="2.4459515295587944E-2"/>
  </r>
  <r>
    <x v="3"/>
    <x v="56"/>
    <x v="0"/>
    <n v="29114"/>
    <n v="1087069"/>
    <n v="2.6782E-2"/>
    <n v="0.97321800000000003"/>
    <n v="74379.835120000003"/>
    <n v="1992.04"/>
    <n v="73383.814750000005"/>
    <n v="572268.13780000003"/>
    <n v="7.6938613389999997"/>
    <n v="0.74379835100000002"/>
    <n v="-3.6200252589087625"/>
    <n v="2.714549681635087E-2"/>
  </r>
  <r>
    <x v="3"/>
    <x v="57"/>
    <x v="0"/>
    <n v="29172"/>
    <n v="991039"/>
    <n v="2.9436E-2"/>
    <n v="0.97056399999999998"/>
    <n v="72387.786300000007"/>
    <n v="2130.81"/>
    <n v="71322.382859999998"/>
    <n v="498884.32309999998"/>
    <n v="6.8918300800000001"/>
    <n v="0.72387786300000001"/>
    <n v="-3.5255368639177846"/>
    <n v="2.9875751063995735E-2"/>
  </r>
  <r>
    <x v="3"/>
    <x v="58"/>
    <x v="0"/>
    <n v="29931"/>
    <n v="929716"/>
    <n v="3.2194E-2"/>
    <n v="0.96780600000000006"/>
    <n v="70256.995779999997"/>
    <n v="2261.85"/>
    <n v="69126.068920000005"/>
    <n v="427561.94020000001"/>
    <n v="6.085684927"/>
    <n v="0.70256995799999999"/>
    <n v="-3.4359751791980995"/>
    <n v="3.272064639404984E-2"/>
  </r>
  <r>
    <x v="3"/>
    <x v="59"/>
    <x v="0"/>
    <n v="31323"/>
    <n v="863424"/>
    <n v="3.6277999999999998E-2"/>
    <n v="0.96372199999999997"/>
    <n v="67995.162979999994"/>
    <n v="2466.73"/>
    <n v="66761.798720000006"/>
    <n v="358435.8713"/>
    <n v="5.2714907289999999"/>
    <n v="0.67995163000000003"/>
    <n v="-3.3165437820463595"/>
    <n v="3.694821914398605E-2"/>
  </r>
  <r>
    <x v="3"/>
    <x v="60"/>
    <x v="0"/>
    <n v="32969"/>
    <n v="821411"/>
    <n v="4.0136999999999999E-2"/>
    <n v="0.95986300000000002"/>
    <n v="65528.457759999998"/>
    <n v="2630.12"/>
    <n v="64213.39991"/>
    <n v="291674.07260000001"/>
    <n v="4.4511054059999999"/>
    <n v="0.65528457799999995"/>
    <n v="-3.2154566768225452"/>
    <n v="4.0959052900368172E-2"/>
  </r>
  <r>
    <x v="3"/>
    <x v="61"/>
    <x v="0"/>
    <n v="33960"/>
    <n v="749613"/>
    <n v="4.5303000000000003E-2"/>
    <n v="0.95469700000000002"/>
    <n v="62898.339919999999"/>
    <n v="2849.48"/>
    <n v="61473.598169999997"/>
    <n v="227460.6727"/>
    <n v="3.6163223539999998"/>
    <n v="0.628983399"/>
    <n v="-3.0943820235203754"/>
    <n v="4.6352916266699865E-2"/>
  </r>
  <r>
    <x v="3"/>
    <x v="62"/>
    <x v="0"/>
    <n v="35918"/>
    <n v="707051"/>
    <n v="5.0799999999999998E-2"/>
    <n v="0.94920000000000004"/>
    <n v="60048.832750000001"/>
    <n v="3050.48"/>
    <n v="58523.592400000001"/>
    <n v="165987.07449999999"/>
    <n v="2.764201516"/>
    <n v="0.60048832799999996"/>
    <n v="-2.9798589243977007"/>
    <n v="5.2123929046368228E-2"/>
  </r>
  <r>
    <x v="3"/>
    <x v="63"/>
    <x v="0"/>
    <n v="37682"/>
    <n v="669490"/>
    <n v="5.6285000000000002E-2"/>
    <n v="0.94371499999999997"/>
    <n v="56998.36825"/>
    <n v="3208.15"/>
    <n v="55394.291669999999"/>
    <n v="107463.48209999999"/>
    <n v="1.88537822"/>
    <n v="0.56998368300000002"/>
    <n v="-2.8773272091753697"/>
    <n v="5.7914801328794466E-2"/>
  </r>
  <r>
    <x v="3"/>
    <x v="64"/>
    <x v="0"/>
    <n v="37715"/>
    <n v="589377"/>
    <n v="6.3991000000000006E-2"/>
    <n v="0.93600899999999998"/>
    <n v="53790.235919999999"/>
    <n v="3442.09"/>
    <n v="52069.190430000002"/>
    <n v="52069.190430000002"/>
    <n v="0.96800450000000005"/>
    <n v="0.53790235900000005"/>
    <n v="-2.7490128305110875"/>
    <n v="4.4763440011764306E-2"/>
  </r>
  <r>
    <x v="3"/>
    <x v="0"/>
    <x v="1"/>
    <n v="2383"/>
    <n v="2186613"/>
    <n v="1.09E-3"/>
    <n v="0.99890999999999996"/>
    <n v="100000"/>
    <n v="109"/>
    <n v="99945.5"/>
    <n v="5487619.0310000004"/>
    <n v="54.876190309999998"/>
    <n v="1"/>
    <n v="-6.8215775827410843"/>
    <n v="1.0905942720713035E-3"/>
  </r>
  <r>
    <x v="3"/>
    <x v="1"/>
    <x v="1"/>
    <n v="2775"/>
    <n v="2193614"/>
    <n v="1.2650000000000001E-3"/>
    <n v="0.99873500000000004"/>
    <n v="99891.018670000005"/>
    <n v="126.36"/>
    <n v="99827.837599999999"/>
    <n v="5387673.5310000004"/>
    <n v="53.935514949999998"/>
    <n v="0.998910187"/>
    <n v="-6.6726831568026537"/>
    <n v="1.2657792184753876E-3"/>
  </r>
  <r>
    <x v="3"/>
    <x v="2"/>
    <x v="1"/>
    <n v="2950"/>
    <n v="2219586"/>
    <n v="1.3290000000000001E-3"/>
    <n v="0.99867099999999998"/>
    <n v="99764.652960000007"/>
    <n v="132.59"/>
    <n v="99698.359349999999"/>
    <n v="5287845.693"/>
    <n v="53.003198390000001"/>
    <n v="0.99764653000000003"/>
    <n v="-6.6233284992510288"/>
    <n v="1.3299116048784997E-3"/>
  </r>
  <r>
    <x v="3"/>
    <x v="3"/>
    <x v="1"/>
    <n v="3142"/>
    <n v="2276330"/>
    <n v="1.3799999999999999E-3"/>
    <n v="0.99861999999999995"/>
    <n v="99632.058090000006"/>
    <n v="137.49"/>
    <n v="99563.311969999995"/>
    <n v="5188147.3339999998"/>
    <n v="52.073071990000003"/>
    <n v="0.99632058099999998"/>
    <n v="-6.5856717798130235"/>
    <n v="1.3809305593114752E-3"/>
  </r>
  <r>
    <x v="3"/>
    <x v="4"/>
    <x v="1"/>
    <n v="3378"/>
    <n v="2325404"/>
    <n v="1.4530000000000001E-3"/>
    <n v="0.99854699999999996"/>
    <n v="99494.536760000003"/>
    <n v="144.57"/>
    <n v="99422.253979999994"/>
    <n v="5088584.0219999999"/>
    <n v="51.144356139999999"/>
    <n v="0.994945368"/>
    <n v="-6.5341248943939911"/>
    <n v="1.4541007566711561E-3"/>
  </r>
  <r>
    <x v="3"/>
    <x v="5"/>
    <x v="1"/>
    <n v="3546"/>
    <n v="2365722"/>
    <n v="1.4989999999999999E-3"/>
    <n v="0.99850099999999997"/>
    <n v="99350.005940000003"/>
    <n v="148.93"/>
    <n v="99275.543109999999"/>
    <n v="4989161.7680000002"/>
    <n v="50.2180319"/>
    <n v="0.99350005900000005"/>
    <n v="-6.5029570598616768"/>
    <n v="1.5001680019691716E-3"/>
  </r>
  <r>
    <x v="3"/>
    <x v="6"/>
    <x v="1"/>
    <n v="3772"/>
    <n v="2421037"/>
    <n v="1.5579999999999999E-3"/>
    <n v="0.99844200000000005"/>
    <n v="99201.08941"/>
    <n v="154.56"/>
    <n v="99123.811759999997"/>
    <n v="4889886.2249999996"/>
    <n v="49.292666580000002"/>
    <n v="0.99201089399999998"/>
    <n v="-6.4643523315335809"/>
    <n v="1.5592620787611955E-3"/>
  </r>
  <r>
    <x v="3"/>
    <x v="7"/>
    <x v="1"/>
    <n v="4117"/>
    <n v="2451655"/>
    <n v="1.6789999999999999E-3"/>
    <n v="0.99832100000000001"/>
    <n v="99046.533110000004"/>
    <n v="166.3"/>
    <n v="98963.383549999999"/>
    <n v="4790762.4129999997"/>
    <n v="48.368804670000003"/>
    <n v="0.990465331"/>
    <n v="-6.389556900886733"/>
    <n v="1.6804197353546702E-3"/>
  </r>
  <r>
    <x v="3"/>
    <x v="8"/>
    <x v="1"/>
    <n v="4142"/>
    <n v="2439423"/>
    <n v="1.6980000000000001E-3"/>
    <n v="0.99830200000000002"/>
    <n v="98880.206860000006"/>
    <n v="167.9"/>
    <n v="98796.257559999998"/>
    <n v="4691799.0290000001"/>
    <n v="47.449324580000003"/>
    <n v="0.98880206900000001"/>
    <n v="-6.3783041910929814"/>
    <n v="1.6994570371714742E-3"/>
  </r>
  <r>
    <x v="3"/>
    <x v="9"/>
    <x v="1"/>
    <n v="4052"/>
    <n v="2341001"/>
    <n v="1.7309999999999999E-3"/>
    <n v="0.99826899999999996"/>
    <n v="98712.313959999999"/>
    <n v="170.87"/>
    <n v="98626.878450000004"/>
    <n v="4593002.7719999999"/>
    <n v="46.529177439999998"/>
    <n v="0.98712314000000001"/>
    <n v="-6.3590560027880647"/>
    <n v="1.732489081308725E-3"/>
  </r>
  <r>
    <x v="3"/>
    <x v="10"/>
    <x v="1"/>
    <n v="4198"/>
    <n v="2282299"/>
    <n v="1.8389999999999999E-3"/>
    <n v="0.99816099999999996"/>
    <n v="98541.454440000001"/>
    <n v="181.22"/>
    <n v="98450.845570000005"/>
    <n v="4494375.8930000002"/>
    <n v="45.608986790000003"/>
    <n v="0.98541454399999995"/>
    <n v="-6.2985333333599529"/>
    <n v="1.840715869950703E-3"/>
  </r>
  <r>
    <x v="3"/>
    <x v="11"/>
    <x v="1"/>
    <n v="4089"/>
    <n v="2241062"/>
    <n v="1.825E-3"/>
    <n v="0.99817500000000003"/>
    <n v="98360.199919999999"/>
    <n v="179.51"/>
    <n v="98270.446240000005"/>
    <n v="4395925.0480000004"/>
    <n v="44.692111760000003"/>
    <n v="0.983601999"/>
    <n v="-6.3061752919476826"/>
    <n v="1.8266932660416816E-3"/>
  </r>
  <r>
    <x v="3"/>
    <x v="12"/>
    <x v="1"/>
    <n v="4235"/>
    <n v="2245454"/>
    <n v="1.8860000000000001E-3"/>
    <n v="0.99811399999999995"/>
    <n v="98180.733730000007"/>
    <n v="185.17"/>
    <n v="98088.149300000005"/>
    <n v="4297654.602"/>
    <n v="43.772891469999998"/>
    <n v="0.981807337"/>
    <n v="-6.2732970947708715"/>
    <n v="1.8877917910597557E-3"/>
  </r>
  <r>
    <x v="3"/>
    <x v="13"/>
    <x v="1"/>
    <n v="4338"/>
    <n v="2252017"/>
    <n v="1.926E-3"/>
    <n v="0.99807400000000002"/>
    <n v="97995.56164"/>
    <n v="188.74"/>
    <n v="97901.191909999994"/>
    <n v="4199566.4519999996"/>
    <n v="42.854659759999997"/>
    <n v="0.97995561600000003"/>
    <n v="-6.2523099656062033"/>
    <n v="1.9278623898465476E-3"/>
  </r>
  <r>
    <x v="3"/>
    <x v="14"/>
    <x v="1"/>
    <n v="4375"/>
    <n v="2171039"/>
    <n v="2.0149999999999999E-3"/>
    <n v="0.99798500000000001"/>
    <n v="97806.795410000006"/>
    <n v="197.08"/>
    <n v="97708.255059999996"/>
    <n v="4101665.26"/>
    <n v="41.936403730000002"/>
    <n v="0.97806795400000002"/>
    <n v="-6.2071360835834906"/>
    <n v="2.0170252356426382E-3"/>
  </r>
  <r>
    <x v="3"/>
    <x v="15"/>
    <x v="1"/>
    <n v="4697"/>
    <n v="2195500"/>
    <n v="2.1389999999999998E-3"/>
    <n v="0.997861"/>
    <n v="97609.698659999995"/>
    <n v="208.79"/>
    <n v="97505.305089999994"/>
    <n v="4003957.0049999999"/>
    <n v="41.020073420000003"/>
    <n v="0.97609698700000003"/>
    <n v="-6.1474168488818686"/>
    <n v="2.1413197887078998E-3"/>
  </r>
  <r>
    <x v="3"/>
    <x v="16"/>
    <x v="1"/>
    <n v="4696"/>
    <n v="2185835"/>
    <n v="2.1480000000000002E-3"/>
    <n v="0.99785199999999996"/>
    <n v="97400.874819999997"/>
    <n v="209.22"/>
    <n v="97296.266279999996"/>
    <n v="3906451.7"/>
    <n v="40.106946749999999"/>
    <n v="0.97400874800000004"/>
    <n v="-6.1432181023355188"/>
    <n v="2.1503398598710188E-3"/>
  </r>
  <r>
    <x v="3"/>
    <x v="17"/>
    <x v="1"/>
    <n v="4879"/>
    <n v="2154545"/>
    <n v="2.2650000000000001E-3"/>
    <n v="0.99773500000000004"/>
    <n v="97191.620909999998"/>
    <n v="220.14"/>
    <n v="97081.551399999997"/>
    <n v="3809155.4339999999"/>
    <n v="39.192220460000001"/>
    <n v="0.97191620899999998"/>
    <n v="-6.0901805200471397"/>
    <n v="2.2675775510512999E-3"/>
  </r>
  <r>
    <x v="3"/>
    <x v="18"/>
    <x v="1"/>
    <n v="5124"/>
    <n v="2201174"/>
    <n v="2.3280000000000002E-3"/>
    <n v="0.997672"/>
    <n v="96971.529009999998"/>
    <n v="225.75"/>
    <n v="96858.654150000002"/>
    <n v="3712073.8820000002"/>
    <n v="38.280038689999998"/>
    <n v="0.96971529000000001"/>
    <n v="-6.0627457491129455"/>
    <n v="2.3307156689849648E-3"/>
  </r>
  <r>
    <x v="3"/>
    <x v="19"/>
    <x v="1"/>
    <n v="5127"/>
    <n v="2053136"/>
    <n v="2.4970000000000001E-3"/>
    <n v="0.99750300000000003"/>
    <n v="96745.793959999995"/>
    <n v="241.57"/>
    <n v="96625.006840000002"/>
    <n v="3615215.2280000001"/>
    <n v="37.36819019"/>
    <n v="0.96745793999999996"/>
    <n v="-5.9926652676845009"/>
    <n v="2.500077637516725E-3"/>
  </r>
  <r>
    <x v="3"/>
    <x v="20"/>
    <x v="1"/>
    <n v="5040"/>
    <n v="2008548"/>
    <n v="2.5089999999999999E-3"/>
    <n v="0.99749100000000002"/>
    <n v="96504.204660000003"/>
    <n v="242.13"/>
    <n v="96383.140140000003"/>
    <n v="3518590.2220000001"/>
    <n v="36.460486189999997"/>
    <n v="0.96504204699999996"/>
    <n v="-5.9878710115978517"/>
    <n v="2.5121617020873815E-3"/>
  </r>
  <r>
    <x v="3"/>
    <x v="21"/>
    <x v="1"/>
    <n v="5198"/>
    <n v="1979715"/>
    <n v="2.6259999999999999E-3"/>
    <n v="0.99737399999999998"/>
    <n v="96262.049039999998"/>
    <n v="252.78"/>
    <n v="96135.656969999996"/>
    <n v="3422207.0809999998"/>
    <n v="35.550947809999997"/>
    <n v="0.96262049000000005"/>
    <n v="-5.9422935031015323"/>
    <n v="2.6294089123959983E-3"/>
  </r>
  <r>
    <x v="3"/>
    <x v="22"/>
    <x v="1"/>
    <n v="5196"/>
    <n v="1920426"/>
    <n v="2.7060000000000001E-3"/>
    <n v="0.99729400000000001"/>
    <n v="96009.300470000002"/>
    <n v="259.8"/>
    <n v="95879.399890000001"/>
    <n v="3326071.4240000001"/>
    <n v="34.643221109999999"/>
    <n v="0.96009300500000005"/>
    <n v="-5.9122837492335405"/>
    <n v="2.709653530740052E-3"/>
  </r>
  <r>
    <x v="3"/>
    <x v="23"/>
    <x v="1"/>
    <n v="5489"/>
    <n v="1980368"/>
    <n v="2.7720000000000002E-3"/>
    <n v="0.997228"/>
    <n v="95749.532940000005"/>
    <n v="265.42"/>
    <n v="95616.824089999995"/>
    <n v="3230192.0249999999"/>
    <n v="33.735851500000003"/>
    <n v="0.95749532900000001"/>
    <n v="-5.8881861976544805"/>
    <n v="2.7758709161105513E-3"/>
  </r>
  <r>
    <x v="3"/>
    <x v="24"/>
    <x v="1"/>
    <n v="5930"/>
    <n v="1908353"/>
    <n v="3.107E-3"/>
    <n v="0.99689300000000003"/>
    <n v="95484.143280000004"/>
    <n v="296.67"/>
    <n v="95335.808659999995"/>
    <n v="3134575.2"/>
    <n v="32.828227730000002"/>
    <n v="0.95484143300000002"/>
    <n v="-5.7740976485712263"/>
    <n v="3.1118428881048267E-3"/>
  </r>
  <r>
    <x v="3"/>
    <x v="25"/>
    <x v="1"/>
    <n v="6477"/>
    <n v="1928049"/>
    <n v="3.359E-3"/>
    <n v="0.996641"/>
    <n v="95187.436660000007"/>
    <n v="319.73"/>
    <n v="95027.569359999994"/>
    <n v="3039239.392"/>
    <n v="31.928997129999999"/>
    <n v="0.95187436700000005"/>
    <n v="-5.696111968351981"/>
    <n v="3.3646031242743628E-3"/>
  </r>
  <r>
    <x v="3"/>
    <x v="26"/>
    <x v="1"/>
    <n v="7310"/>
    <n v="2015066"/>
    <n v="3.6280000000000001E-3"/>
    <n v="0.99637200000000004"/>
    <n v="94867.668319999997"/>
    <n v="344.18"/>
    <n v="94695.578370000003"/>
    <n v="2944211.8220000002"/>
    <n v="31.034933970000001"/>
    <n v="0.94867668299999997"/>
    <n v="-5.6190737467292466"/>
    <n v="3.6345936052717019E-3"/>
  </r>
  <r>
    <x v="3"/>
    <x v="27"/>
    <x v="1"/>
    <n v="8172"/>
    <n v="2125627"/>
    <n v="3.8449999999999999E-3"/>
    <n v="0.99615500000000001"/>
    <n v="94523.519459999996"/>
    <n v="363.44"/>
    <n v="94341.797990000006"/>
    <n v="2849516.2439999999"/>
    <n v="30.14610819"/>
    <n v="0.94523519499999997"/>
    <n v="-5.5609816760245296"/>
    <n v="3.8523742286434206E-3"/>
  </r>
  <r>
    <x v="3"/>
    <x v="28"/>
    <x v="1"/>
    <n v="8719"/>
    <n v="2157491"/>
    <n v="4.0410000000000003E-3"/>
    <n v="0.99595900000000004"/>
    <n v="94160.122589999999"/>
    <n v="380.5"/>
    <n v="93969.872059999994"/>
    <n v="2755174.446"/>
    <n v="29.26052314"/>
    <n v="0.94160122599999996"/>
    <n v="-5.5112630928858"/>
    <n v="4.0491706841749827E-3"/>
  </r>
  <r>
    <x v="3"/>
    <x v="29"/>
    <x v="1"/>
    <n v="9291"/>
    <n v="2037762"/>
    <n v="4.5589999999999997E-3"/>
    <n v="0.99544100000000002"/>
    <n v="93779.596269999995"/>
    <n v="427.54"/>
    <n v="93565.825679999994"/>
    <n v="2661204.574"/>
    <n v="28.377223619999999"/>
    <n v="0.93779596300000001"/>
    <n v="-5.3906519777508324"/>
    <n v="4.5694043259534344E-3"/>
  </r>
  <r>
    <x v="3"/>
    <x v="30"/>
    <x v="1"/>
    <n v="9701"/>
    <n v="1989936"/>
    <n v="4.875E-3"/>
    <n v="0.99512500000000004"/>
    <n v="93352.016300000003"/>
    <n v="455.09"/>
    <n v="93124.470759999997"/>
    <n v="2567638.7480000001"/>
    <n v="27.50490937"/>
    <n v="0.93352016299999996"/>
    <n v="-5.3236351745323267"/>
    <n v="4.886900332387349E-3"/>
  </r>
  <r>
    <x v="3"/>
    <x v="31"/>
    <x v="1"/>
    <n v="10605"/>
    <n v="1982590"/>
    <n v="5.3489999999999996E-3"/>
    <n v="0.99465099999999995"/>
    <n v="92896.922309999994"/>
    <n v="496.91"/>
    <n v="92648.469490000003"/>
    <n v="2474514.2779999999"/>
    <n v="26.63720408"/>
    <n v="0.92896922299999996"/>
    <n v="-5.2308456514330244"/>
    <n v="5.3633915226463172E-3"/>
  </r>
  <r>
    <x v="3"/>
    <x v="32"/>
    <x v="1"/>
    <n v="11936"/>
    <n v="2016677"/>
    <n v="5.9189999999999998E-3"/>
    <n v="0.99408099999999999"/>
    <n v="92400.010760000005"/>
    <n v="546.91999999999996"/>
    <n v="92126.552930000005"/>
    <n v="2381865.8080000002"/>
    <n v="25.777765479999999"/>
    <n v="0.92400010799999999"/>
    <n v="-5.1295877632735492"/>
    <n v="5.9366152960059169E-3"/>
  </r>
  <r>
    <x v="3"/>
    <x v="33"/>
    <x v="1"/>
    <n v="13554"/>
    <n v="2131415"/>
    <n v="6.3590000000000001E-3"/>
    <n v="0.993641"/>
    <n v="91853.127680000005"/>
    <n v="584.09"/>
    <n v="91561.080660000007"/>
    <n v="2289739.2549999999"/>
    <n v="24.928266600000001"/>
    <n v="0.91853127700000003"/>
    <n v="-5.0578841466968667"/>
    <n v="6.3792393165443568E-3"/>
  </r>
  <r>
    <x v="3"/>
    <x v="34"/>
    <x v="1"/>
    <n v="15265"/>
    <n v="2156589"/>
    <n v="7.0780000000000001E-3"/>
    <n v="0.99292199999999997"/>
    <n v="91269.019339999999"/>
    <n v="646"/>
    <n v="90946.018280000004"/>
    <n v="2198178.1740000001"/>
    <n v="24.084603850000001"/>
    <n v="0.91269019299999998"/>
    <n v="-4.9507638970588657"/>
    <n v="7.1031158029133531E-3"/>
  </r>
  <r>
    <x v="3"/>
    <x v="35"/>
    <x v="1"/>
    <n v="16734"/>
    <n v="2145020"/>
    <n v="7.8009999999999998E-3"/>
    <n v="0.99219900000000005"/>
    <n v="90622.989159999997"/>
    <n v="706.95"/>
    <n v="90269.514190000002"/>
    <n v="2107232.156"/>
    <n v="23.25273284"/>
    <n v="0.90622989200000004"/>
    <n v="-4.8535033483759609"/>
    <n v="7.831548911904249E-3"/>
  </r>
  <r>
    <x v="3"/>
    <x v="36"/>
    <x v="1"/>
    <n v="18158"/>
    <n v="2132558"/>
    <n v="8.515E-3"/>
    <n v="0.99148499999999995"/>
    <n v="89916.009690000006"/>
    <n v="765.63"/>
    <n v="89533.192280000003"/>
    <n v="2016962.642"/>
    <n v="22.431629789999999"/>
    <n v="0.89916009699999999"/>
    <n v="-4.7659259648674857"/>
    <n v="8.5513522826989787E-3"/>
  </r>
  <r>
    <x v="3"/>
    <x v="37"/>
    <x v="1"/>
    <n v="19889"/>
    <n v="2148167"/>
    <n v="9.2589999999999999E-3"/>
    <n v="0.99074099999999998"/>
    <n v="89150.405700000003"/>
    <n v="825.44"/>
    <n v="88737.683900000004"/>
    <n v="1927429.45"/>
    <n v="21.619973959999999"/>
    <n v="0.89150405700000002"/>
    <n v="-4.6821592275162267"/>
    <n v="9.3020213537167943E-3"/>
  </r>
  <r>
    <x v="3"/>
    <x v="38"/>
    <x v="1"/>
    <n v="21133"/>
    <n v="2165907"/>
    <n v="9.757E-3"/>
    <n v="0.99024299999999998"/>
    <n v="88324.998540000001"/>
    <n v="861.79"/>
    <n v="87894.105030000006"/>
    <n v="1838691.7660000001"/>
    <n v="20.81734273"/>
    <n v="0.88324998499999996"/>
    <n v="-4.6297703028563237"/>
    <n v="9.8048674445364303E-3"/>
  </r>
  <r>
    <x v="3"/>
    <x v="39"/>
    <x v="1"/>
    <n v="22347"/>
    <n v="2077675"/>
    <n v="1.0756E-2"/>
    <n v="0.98924400000000001"/>
    <n v="87463.201530000006"/>
    <n v="940.75"/>
    <n v="86992.824429999993"/>
    <n v="1750797.6610000001"/>
    <n v="20.01753458"/>
    <n v="0.87463201499999998"/>
    <n v="-4.5322915405755184"/>
    <n v="1.0814109079361407E-2"/>
  </r>
  <r>
    <x v="3"/>
    <x v="40"/>
    <x v="1"/>
    <n v="23537"/>
    <n v="2054540"/>
    <n v="1.1455999999999999E-2"/>
    <n v="0.98854399999999998"/>
    <n v="86522.467210000003"/>
    <n v="991.2"/>
    <n v="86026.866519999996"/>
    <n v="1663804.8359999999"/>
    <n v="19.229743330000002"/>
    <n v="0.86522467199999997"/>
    <n v="-4.4692416687638472"/>
    <n v="1.1521982447191428E-2"/>
  </r>
  <r>
    <x v="3"/>
    <x v="41"/>
    <x v="1"/>
    <n v="25083"/>
    <n v="2018812"/>
    <n v="1.2425E-2"/>
    <n v="0.98757499999999998"/>
    <n v="85531.257840000006"/>
    <n v="1062.73"/>
    <n v="84999.894899999999"/>
    <n v="1577777.97"/>
    <n v="18.446799559999999"/>
    <n v="0.85531257800000005"/>
    <n v="-4.3880447069994446"/>
    <n v="1.250271903889064E-2"/>
  </r>
  <r>
    <x v="3"/>
    <x v="42"/>
    <x v="1"/>
    <n v="26097"/>
    <n v="1933853"/>
    <n v="1.3495E-2"/>
    <n v="0.98650499999999997"/>
    <n v="84468.563269999999"/>
    <n v="1139.9000000000001"/>
    <n v="83898.611640000003"/>
    <n v="1492778.075"/>
    <n v="17.672587490000002"/>
    <n v="0.84468563299999999"/>
    <n v="-4.3054360325121692"/>
    <n v="1.3586636000321685E-2"/>
  </r>
  <r>
    <x v="3"/>
    <x v="43"/>
    <x v="1"/>
    <n v="27437"/>
    <n v="1908640"/>
    <n v="1.4375000000000001E-2"/>
    <n v="0.98562499999999997"/>
    <n v="83328.675130000003"/>
    <n v="1197.8499999999999"/>
    <n v="82729.750279999993"/>
    <n v="1408879.463"/>
    <n v="16.907498660000002"/>
    <n v="0.83328675100000005"/>
    <n v="-4.2422646922987228"/>
    <n v="1.4479073015254943E-2"/>
  </r>
  <r>
    <x v="3"/>
    <x v="44"/>
    <x v="1"/>
    <n v="27858"/>
    <n v="1813691"/>
    <n v="1.536E-2"/>
    <n v="0.98463999999999996"/>
    <n v="82130.812330000001"/>
    <n v="1261.53"/>
    <n v="81500.047690000007"/>
    <n v="1326149.713"/>
    <n v="16.146798929999999"/>
    <n v="0.821308123"/>
    <n v="-4.1759885512626109"/>
    <n v="1.5478885384048759E-2"/>
  </r>
  <r>
    <x v="3"/>
    <x v="45"/>
    <x v="1"/>
    <n v="28364"/>
    <n v="1734093"/>
    <n v="1.6357E-2"/>
    <n v="0.98364300000000005"/>
    <n v="80869.296359999993"/>
    <n v="1322.78"/>
    <n v="80207.906820000004"/>
    <n v="1244649.665"/>
    <n v="15.390880360000001"/>
    <n v="0.80869296400000001"/>
    <n v="-4.1130993387057488"/>
    <n v="1.6491887613982806E-2"/>
  </r>
  <r>
    <x v="3"/>
    <x v="46"/>
    <x v="1"/>
    <n v="29154"/>
    <n v="1658451"/>
    <n v="1.7579000000000001E-2"/>
    <n v="0.98242099999999999"/>
    <n v="79546.543350000007"/>
    <n v="1398.35"/>
    <n v="78847.369009999995"/>
    <n v="1164441.7590000001"/>
    <n v="14.63849602"/>
    <n v="0.79546543400000003"/>
    <n v="-4.0410502711643828"/>
    <n v="1.7734897889127486E-2"/>
  </r>
  <r>
    <x v="3"/>
    <x v="47"/>
    <x v="1"/>
    <n v="29459"/>
    <n v="1595396"/>
    <n v="1.8464999999999999E-2"/>
    <n v="0.98153500000000005"/>
    <n v="78148.190359999993"/>
    <n v="1443.01"/>
    <n v="77426.687189999997"/>
    <n v="1085594.389"/>
    <n v="13.89148468"/>
    <n v="0.78148190399999995"/>
    <n v="-3.9918782306776106"/>
    <n v="1.8637114130036835E-2"/>
  </r>
  <r>
    <x v="3"/>
    <x v="48"/>
    <x v="1"/>
    <n v="29869"/>
    <n v="1552348"/>
    <n v="1.9241000000000001E-2"/>
    <n v="0.98075900000000005"/>
    <n v="76705.183390000006"/>
    <n v="1475.88"/>
    <n v="75967.241169999994"/>
    <n v="1008167.702"/>
    <n v="13.143410360000001"/>
    <n v="0.76705183399999999"/>
    <n v="-3.9507118600432576"/>
    <n v="1.9427849528620034E-2"/>
  </r>
  <r>
    <x v="3"/>
    <x v="49"/>
    <x v="1"/>
    <n v="31702"/>
    <n v="1494525"/>
    <n v="2.1212000000000002E-2"/>
    <n v="0.97878799999999999"/>
    <n v="75229.285510000002"/>
    <n v="1595.76"/>
    <n v="74431.403709999999"/>
    <n v="932200.46109999996"/>
    <n v="12.39145706"/>
    <n v="0.75229285499999998"/>
    <n v="-3.8531882197072536"/>
    <n v="2.1439338688717328E-2"/>
  </r>
  <r>
    <x v="3"/>
    <x v="50"/>
    <x v="1"/>
    <n v="33290"/>
    <n v="1469752"/>
    <n v="2.265E-2"/>
    <n v="0.97735000000000005"/>
    <n v="73633.515079999997"/>
    <n v="1667.8"/>
    <n v="72799.615520000007"/>
    <n v="857769.05740000005"/>
    <n v="11.649166230000001"/>
    <n v="0.73633515100000002"/>
    <n v="-3.7875954270530938"/>
    <n v="2.290946257512972E-2"/>
  </r>
  <r>
    <x v="3"/>
    <x v="51"/>
    <x v="1"/>
    <n v="36251"/>
    <n v="1522210"/>
    <n v="2.3814999999999999E-2"/>
    <n v="0.97618499999999997"/>
    <n v="71965.710089999993"/>
    <n v="1713.86"/>
    <n v="71108.778399999996"/>
    <n v="784969.44189999998"/>
    <n v="10.907548070000001"/>
    <n v="0.71965710100000002"/>
    <n v="-3.7374396447293132"/>
    <n v="2.4101943430393631E-2"/>
  </r>
  <r>
    <x v="3"/>
    <x v="52"/>
    <x v="1"/>
    <n v="30308"/>
    <n v="1106964"/>
    <n v="2.7379000000000001E-2"/>
    <n v="0.97262099999999996"/>
    <n v="70251.86709"/>
    <n v="1923.43"/>
    <n v="69290.154160000006"/>
    <n v="713860.66350000002"/>
    <n v="10.161447559999999"/>
    <n v="0.70251867099999998"/>
    <n v="-3.5979789827983115"/>
    <n v="2.7759072044051213E-2"/>
  </r>
  <r>
    <x v="3"/>
    <x v="53"/>
    <x v="1"/>
    <n v="31179"/>
    <n v="1078210"/>
    <n v="2.8917000000000002E-2"/>
    <n v="0.97108300000000003"/>
    <n v="68328.413759999996"/>
    <n v="1975.85"/>
    <n v="67340.487389999995"/>
    <n v="644570.50930000003"/>
    <n v="9.4334183080000003"/>
    <n v="0.68328413799999999"/>
    <n v="-3.5433256215121962"/>
    <n v="2.9341195019527175E-2"/>
  </r>
  <r>
    <x v="3"/>
    <x v="54"/>
    <x v="1"/>
    <n v="33335"/>
    <n v="1034136"/>
    <n v="3.2235E-2"/>
    <n v="0.96776499999999999"/>
    <n v="66352.535579999996"/>
    <n v="2138.87"/>
    <n v="65283.098590000001"/>
    <n v="577230.022"/>
    <n v="8.6994418059999994"/>
    <n v="0.66352535599999996"/>
    <n v="-3.4347024602195537"/>
    <n v="3.2762991543044594E-2"/>
  </r>
  <r>
    <x v="3"/>
    <x v="55"/>
    <x v="1"/>
    <n v="36291"/>
    <n v="1042460"/>
    <n v="3.4812999999999997E-2"/>
    <n v="0.96518700000000002"/>
    <n v="64213.685590000001"/>
    <n v="2235.4699999999998"/>
    <n v="63095.950069999999"/>
    <n v="511946.92340000003"/>
    <n v="7.9725516250000004"/>
    <n v="0.64213685600000003"/>
    <n v="-3.3577643987406849"/>
    <n v="3.5429688004563836E-2"/>
  </r>
  <r>
    <x v="3"/>
    <x v="56"/>
    <x v="1"/>
    <n v="34251"/>
    <n v="890943"/>
    <n v="3.8443999999999999E-2"/>
    <n v="0.96155599999999997"/>
    <n v="61978.224410000003"/>
    <n v="2382.69"/>
    <n v="60786.878980000001"/>
    <n v="448850.97330000001"/>
    <n v="7.2420753830000004"/>
    <n v="0.61978224400000004"/>
    <n v="-3.2585526420210993"/>
    <n v="3.9197430058957955E-2"/>
  </r>
  <r>
    <x v="3"/>
    <x v="57"/>
    <x v="1"/>
    <n v="33845"/>
    <n v="795142"/>
    <n v="4.2564999999999999E-2"/>
    <n v="0.95743500000000004"/>
    <n v="59595.562259999999"/>
    <n v="2536.69"/>
    <n v="58327.219709999998"/>
    <n v="388064.0943"/>
    <n v="6.5116273700000002"/>
    <n v="0.59595562300000005"/>
    <n v="-3.1567229596461166"/>
    <n v="4.3490666202742452E-2"/>
  </r>
  <r>
    <x v="3"/>
    <x v="58"/>
    <x v="1"/>
    <n v="33257"/>
    <n v="736686"/>
    <n v="4.5143999999999997E-2"/>
    <n v="0.95485600000000004"/>
    <n v="57058.893580000004"/>
    <n v="2575.87"/>
    <n v="55770.960229999997"/>
    <n v="329736.87459999998"/>
    <n v="5.7788865840000003"/>
    <n v="0.57058893600000005"/>
    <n v="-3.0978978983152983"/>
    <n v="4.6186583011438208E-2"/>
  </r>
  <r>
    <x v="3"/>
    <x v="59"/>
    <x v="1"/>
    <n v="34328"/>
    <n v="679443"/>
    <n v="5.0523999999999999E-2"/>
    <n v="0.94947599999999999"/>
    <n v="54483.023229999999"/>
    <n v="2752.7"/>
    <n v="53106.6731"/>
    <n v="273965.91440000001"/>
    <n v="5.0284638800000003"/>
    <n v="0.54483023200000003"/>
    <n v="-2.9853068080704084"/>
    <n v="5.1833403774440102E-2"/>
  </r>
  <r>
    <x v="3"/>
    <x v="60"/>
    <x v="1"/>
    <n v="35018"/>
    <n v="630172"/>
    <n v="5.5569E-2"/>
    <n v="0.94443100000000002"/>
    <n v="51730.337249999997"/>
    <n v="2874.6"/>
    <n v="50293.035689999997"/>
    <n v="220859.24129999999"/>
    <n v="4.2694336249999996"/>
    <n v="0.51730337299999996"/>
    <n v="-2.8901297871734415"/>
    <n v="5.7157017762620353E-2"/>
  </r>
  <r>
    <x v="3"/>
    <x v="61"/>
    <x v="1"/>
    <n v="34624"/>
    <n v="561875"/>
    <n v="6.1622000000000003E-2"/>
    <n v="0.93837800000000005"/>
    <n v="48855.736429999997"/>
    <n v="3010.59"/>
    <n v="47350.442329999998"/>
    <n v="170566.20559999999"/>
    <n v="3.491221667"/>
    <n v="0.48855736399999999"/>
    <n v="-2.7867363293458496"/>
    <n v="6.3581040329294708E-2"/>
  </r>
  <r>
    <x v="3"/>
    <x v="62"/>
    <x v="1"/>
    <n v="35372"/>
    <n v="517114"/>
    <n v="6.8403000000000005E-2"/>
    <n v="0.93159700000000001"/>
    <n v="45845.136169999998"/>
    <n v="3135.94"/>
    <n v="44277.16375"/>
    <n v="123215.76330000001"/>
    <n v="2.6876518109999998"/>
    <n v="0.45845136199999997"/>
    <n v="-2.6823385956663155"/>
    <n v="7.0825212523997705E-2"/>
  </r>
  <r>
    <x v="3"/>
    <x v="63"/>
    <x v="1"/>
    <n v="35491"/>
    <n v="474179"/>
    <n v="7.4846999999999997E-2"/>
    <n v="0.925153"/>
    <n v="42709.204530000003"/>
    <n v="3196.66"/>
    <n v="41110.876609999999"/>
    <n v="78938.59951"/>
    <n v="1.848280725"/>
    <n v="0.42709204499999998"/>
    <n v="-2.5923092490800514"/>
    <n v="7.7757048718876065E-2"/>
  </r>
  <r>
    <x v="3"/>
    <x v="64"/>
    <x v="1"/>
    <n v="34711"/>
    <n v="407026"/>
    <n v="8.5279999999999995E-2"/>
    <n v="0.91471999999999998"/>
    <n v="39512.537490000002"/>
    <n v="3369.63"/>
    <n v="37827.722889999997"/>
    <n v="37827.722889999997"/>
    <n v="0.95735999999999999"/>
    <n v="0.395125375"/>
    <n v="-2.4618153185646028"/>
    <n v="4.8305766071261212E-2"/>
  </r>
  <r>
    <x v="3"/>
    <x v="0"/>
    <x v="2"/>
    <n v="3273"/>
    <n v="4273822"/>
    <n v="7.6599999999999997E-4"/>
    <n v="0.99923399999999996"/>
    <n v="100000"/>
    <n v="76.599999999999994"/>
    <n v="99961.7"/>
    <n v="5662426.3219999997"/>
    <n v="56.624263220000003"/>
    <n v="1"/>
    <n v="-7.1743283882236826"/>
    <n v="7.6629342336879025E-4"/>
  </r>
  <r>
    <x v="3"/>
    <x v="1"/>
    <x v="2"/>
    <n v="3721"/>
    <n v="4292514"/>
    <n v="8.6700000000000004E-4"/>
    <n v="0.99913300000000005"/>
    <n v="99923.417490000007"/>
    <n v="86.63"/>
    <n v="99880.100690000007"/>
    <n v="5562464.6220000004"/>
    <n v="55.667277609999999"/>
    <n v="0.999234175"/>
    <n v="-7.0504715811837322"/>
    <n v="8.6733987298530022E-4"/>
  </r>
  <r>
    <x v="3"/>
    <x v="2"/>
    <x v="2"/>
    <n v="3960"/>
    <n v="4334743"/>
    <n v="9.1399999999999999E-4"/>
    <n v="0.99908600000000003"/>
    <n v="99836.798079999993"/>
    <n v="91.25"/>
    <n v="99791.172659999997"/>
    <n v="5462584.5209999997"/>
    <n v="54.715141369999998"/>
    <n v="0.99836798100000002"/>
    <n v="-6.997679986510124"/>
    <n v="9.1440933075715076E-4"/>
  </r>
  <r>
    <x v="3"/>
    <x v="3"/>
    <x v="2"/>
    <n v="4252"/>
    <n v="4438724"/>
    <n v="9.5799999999999998E-4"/>
    <n v="0.99904199999999999"/>
    <n v="99745.592279999997"/>
    <n v="95.56"/>
    <n v="99697.814140000002"/>
    <n v="5362793.3480000002"/>
    <n v="53.764715070000001"/>
    <n v="0.99745592299999997"/>
    <n v="-6.9506627799934133"/>
    <n v="9.5849640855355175E-4"/>
  </r>
  <r>
    <x v="3"/>
    <x v="4"/>
    <x v="2"/>
    <n v="4568"/>
    <n v="4533776"/>
    <n v="1.008E-3"/>
    <n v="0.99899199999999999"/>
    <n v="99650.042690000002"/>
    <n v="100.45"/>
    <n v="99599.819069999998"/>
    <n v="5263095.534"/>
    <n v="52.815788050000002"/>
    <n v="0.99650042699999997"/>
    <n v="-6.8997871093329604"/>
    <n v="1.0085357409382076E-3"/>
  </r>
  <r>
    <x v="3"/>
    <x v="5"/>
    <x v="2"/>
    <n v="4844"/>
    <n v="4606281"/>
    <n v="1.052E-3"/>
    <n v="0.99894799999999995"/>
    <n v="99549.640419999996"/>
    <n v="104.73"/>
    <n v="99497.277310000005"/>
    <n v="5163495.7149999999"/>
    <n v="51.868552139999998"/>
    <n v="0.99549640399999995"/>
    <n v="-6.857062164666619"/>
    <n v="1.0525914102813732E-3"/>
  </r>
  <r>
    <x v="3"/>
    <x v="6"/>
    <x v="2"/>
    <n v="5230"/>
    <n v="4728714"/>
    <n v="1.106E-3"/>
    <n v="0.99889399999999995"/>
    <n v="99444.953259999995"/>
    <n v="109.99"/>
    <n v="99389.960200000001"/>
    <n v="5063998.4380000001"/>
    <n v="50.922628770000003"/>
    <n v="0.99444953300000005"/>
    <n v="-6.8070053758819942"/>
    <n v="1.1066510165171236E-3"/>
  </r>
  <r>
    <x v="3"/>
    <x v="7"/>
    <x v="2"/>
    <n v="5699"/>
    <n v="4813980"/>
    <n v="1.1839999999999999E-3"/>
    <n v="0.99881600000000004"/>
    <n v="99334.966260000001"/>
    <n v="117.61"/>
    <n v="99276.159960000005"/>
    <n v="4964608.477"/>
    <n v="49.97845839"/>
    <n v="0.99334966300000005"/>
    <n v="-6.7388567425203227"/>
    <n v="1.1846750605010159E-3"/>
  </r>
  <r>
    <x v="3"/>
    <x v="8"/>
    <x v="2"/>
    <n v="5829"/>
    <n v="4801711"/>
    <n v="1.214E-3"/>
    <n v="0.99878599999999995"/>
    <n v="99217.369179999994"/>
    <n v="120.45"/>
    <n v="99157.144239999994"/>
    <n v="4865332.318"/>
    <n v="49.037102650000001"/>
    <n v="0.99217369200000005"/>
    <n v="-6.7138345863448308"/>
    <n v="1.2147384583233939E-3"/>
  </r>
  <r>
    <x v="3"/>
    <x v="9"/>
    <x v="2"/>
    <n v="5859"/>
    <n v="4611070"/>
    <n v="1.271E-3"/>
    <n v="0.99872899999999998"/>
    <n v="99096.925019999995"/>
    <n v="125.95"/>
    <n v="99033.948919999995"/>
    <n v="4766175.1730000004"/>
    <n v="48.09609554"/>
    <n v="0.99096925000000002"/>
    <n v="-6.6679512867748203"/>
    <n v="1.2717858728746286E-3"/>
  </r>
  <r>
    <x v="3"/>
    <x v="10"/>
    <x v="2"/>
    <n v="6100"/>
    <n v="4501282"/>
    <n v="1.3550000000000001E-3"/>
    <n v="0.998645"/>
    <n v="98971.008719999998"/>
    <n v="134.11000000000001"/>
    <n v="98903.955860000002"/>
    <n v="4667141.2240000004"/>
    <n v="47.156650059999997"/>
    <n v="0.98971008699999996"/>
    <n v="-6.603953824650473"/>
    <n v="1.3559620563567403E-3"/>
  </r>
  <r>
    <x v="3"/>
    <x v="11"/>
    <x v="2"/>
    <n v="5959"/>
    <n v="4421549"/>
    <n v="1.348E-3"/>
    <n v="0.99865199999999998"/>
    <n v="98836.886230000004"/>
    <n v="133.22999999999999"/>
    <n v="98770.270170000003"/>
    <n v="4568237.2690000003"/>
    <n v="46.219963440000001"/>
    <n v="0.98836886199999996"/>
    <n v="-6.6091332664920222"/>
    <n v="1.3488874836573106E-3"/>
  </r>
  <r>
    <x v="3"/>
    <x v="12"/>
    <x v="2"/>
    <n v="6299"/>
    <n v="4433749"/>
    <n v="1.421E-3"/>
    <n v="0.99857899999999999"/>
    <n v="98703.682000000001"/>
    <n v="140.26"/>
    <n v="98633.553029999995"/>
    <n v="4469466.9979999997"/>
    <n v="45.28166435"/>
    <n v="0.98703682000000004"/>
    <n v="-6.5563944298671739"/>
    <n v="1.422031085743603E-3"/>
  </r>
  <r>
    <x v="3"/>
    <x v="13"/>
    <x v="2"/>
    <n v="6478"/>
    <n v="4461246"/>
    <n v="1.4519999999999999E-3"/>
    <n v="0.99854799999999999"/>
    <n v="98563.454289999994"/>
    <n v="143.11000000000001"/>
    <n v="98491.897219999999"/>
    <n v="4370833.4450000003"/>
    <n v="44.345376049999999"/>
    <n v="0.98563454299999997"/>
    <n v="-6.5348133625795324"/>
    <n v="1.4530129724767708E-3"/>
  </r>
  <r>
    <x v="3"/>
    <x v="14"/>
    <x v="2"/>
    <n v="6547"/>
    <n v="4318192"/>
    <n v="1.516E-3"/>
    <n v="0.99848400000000004"/>
    <n v="98420.334170000002"/>
    <n v="149.21"/>
    <n v="98345.73156"/>
    <n v="4272341.5480000004"/>
    <n v="43.40913475"/>
    <n v="0.98420334200000004"/>
    <n v="-6.4916799917619574"/>
    <n v="1.5171986457870263E-3"/>
  </r>
  <r>
    <x v="3"/>
    <x v="15"/>
    <x v="2"/>
    <n v="7090"/>
    <n v="4376401"/>
    <n v="1.6199999999999999E-3"/>
    <n v="0.99838000000000005"/>
    <n v="98271.114790000007"/>
    <n v="159.19999999999999"/>
    <n v="98191.515190000006"/>
    <n v="4173995.8169999998"/>
    <n v="42.474289880000001"/>
    <n v="0.98271114800000003"/>
    <n v="-6.4253291297378441"/>
    <n v="1.6213213931078601E-3"/>
  </r>
  <r>
    <x v="3"/>
    <x v="16"/>
    <x v="2"/>
    <n v="7205"/>
    <n v="4366923"/>
    <n v="1.65E-3"/>
    <n v="0.99834999999999996"/>
    <n v="98111.910409999997"/>
    <n v="161.88"/>
    <n v="98030.968080000006"/>
    <n v="4075804.301"/>
    <n v="41.54240076"/>
    <n v="0.98111910400000002"/>
    <n v="-6.4069799910696474"/>
    <n v="1.6513148377346714E-3"/>
  </r>
  <r>
    <x v="3"/>
    <x v="17"/>
    <x v="2"/>
    <n v="7463"/>
    <n v="4313086"/>
    <n v="1.73E-3"/>
    <n v="0.99826999999999999"/>
    <n v="97950.035260000004"/>
    <n v="169.45"/>
    <n v="97865.308480000007"/>
    <n v="3977773.3330000001"/>
    <n v="40.6102287"/>
    <n v="0.97950035300000005"/>
    <n v="-6.3596338704724493"/>
    <n v="1.7314616322327207E-3"/>
  </r>
  <r>
    <x v="3"/>
    <x v="18"/>
    <x v="2"/>
    <n v="7835"/>
    <n v="4391406"/>
    <n v="1.784E-3"/>
    <n v="0.99821599999999999"/>
    <n v="97780.550789999994"/>
    <n v="174.44"/>
    <n v="97693.330539999995"/>
    <n v="3879908.0249999999"/>
    <n v="39.679752190000002"/>
    <n v="0.97780550799999999"/>
    <n v="-6.3288972448243195"/>
    <n v="1.7855877529031185E-3"/>
  </r>
  <r>
    <x v="3"/>
    <x v="19"/>
    <x v="2"/>
    <n v="8024"/>
    <n v="4115771"/>
    <n v="1.9499999999999999E-3"/>
    <n v="0.99804999999999999"/>
    <n v="97606.093989999994"/>
    <n v="190.33"/>
    <n v="97510.928050000002"/>
    <n v="3782214.6940000001"/>
    <n v="38.749780260000001"/>
    <n v="0.97606093999999999"/>
    <n v="-6.2399259064064818"/>
    <n v="1.9518833758073811E-3"/>
  </r>
  <r>
    <x v="3"/>
    <x v="20"/>
    <x v="2"/>
    <n v="7907"/>
    <n v="4031314"/>
    <n v="1.9610000000000001E-3"/>
    <n v="0.99803900000000001"/>
    <n v="97415.803690000001"/>
    <n v="191.03"/>
    <n v="97320.287490000002"/>
    <n v="3684703.7659999998"/>
    <n v="37.824496920000001"/>
    <n v="0.97415803700000003"/>
    <n v="-6.2343007317679282"/>
    <n v="1.9629004671369112E-3"/>
  </r>
  <r>
    <x v="3"/>
    <x v="21"/>
    <x v="2"/>
    <n v="8185"/>
    <n v="3986156"/>
    <n v="2.0530000000000001E-3"/>
    <n v="0.99794700000000003"/>
    <n v="97224.732799999998"/>
    <n v="199.6"/>
    <n v="97124.93161"/>
    <n v="3587383.4789999998"/>
    <n v="36.897848680000003"/>
    <n v="0.97224732800000002"/>
    <n v="-6.1884531409453407"/>
    <n v="2.0550854689544589E-3"/>
  </r>
  <r>
    <x v="3"/>
    <x v="22"/>
    <x v="2"/>
    <n v="8293"/>
    <n v="3866067"/>
    <n v="2.1450000000000002E-3"/>
    <n v="0.99785500000000005"/>
    <n v="97025.095749999993"/>
    <n v="208.12"/>
    <n v="96921.036330000003"/>
    <n v="3490258.5469999998"/>
    <n v="35.972740039999998"/>
    <n v="0.97025095800000005"/>
    <n v="-6.144615726602157"/>
    <n v="2.1473151298160632E-3"/>
  </r>
  <r>
    <x v="3"/>
    <x v="23"/>
    <x v="2"/>
    <n v="8902"/>
    <n v="3979609"/>
    <n v="2.2369999999999998E-3"/>
    <n v="0.99776299999999996"/>
    <n v="96816.969729999997"/>
    <n v="216.58"/>
    <n v="96708.679950000005"/>
    <n v="3393337.5109999999"/>
    <n v="35.048995240000004"/>
    <n v="0.968169697"/>
    <n v="-6.1026195964741445"/>
    <n v="2.2395093140416848E-3"/>
  </r>
  <r>
    <x v="3"/>
    <x v="24"/>
    <x v="2"/>
    <n v="9476"/>
    <n v="3851155"/>
    <n v="2.4610000000000001E-3"/>
    <n v="0.99753899999999995"/>
    <n v="96600.399550000002"/>
    <n v="237.73"/>
    <n v="96481.532760000002"/>
    <n v="3296628.8309999998"/>
    <n v="34.126451299999999"/>
    <n v="0.96600399599999998"/>
    <n v="-6.0071875075732182"/>
    <n v="2.4639943097234927E-3"/>
  </r>
  <r>
    <x v="3"/>
    <x v="25"/>
    <x v="2"/>
    <n v="10509"/>
    <n v="3904041"/>
    <n v="2.6919999999999999E-3"/>
    <n v="0.99730799999999997"/>
    <n v="96362.708410000007"/>
    <n v="259.41000000000003"/>
    <n v="96233.004199999996"/>
    <n v="3200147.298"/>
    <n v="33.209395530000002"/>
    <n v="0.96362708399999997"/>
    <n v="-5.9174708671996559"/>
    <n v="2.6956445926947202E-3"/>
  </r>
  <r>
    <x v="3"/>
    <x v="26"/>
    <x v="2"/>
    <n v="11925"/>
    <n v="4074459"/>
    <n v="2.9269999999999999E-3"/>
    <n v="0.99707299999999999"/>
    <n v="96103.316749999998"/>
    <n v="281.29000000000002"/>
    <n v="95962.669550000006"/>
    <n v="3103914.2940000002"/>
    <n v="32.297681269999998"/>
    <n v="0.96103316800000005"/>
    <n v="-5.8337772712723881"/>
    <n v="2.9312436677955602E-3"/>
  </r>
  <r>
    <x v="3"/>
    <x v="27"/>
    <x v="2"/>
    <n v="13249"/>
    <n v="4301318"/>
    <n v="3.0799999999999998E-3"/>
    <n v="0.99692000000000003"/>
    <n v="95822.044550000006"/>
    <n v="295.13"/>
    <n v="95674.478600000002"/>
    <n v="3007951.6239999998"/>
    <n v="31.391019029999999"/>
    <n v="0.958220446"/>
    <n v="-5.7828256819966537"/>
    <n v="3.084731023687622E-3"/>
  </r>
  <r>
    <x v="3"/>
    <x v="28"/>
    <x v="2"/>
    <n v="14182"/>
    <n v="4349714"/>
    <n v="3.2599999999999999E-3"/>
    <n v="0.99673999999999996"/>
    <n v="95526.891699999993"/>
    <n v="311.42"/>
    <n v="95371.182870000004"/>
    <n v="2912277.1460000002"/>
    <n v="30.486464009999999"/>
    <n v="0.95526891700000005"/>
    <n v="-5.7260280836035209"/>
    <n v="3.265347665148491E-3"/>
  </r>
  <r>
    <x v="3"/>
    <x v="29"/>
    <x v="2"/>
    <n v="15008"/>
    <n v="4117603"/>
    <n v="3.6449999999999998E-3"/>
    <n v="0.99635499999999999"/>
    <n v="95215.431589999993"/>
    <n v="347.06"/>
    <n v="95041.901469999997"/>
    <n v="2816905.963"/>
    <n v="29.584552800000001"/>
    <n v="0.952154316"/>
    <n v="-5.6143989135215158"/>
    <n v="3.6516522361233843E-3"/>
  </r>
  <r>
    <x v="3"/>
    <x v="30"/>
    <x v="2"/>
    <n v="15823"/>
    <n v="4026474"/>
    <n v="3.9300000000000003E-3"/>
    <n v="0.99607000000000001"/>
    <n v="94868.386670000007"/>
    <n v="372.83"/>
    <n v="94681.970289999997"/>
    <n v="2721864.0610000002"/>
    <n v="28.690949190000001"/>
    <n v="0.94868386699999996"/>
    <n v="-5.5391158531009674"/>
    <n v="3.9377079974500101E-3"/>
  </r>
  <r>
    <x v="3"/>
    <x v="31"/>
    <x v="2"/>
    <n v="17543"/>
    <n v="4025069"/>
    <n v="4.3579999999999999E-3"/>
    <n v="0.99564200000000003"/>
    <n v="94495.578479999996"/>
    <n v="411.81"/>
    <n v="94289.672609999994"/>
    <n v="2627182.091"/>
    <n v="27.802169509999999"/>
    <n v="0.94495578499999999"/>
    <n v="-5.4357420424597089"/>
    <n v="4.3674994118188077E-3"/>
  </r>
  <r>
    <x v="3"/>
    <x v="32"/>
    <x v="2"/>
    <n v="19504"/>
    <n v="4094079"/>
    <n v="4.764E-3"/>
    <n v="0.99523600000000001"/>
    <n v="94083.725680000003"/>
    <n v="448.21"/>
    <n v="93859.61825"/>
    <n v="2532892.4180000001"/>
    <n v="26.921684920000001"/>
    <n v="0.94083725699999998"/>
    <n v="-5.346667627489083"/>
    <n v="4.7753229536125485E-3"/>
  </r>
  <r>
    <x v="3"/>
    <x v="33"/>
    <x v="2"/>
    <n v="22113"/>
    <n v="4333375"/>
    <n v="5.1029999999999999E-3"/>
    <n v="0.99489700000000003"/>
    <n v="93635.515239999993"/>
    <n v="477.82"/>
    <n v="93396.604219999994"/>
    <n v="2439032.7999999998"/>
    <n v="26.048159120000001"/>
    <n v="0.93635515199999997"/>
    <n v="-5.2779266769003028"/>
    <n v="5.116031703975019E-3"/>
  </r>
  <r>
    <x v="3"/>
    <x v="34"/>
    <x v="2"/>
    <n v="24981"/>
    <n v="4405567"/>
    <n v="5.6699999999999997E-3"/>
    <n v="0.99433000000000005"/>
    <n v="93157.697799999994"/>
    <n v="528.20000000000005"/>
    <n v="92893.595730000001"/>
    <n v="2345636.196"/>
    <n v="25.179198840000002"/>
    <n v="0.93157697800000006"/>
    <n v="-5.172566161242476"/>
    <n v="5.6860764422326923E-3"/>
  </r>
  <r>
    <x v="3"/>
    <x v="35"/>
    <x v="2"/>
    <n v="27310"/>
    <n v="4393983"/>
    <n v="6.215E-3"/>
    <n v="0.99378500000000003"/>
    <n v="92629.463300000003"/>
    <n v="575.69000000000005"/>
    <n v="92341.617240000007"/>
    <n v="2252742.6"/>
    <n v="24.3199358"/>
    <n v="0.92629463300000003"/>
    <n v="-5.0807895540194625"/>
    <n v="6.2343514103710487E-3"/>
  </r>
  <r>
    <x v="3"/>
    <x v="36"/>
    <x v="2"/>
    <n v="29857"/>
    <n v="4377130"/>
    <n v="6.8209999999999998E-3"/>
    <n v="0.99317900000000003"/>
    <n v="92053.741769999993"/>
    <n v="627.9"/>
    <n v="91739.792480000004"/>
    <n v="2160400.983"/>
    <n v="23.468910019999999"/>
    <n v="0.920537418"/>
    <n v="-4.9877491903095548"/>
    <n v="6.8443586576786295E-3"/>
  </r>
  <r>
    <x v="3"/>
    <x v="37"/>
    <x v="2"/>
    <n v="32543"/>
    <n v="4422810"/>
    <n v="7.358E-3"/>
    <n v="0.99264200000000002"/>
    <n v="91425.830650000004"/>
    <n v="672.71"/>
    <n v="91089.475019999998"/>
    <n v="2068661.1910000001"/>
    <n v="22.626660059999999"/>
    <n v="0.91425830699999999"/>
    <n v="-4.9119671222995542"/>
    <n v="7.3851561564369905E-3"/>
  </r>
  <r>
    <x v="3"/>
    <x v="38"/>
    <x v="2"/>
    <n v="34611"/>
    <n v="4453038"/>
    <n v="7.7720000000000003E-3"/>
    <n v="0.992228"/>
    <n v="90753.120139999999"/>
    <n v="705.33"/>
    <n v="90400.453519999995"/>
    <n v="1977571.716"/>
    <n v="21.790674660000001"/>
    <n v="0.90753120099999995"/>
    <n v="-4.8572277474669434"/>
    <n v="7.8022856157052766E-3"/>
  </r>
  <r>
    <x v="3"/>
    <x v="39"/>
    <x v="2"/>
    <n v="36642"/>
    <n v="4294024"/>
    <n v="8.5330000000000007E-3"/>
    <n v="0.99146699999999999"/>
    <n v="90047.746360000005"/>
    <n v="768.38"/>
    <n v="89663.557650000002"/>
    <n v="1887171.2620000001"/>
    <n v="20.957451330000001"/>
    <n v="0.90047746399999995"/>
    <n v="-4.763814279427689"/>
    <n v="8.5695919099008817E-3"/>
  </r>
  <r>
    <x v="3"/>
    <x v="40"/>
    <x v="2"/>
    <n v="38701"/>
    <n v="4259361"/>
    <n v="9.0860000000000003E-3"/>
    <n v="0.99091399999999996"/>
    <n v="89279.346009999994"/>
    <n v="811.19"/>
    <n v="88873.749939999994"/>
    <n v="1797507.7039999999"/>
    <n v="20.13352231"/>
    <n v="0.89279346000000004"/>
    <n v="-4.7010205116449253"/>
    <n v="9.1274425032453685E-3"/>
  </r>
  <r>
    <x v="3"/>
    <x v="41"/>
    <x v="2"/>
    <n v="41292"/>
    <n v="4202894"/>
    <n v="9.8250000000000004E-3"/>
    <n v="0.99017500000000003"/>
    <n v="88468.144530000005"/>
    <n v="869.2"/>
    <n v="88033.544769999993"/>
    <n v="1708633.9539999999"/>
    <n v="19.313550240000001"/>
    <n v="0.88468144500000001"/>
    <n v="-4.6228251212268123"/>
    <n v="9.8735073468761078E-3"/>
  </r>
  <r>
    <x v="3"/>
    <x v="42"/>
    <x v="2"/>
    <n v="42834"/>
    <n v="4043396"/>
    <n v="1.0593999999999999E-2"/>
    <n v="0.98940600000000001"/>
    <n v="87598.975179999994"/>
    <n v="928.02"/>
    <n v="87134.963409999997"/>
    <n v="1620600.41"/>
    <n v="18.500221109999998"/>
    <n v="0.87598975199999995"/>
    <n v="-4.5474674758598024"/>
    <n v="1.0650372287337071E-2"/>
  </r>
  <r>
    <x v="3"/>
    <x v="43"/>
    <x v="2"/>
    <n v="45095"/>
    <n v="4000235"/>
    <n v="1.1273E-2"/>
    <n v="0.98872700000000002"/>
    <n v="86670.989279999994"/>
    <n v="977.04"/>
    <n v="86182.468250000005"/>
    <n v="1533465.446"/>
    <n v="17.692949609999999"/>
    <n v="0.86670989300000001"/>
    <n v="-4.4853447929197428"/>
    <n v="1.1336877011953265E-2"/>
  </r>
  <r>
    <x v="3"/>
    <x v="44"/>
    <x v="2"/>
    <n v="45951"/>
    <n v="3825765"/>
    <n v="1.2011000000000001E-2"/>
    <n v="0.98798900000000001"/>
    <n v="85693.939610000001"/>
    <n v="1029.27"/>
    <n v="85179.304659999994"/>
    <n v="1447282.9779999999"/>
    <n v="16.88897703"/>
    <n v="0.85693939600000002"/>
    <n v="-4.4219323824097838"/>
    <n v="1.2083568520808005E-2"/>
  </r>
  <r>
    <x v="3"/>
    <x v="45"/>
    <x v="2"/>
    <n v="47257"/>
    <n v="3669600"/>
    <n v="1.2878000000000001E-2"/>
    <n v="0.98712200000000005"/>
    <n v="84664.675600000002"/>
    <n v="1090.31"/>
    <n v="84119.519750000007"/>
    <n v="1362103.673"/>
    <n v="16.088217"/>
    <n v="0.84664675599999994"/>
    <n v="-4.3522348498661456"/>
    <n v="1.2961438521153557E-2"/>
  </r>
  <r>
    <x v="3"/>
    <x v="46"/>
    <x v="2"/>
    <n v="48642"/>
    <n v="3516436"/>
    <n v="1.3833E-2"/>
    <n v="0.98616700000000002"/>
    <n v="83574.366420000006"/>
    <n v="1156.08"/>
    <n v="82996.324309999996"/>
    <n v="1277984.1540000001"/>
    <n v="15.29158052"/>
    <n v="0.835743664"/>
    <n v="-4.2806982370894593"/>
    <n v="1.3929289848960347E-2"/>
  </r>
  <r>
    <x v="3"/>
    <x v="47"/>
    <x v="2"/>
    <n v="49857"/>
    <n v="3398755"/>
    <n v="1.4669E-2"/>
    <n v="0.98533099999999996"/>
    <n v="82418.302630000006"/>
    <n v="1208.99"/>
    <n v="81813.805590000004"/>
    <n v="1194987.8289999999"/>
    <n v="14.499058959999999"/>
    <n v="0.82418302600000004"/>
    <n v="-4.2220188554765112"/>
    <n v="1.4777336295398501E-2"/>
  </r>
  <r>
    <x v="3"/>
    <x v="48"/>
    <x v="2"/>
    <n v="51107"/>
    <n v="3307833"/>
    <n v="1.545E-2"/>
    <n v="0.98455000000000004"/>
    <n v="81209.29247"/>
    <n v="1254.68"/>
    <n v="80581.950689999998"/>
    <n v="1113174.024"/>
    <n v="13.707471030000001"/>
    <n v="0.81209292499999997"/>
    <n v="-4.1701462756383822"/>
    <n v="1.5570238454695564E-2"/>
  </r>
  <r>
    <x v="3"/>
    <x v="49"/>
    <x v="2"/>
    <n v="54383"/>
    <n v="3194269"/>
    <n v="1.7024999999999998E-2"/>
    <n v="0.98297500000000004"/>
    <n v="79954.584839999996"/>
    <n v="1361.23"/>
    <n v="79273.971439999994"/>
    <n v="1032592.073"/>
    <n v="12.914732470000001"/>
    <n v="0.79954584799999995"/>
    <n v="-4.0730724269465615"/>
    <n v="1.7171211406164032E-2"/>
  </r>
  <r>
    <x v="3"/>
    <x v="50"/>
    <x v="2"/>
    <n v="58141"/>
    <n v="3144466"/>
    <n v="1.8489999999999999E-2"/>
    <n v="0.98150999999999999"/>
    <n v="78593.343760000003"/>
    <n v="1453.19"/>
    <n v="77866.748300000007"/>
    <n v="953318.10149999999"/>
    <n v="12.129756240000001"/>
    <n v="0.78593343800000004"/>
    <n v="-3.9905252335831034"/>
    <n v="1.8662522715648704E-2"/>
  </r>
  <r>
    <x v="3"/>
    <x v="51"/>
    <x v="2"/>
    <n v="63825"/>
    <n v="3260552"/>
    <n v="1.9574999999999999E-2"/>
    <n v="0.98042499999999999"/>
    <n v="77140.15724"/>
    <n v="1510.02"/>
    <n v="76385.147949999999"/>
    <n v="875451.35320000001"/>
    <n v="11.34884066"/>
    <n v="0.77140157200000004"/>
    <n v="-3.9335020371052702"/>
    <n v="1.9768501718754165E-2"/>
  </r>
  <r>
    <x v="3"/>
    <x v="52"/>
    <x v="2"/>
    <n v="53943"/>
    <n v="2392283"/>
    <n v="2.2549E-2"/>
    <n v="0.97745099999999996"/>
    <n v="75630.14589"/>
    <n v="1705.38"/>
    <n v="74777.453810000006"/>
    <n v="799066.20530000003"/>
    <n v="10.56544577"/>
    <n v="0.75630145900000001"/>
    <n v="-3.7920645599147624"/>
    <n v="2.2806069218331747E-2"/>
  </r>
  <r>
    <x v="3"/>
    <x v="53"/>
    <x v="2"/>
    <n v="56033"/>
    <n v="2344633"/>
    <n v="2.3897999999999999E-2"/>
    <n v="0.97610200000000003"/>
    <n v="73924.780360000004"/>
    <n v="1766.65"/>
    <n v="73041.453160000005"/>
    <n v="724288.75150000001"/>
    <n v="9.7976449569999993"/>
    <n v="0.73924780400000001"/>
    <n v="-3.7339605055545748"/>
    <n v="2.4186955348774224E-2"/>
  </r>
  <r>
    <x v="3"/>
    <x v="54"/>
    <x v="2"/>
    <n v="60590"/>
    <n v="2263489"/>
    <n v="2.6768E-2"/>
    <n v="0.97323199999999999"/>
    <n v="72158.095679999999"/>
    <n v="1931.53"/>
    <n v="71192.331730000005"/>
    <n v="651247.29830000002"/>
    <n v="9.0252838880000006"/>
    <n v="0.72158095700000002"/>
    <n v="-3.6205481347376689"/>
    <n v="2.7131158002418245E-2"/>
  </r>
  <r>
    <x v="3"/>
    <x v="55"/>
    <x v="2"/>
    <n v="66524"/>
    <n v="2293604"/>
    <n v="2.9003999999999999E-2"/>
    <n v="0.97099599999999997"/>
    <n v="70226.538239999994"/>
    <n v="2036.85"/>
    <n v="69208.112980000005"/>
    <n v="580054.96660000004"/>
    <n v="8.259768759"/>
    <n v="0.70226538199999999"/>
    <n v="-3.5403215274727908"/>
    <n v="2.9430800115740889E-2"/>
  </r>
  <r>
    <x v="3"/>
    <x v="56"/>
    <x v="2"/>
    <n v="63365"/>
    <n v="1978012"/>
    <n v="3.2035000000000001E-2"/>
    <n v="0.96796499999999996"/>
    <n v="68189.678239999994"/>
    <n v="2184.46"/>
    <n v="67097.450070000006"/>
    <n v="510846.85359999997"/>
    <n v="7.4915568869999998"/>
    <n v="0.68189678200000003"/>
    <n v="-3.440926223891152"/>
    <n v="3.255652268376024E-2"/>
  </r>
  <r>
    <x v="3"/>
    <x v="57"/>
    <x v="2"/>
    <n v="63017"/>
    <n v="1786181"/>
    <n v="3.5279999999999999E-2"/>
    <n v="0.96472000000000002"/>
    <n v="66005.24308"/>
    <n v="2328.66"/>
    <n v="64840.91059"/>
    <n v="443749.40360000002"/>
    <n v="6.7229417370000002"/>
    <n v="0.660052431"/>
    <n v="-3.3444390478435464"/>
    <n v="3.5913443122200968E-2"/>
  </r>
  <r>
    <x v="3"/>
    <x v="58"/>
    <x v="2"/>
    <n v="63188"/>
    <n v="1666402"/>
    <n v="3.7919000000000001E-2"/>
    <n v="0.96208099999999996"/>
    <n v="63676.558360000003"/>
    <n v="2414.5500000000002"/>
    <n v="62469.282650000001"/>
    <n v="378908.49300000002"/>
    <n v="5.9505177839999996"/>
    <n v="0.63676558400000005"/>
    <n v="-3.2723029732510618"/>
    <n v="3.8651792974679806E-2"/>
  </r>
  <r>
    <x v="3"/>
    <x v="59"/>
    <x v="2"/>
    <n v="65651"/>
    <n v="1542867"/>
    <n v="4.2550999999999999E-2"/>
    <n v="0.95744899999999999"/>
    <n v="61262.018309999999"/>
    <n v="2606.7600000000002"/>
    <n v="59958.63824"/>
    <n v="316439.21029999998"/>
    <n v="5.1653409249999997"/>
    <n v="0.61262018299999998"/>
    <n v="-3.1570519224762839"/>
    <n v="4.3475977425526523E-2"/>
  </r>
  <r>
    <x v="3"/>
    <x v="60"/>
    <x v="2"/>
    <n v="67987"/>
    <n v="1451583"/>
    <n v="4.6836000000000003E-2"/>
    <n v="0.95316400000000001"/>
    <n v="58655.239650000003"/>
    <n v="2747.18"/>
    <n v="57281.651250000003"/>
    <n v="256480.57209999999"/>
    <n v="4.3726796380000001"/>
    <n v="0.58655239699999995"/>
    <n v="-3.0611031409956588"/>
    <n v="4.7959173280585209E-2"/>
  </r>
  <r>
    <x v="3"/>
    <x v="61"/>
    <x v="2"/>
    <n v="68584"/>
    <n v="1311488"/>
    <n v="5.2295000000000001E-2"/>
    <n v="0.94770500000000002"/>
    <n v="55908.036240000001"/>
    <n v="2923.71"/>
    <n v="54446.18086"/>
    <n v="199198.92079999999"/>
    <n v="3.5629747389999999"/>
    <n v="0.559080362"/>
    <n v="-2.9508545147759055"/>
    <n v="5.369907770240271E-2"/>
  </r>
  <r>
    <x v="3"/>
    <x v="62"/>
    <x v="2"/>
    <n v="71290"/>
    <n v="1224165"/>
    <n v="5.8236000000000003E-2"/>
    <n v="0.94176400000000005"/>
    <n v="52984.336779999998"/>
    <n v="3085.6"/>
    <n v="51441.538860000001"/>
    <n v="144752.74"/>
    <n v="2.7319911650000002"/>
    <n v="0.52984336799999998"/>
    <n v="-2.8432515587710574"/>
    <n v="5.9982641547237411E-2"/>
  </r>
  <r>
    <x v="3"/>
    <x v="63"/>
    <x v="2"/>
    <n v="73173"/>
    <n v="1143669"/>
    <n v="6.3980999999999996E-2"/>
    <n v="0.93601900000000005"/>
    <n v="49898.761409999999"/>
    <n v="3192.57"/>
    <n v="48302.475079999997"/>
    <n v="93311.201100000006"/>
    <n v="1.870010366"/>
    <n v="0.49898761400000002"/>
    <n v="-2.7491691146985717"/>
    <n v="6.6095368200544624E-2"/>
  </r>
  <r>
    <x v="3"/>
    <x v="64"/>
    <x v="2"/>
    <n v="72426"/>
    <n v="996403"/>
    <n v="7.2687000000000002E-2"/>
    <n v="0.92731300000000005"/>
    <n v="46706.192519999997"/>
    <n v="3394.93"/>
    <n v="45008.726009999998"/>
    <n v="45008.726009999998"/>
    <n v="0.96365650000000003"/>
    <n v="0.46706192499999999"/>
    <n v="-2.6215927274887356"/>
    <n v="4.6282027250310921E-2"/>
  </r>
  <r>
    <x v="4"/>
    <x v="0"/>
    <x v="0"/>
    <n v="861"/>
    <n v="2086544"/>
    <n v="4.1300000000000001E-4"/>
    <n v="0.999587"/>
    <n v="100000"/>
    <n v="41.3"/>
    <n v="99979.35"/>
    <n v="5844140.1909999996"/>
    <n v="58.441401910000003"/>
    <n v="1"/>
    <n v="-7.7920629650032414"/>
    <n v="4.1308522859118764E-4"/>
  </r>
  <r>
    <x v="4"/>
    <x v="1"/>
    <x v="0"/>
    <n v="950"/>
    <n v="2091237"/>
    <n v="4.5399999999999998E-4"/>
    <n v="0.99954600000000005"/>
    <n v="99958.735589999997"/>
    <n v="45.38"/>
    <n v="99936.044959999999"/>
    <n v="5744160.841"/>
    <n v="57.46532113"/>
    <n v="0.99958735600000004"/>
    <n v="-7.6974133599229262"/>
    <n v="4.540904765239055E-4"/>
  </r>
  <r>
    <x v="4"/>
    <x v="2"/>
    <x v="0"/>
    <n v="973"/>
    <n v="2103476"/>
    <n v="4.6299999999999998E-4"/>
    <n v="0.99953700000000001"/>
    <n v="99913.326679999998"/>
    <n v="46.26"/>
    <n v="99890.196739999999"/>
    <n v="5644224.7960000001"/>
    <n v="56.491210760000001"/>
    <n v="0.99913326700000005"/>
    <n v="-7.6777835038780404"/>
    <n v="4.631084080748287E-4"/>
  </r>
  <r>
    <x v="4"/>
    <x v="3"/>
    <x v="0"/>
    <n v="1167"/>
    <n v="2119886"/>
    <n v="5.5099999999999995E-4"/>
    <n v="0.99944900000000003"/>
    <n v="99867.110010000004"/>
    <n v="55.03"/>
    <n v="99839.596619999997"/>
    <n v="5544334.5990000004"/>
    <n v="55.517122690000001"/>
    <n v="0.99867110000000003"/>
    <n v="-7.5037757488113597"/>
    <n v="5.5118398048991323E-4"/>
  </r>
  <r>
    <x v="4"/>
    <x v="4"/>
    <x v="0"/>
    <n v="1175"/>
    <n v="2167045"/>
    <n v="5.4199999999999995E-4"/>
    <n v="0.99945799999999996"/>
    <n v="99812.133029999997"/>
    <n v="54.1"/>
    <n v="99785.083939999997"/>
    <n v="5444495.0020000003"/>
    <n v="54.547426620000003"/>
    <n v="0.99812133000000003"/>
    <n v="-7.5202445565246281"/>
    <n v="5.4216525784301197E-4"/>
  </r>
  <r>
    <x v="4"/>
    <x v="5"/>
    <x v="0"/>
    <n v="1271"/>
    <n v="2213205"/>
    <n v="5.7399999999999997E-4"/>
    <n v="0.99942600000000004"/>
    <n v="99758.013590000002"/>
    <n v="57.26"/>
    <n v="99729.383040000001"/>
    <n v="5344709.9179999996"/>
    <n v="53.57674763"/>
    <n v="0.99758013599999995"/>
    <n v="-7.4628811616447077"/>
    <n v="5.7415383792863229E-4"/>
  </r>
  <r>
    <x v="4"/>
    <x v="6"/>
    <x v="0"/>
    <n v="1390"/>
    <n v="2245334"/>
    <n v="6.1899999999999998E-4"/>
    <n v="0.99938099999999996"/>
    <n v="99700.724530000007"/>
    <n v="61.71"/>
    <n v="99669.867159999994"/>
    <n v="5244980.5350000001"/>
    <n v="52.607245939999999"/>
    <n v="0.99700724500000004"/>
    <n v="-7.3874052852796783"/>
    <n v="6.1914401673385483E-4"/>
  </r>
  <r>
    <x v="4"/>
    <x v="7"/>
    <x v="0"/>
    <n v="1519"/>
    <n v="2312599"/>
    <n v="6.5700000000000003E-4"/>
    <n v="0.99934299999999998"/>
    <n v="99639.003649999999"/>
    <n v="65.459999999999994"/>
    <n v="99606.272240000006"/>
    <n v="5145310.6679999996"/>
    <n v="51.639523480000001"/>
    <n v="0.99639003699999995"/>
    <n v="-7.3278265394796636"/>
    <n v="6.5718747609930445E-4"/>
  </r>
  <r>
    <x v="4"/>
    <x v="8"/>
    <x v="0"/>
    <n v="1628"/>
    <n v="2366969"/>
    <n v="6.8800000000000003E-4"/>
    <n v="0.99931199999999998"/>
    <n v="99573.557090000002"/>
    <n v="68.510000000000005"/>
    <n v="99539.303790000005"/>
    <n v="5045704.3959999997"/>
    <n v="50.673135950000002"/>
    <n v="0.99573557099999999"/>
    <n v="-7.2817217200309301"/>
    <n v="6.8827076865631475E-4"/>
  </r>
  <r>
    <x v="4"/>
    <x v="9"/>
    <x v="0"/>
    <n v="1719"/>
    <n v="2366339"/>
    <n v="7.2599999999999997E-4"/>
    <n v="0.999274"/>
    <n v="99505.070449999999"/>
    <n v="72.239999999999995"/>
    <n v="99468.950110000005"/>
    <n v="4946165.0920000002"/>
    <n v="49.707668859999998"/>
    <n v="0.99505070500000004"/>
    <n v="-7.2279605431394778"/>
    <n v="7.2625694521425593E-4"/>
  </r>
  <r>
    <x v="4"/>
    <x v="10"/>
    <x v="0"/>
    <n v="1882"/>
    <n v="2273519"/>
    <n v="8.2799999999999996E-4"/>
    <n v="0.99917199999999995"/>
    <n v="99432.786120000004"/>
    <n v="82.33"/>
    <n v="99391.620949999997"/>
    <n v="4846696.142"/>
    <n v="48.743440980000003"/>
    <n v="0.99432786100000004"/>
    <n v="-7.096497403579014"/>
    <n v="8.2833935729674057E-4"/>
  </r>
  <r>
    <x v="4"/>
    <x v="11"/>
    <x v="0"/>
    <n v="1943"/>
    <n v="2220984"/>
    <n v="8.7500000000000002E-4"/>
    <n v="0.99912500000000004"/>
    <n v="99350.476500000004"/>
    <n v="86.93"/>
    <n v="99307.010670000003"/>
    <n v="4747304.5209999997"/>
    <n v="47.783409689999999"/>
    <n v="0.99350476499999996"/>
    <n v="-7.0412866716066596"/>
    <n v="8.7536612319009596E-4"/>
  </r>
  <r>
    <x v="4"/>
    <x v="12"/>
    <x v="0"/>
    <n v="1994"/>
    <n v="2181619"/>
    <n v="9.1399999999999999E-4"/>
    <n v="0.99908600000000003"/>
    <n v="99263.560979999995"/>
    <n v="90.73"/>
    <n v="99218.197530000005"/>
    <n v="4647997.51"/>
    <n v="46.82481129"/>
    <n v="0.99263561"/>
    <n v="-6.997679986510124"/>
    <n v="9.1444918637167115E-4"/>
  </r>
  <r>
    <x v="4"/>
    <x v="13"/>
    <x v="0"/>
    <n v="2273"/>
    <n v="2189693"/>
    <n v="1.0380000000000001E-3"/>
    <n v="0.99896200000000002"/>
    <n v="99172.834069999997"/>
    <n v="102.94"/>
    <n v="99121.363370000006"/>
    <n v="4548779.3130000001"/>
    <n v="45.867190899999997"/>
    <n v="0.99172834099999996"/>
    <n v="-6.8704594942384398"/>
    <n v="1.0385248832469032E-3"/>
  </r>
  <r>
    <x v="4"/>
    <x v="14"/>
    <x v="0"/>
    <n v="2208"/>
    <n v="2210880"/>
    <n v="9.990000000000001E-4"/>
    <n v="0.99900100000000003"/>
    <n v="99069.888200000001"/>
    <n v="98.97"/>
    <n v="99020.402789999993"/>
    <n v="4449657.949"/>
    <n v="44.91433301"/>
    <n v="0.990698882"/>
    <n v="-6.9087557793157206"/>
    <n v="9.99490834454875E-4"/>
  </r>
  <r>
    <x v="4"/>
    <x v="15"/>
    <x v="0"/>
    <n v="2327"/>
    <n v="2148244"/>
    <n v="1.083E-3"/>
    <n v="0.99891700000000005"/>
    <n v="98970.947369999994"/>
    <n v="107.19"/>
    <n v="98917.354600000006"/>
    <n v="4350637.5470000003"/>
    <n v="43.958733969999997"/>
    <n v="0.98970947399999998"/>
    <n v="-6.8280203109632831"/>
    <n v="1.0836320048048576E-3"/>
  </r>
  <r>
    <x v="4"/>
    <x v="16"/>
    <x v="0"/>
    <n v="2472"/>
    <n v="2181076"/>
    <n v="1.1329999999999999E-3"/>
    <n v="0.99886699999999995"/>
    <n v="98863.741020000001"/>
    <n v="112.01"/>
    <n v="98807.734710000004"/>
    <n v="4251720.1919999998"/>
    <n v="43.005859870000002"/>
    <n v="0.98863741000000005"/>
    <n v="-6.782886296936268"/>
    <n v="1.1336159252660549E-3"/>
  </r>
  <r>
    <x v="4"/>
    <x v="17"/>
    <x v="0"/>
    <n v="2626"/>
    <n v="2180124"/>
    <n v="1.2049999999999999E-3"/>
    <n v="0.99879499999999999"/>
    <n v="98751.690279999995"/>
    <n v="119"/>
    <n v="98692.192389999997"/>
    <n v="4152912.4569999999"/>
    <n v="42.054089869999999"/>
    <n v="0.98751690299999995"/>
    <n v="-6.7212757120395192"/>
    <n v="1.205768850231368E-3"/>
  </r>
  <r>
    <x v="4"/>
    <x v="18"/>
    <x v="0"/>
    <n v="2896"/>
    <n v="2156217"/>
    <n v="1.343E-3"/>
    <n v="0.99865700000000002"/>
    <n v="98632.742029999994"/>
    <n v="132.46"/>
    <n v="98566.510139999999"/>
    <n v="4054220.2650000001"/>
    <n v="41.104203140000003"/>
    <n v="0.98632741999999995"/>
    <n v="-6.6128493614410369"/>
    <n v="1.3438642189266565E-3"/>
  </r>
  <r>
    <x v="4"/>
    <x v="19"/>
    <x v="0"/>
    <n v="3076"/>
    <n v="2186919"/>
    <n v="1.407E-3"/>
    <n v="0.99859299999999995"/>
    <n v="98500.269079999998"/>
    <n v="138.59"/>
    <n v="98430.974140000006"/>
    <n v="3955653.7549999999"/>
    <n v="40.158811659999998"/>
    <n v="0.98500269100000004"/>
    <n v="-6.5662955008498853"/>
    <n v="1.4079914341779568E-3"/>
  </r>
  <r>
    <x v="4"/>
    <x v="20"/>
    <x v="0"/>
    <n v="3011"/>
    <n v="2058650"/>
    <n v="1.4630000000000001E-3"/>
    <n v="0.99853700000000001"/>
    <n v="98361.724019999994"/>
    <n v="143.9"/>
    <n v="98289.772419999994"/>
    <n v="3857222.781"/>
    <n v="39.214672360000002"/>
    <n v="0.98361723999999995"/>
    <n v="-6.5272661569441501"/>
    <n v="1.4640381018652816E-3"/>
  </r>
  <r>
    <x v="4"/>
    <x v="21"/>
    <x v="0"/>
    <n v="3071"/>
    <n v="2018752"/>
    <n v="1.521E-3"/>
    <n v="0.99847900000000001"/>
    <n v="98217.859280000004"/>
    <n v="149.38999999999999"/>
    <n v="98143.164600000004"/>
    <n v="3758933.0079999999"/>
    <n v="38.271379930000002"/>
    <n v="0.98217859299999999"/>
    <n v="-6.488387265704981"/>
    <n v="1.5221642619661479E-3"/>
  </r>
  <r>
    <x v="4"/>
    <x v="22"/>
    <x v="0"/>
    <n v="3136"/>
    <n v="2002157"/>
    <n v="1.5659999999999999E-3"/>
    <n v="0.99843400000000004"/>
    <n v="98068.446649999998"/>
    <n v="153.58000000000001"/>
    <n v="97991.659060000005"/>
    <n v="3660789.844"/>
    <n v="37.32892657"/>
    <n v="0.980684467"/>
    <n v="-6.4592306814135254"/>
    <n v="1.5672764943315961E-3"/>
  </r>
  <r>
    <x v="4"/>
    <x v="23"/>
    <x v="0"/>
    <n v="3370"/>
    <n v="1940751"/>
    <n v="1.7359999999999999E-3"/>
    <n v="0.99826400000000004"/>
    <n v="97914.840989999997"/>
    <n v="169.98"/>
    <n v="97829.850909999994"/>
    <n v="3562798.1850000001"/>
    <n v="36.386702450000001"/>
    <n v="0.97914840999999997"/>
    <n v="-6.3561716627439786"/>
    <n v="1.7375068647147779E-3"/>
  </r>
  <r>
    <x v="4"/>
    <x v="24"/>
    <x v="0"/>
    <n v="3565"/>
    <n v="1994174"/>
    <n v="1.7880000000000001E-3"/>
    <n v="0.99821199999999999"/>
    <n v="97744.817630000005"/>
    <n v="174.77"/>
    <n v="97657.43376"/>
    <n v="3464968.3339999998"/>
    <n v="35.449125770000002"/>
    <n v="0.977448176"/>
    <n v="-6.3266576022308145"/>
    <n v="1.7896228448496714E-3"/>
  </r>
  <r>
    <x v="4"/>
    <x v="25"/>
    <x v="0"/>
    <n v="3861"/>
    <n v="1937417"/>
    <n v="1.993E-3"/>
    <n v="0.99800699999999998"/>
    <n v="97570.078469999993"/>
    <n v="194.46"/>
    <n v="97472.849889999998"/>
    <n v="3367310.9"/>
    <n v="34.511716630000002"/>
    <n v="0.97570078500000001"/>
    <n v="-6.2181142377514798"/>
    <n v="1.9950169360348638E-3"/>
  </r>
  <r>
    <x v="4"/>
    <x v="26"/>
    <x v="0"/>
    <n v="4261"/>
    <n v="1970074"/>
    <n v="2.163E-3"/>
    <n v="0.99783699999999997"/>
    <n v="97375.635009999998"/>
    <n v="210.62"/>
    <n v="97270.323260000005"/>
    <n v="3269838.05"/>
    <n v="33.579632619999998"/>
    <n v="0.97375635000000005"/>
    <n v="-6.1362591320112152"/>
    <n v="2.165305701550975E-3"/>
  </r>
  <r>
    <x v="4"/>
    <x v="27"/>
    <x v="0"/>
    <n v="4786"/>
    <n v="2052817"/>
    <n v="2.3310000000000002E-3"/>
    <n v="0.99766900000000003"/>
    <n v="97165.024860000005"/>
    <n v="226.49"/>
    <n v="97051.779020000002"/>
    <n v="3172567.727"/>
    <n v="32.651334480000003"/>
    <n v="0.97165024899999997"/>
    <n v="-6.0614579189285172"/>
    <n v="2.3337032157963863E-3"/>
  </r>
  <r>
    <x v="4"/>
    <x v="28"/>
    <x v="0"/>
    <n v="5542"/>
    <n v="2168043"/>
    <n v="2.5560000000000001E-3"/>
    <n v="0.997444"/>
    <n v="96938.49136"/>
    <n v="247.77"/>
    <n v="96814.603969999996"/>
    <n v="3075515.9479999999"/>
    <n v="31.72646804"/>
    <n v="0.96938491400000004"/>
    <n v="-5.9693117424668483"/>
    <n v="2.5592216196266178E-3"/>
  </r>
  <r>
    <x v="4"/>
    <x v="29"/>
    <x v="0"/>
    <n v="5931"/>
    <n v="2184045"/>
    <n v="2.7160000000000001E-3"/>
    <n v="0.99728399999999995"/>
    <n v="96690.695030000003"/>
    <n v="262.61"/>
    <n v="96559.389070000005"/>
    <n v="2978701.344"/>
    <n v="30.806494279999999"/>
    <n v="0.96690695000000004"/>
    <n v="-5.9085950692856875"/>
    <n v="2.7196728396188855E-3"/>
  </r>
  <r>
    <x v="4"/>
    <x v="30"/>
    <x v="0"/>
    <n v="6211"/>
    <n v="2071196"/>
    <n v="2.9989999999999999E-3"/>
    <n v="0.99700100000000003"/>
    <n v="96428.121450000006"/>
    <n v="289.19"/>
    <n v="96283.527480000004"/>
    <n v="2882141.9550000001"/>
    <n v="29.889019009999998"/>
    <n v="0.96428121499999997"/>
    <n v="-5.8094763792152646"/>
    <n v="3.0035248129818156E-3"/>
  </r>
  <r>
    <x v="4"/>
    <x v="31"/>
    <x v="0"/>
    <n v="6545"/>
    <n v="2027460"/>
    <n v="3.228E-3"/>
    <n v="0.99677199999999999"/>
    <n v="96138.957569999999"/>
    <n v="310.33999999999997"/>
    <n v="95983.789290000001"/>
    <n v="2785858.4270000001"/>
    <n v="28.977414540000002"/>
    <n v="0.96138957599999997"/>
    <n v="-5.7358925285744347"/>
    <n v="3.2332545923703087E-3"/>
  </r>
  <r>
    <x v="4"/>
    <x v="32"/>
    <x v="0"/>
    <n v="7183"/>
    <n v="2033163"/>
    <n v="3.5330000000000001E-3"/>
    <n v="0.99646699999999999"/>
    <n v="95828.603990000003"/>
    <n v="338.56"/>
    <n v="95659.322759999995"/>
    <n v="2689874.6379999998"/>
    <n v="28.06964232"/>
    <n v="0.95828603999999995"/>
    <n v="-5.6456079106051291"/>
    <n v="3.5392262508435308E-3"/>
  </r>
  <r>
    <x v="4"/>
    <x v="33"/>
    <x v="0"/>
    <n v="8043"/>
    <n v="2067526"/>
    <n v="3.8899999999999998E-3"/>
    <n v="0.99611000000000005"/>
    <n v="95490.049299999999"/>
    <n v="371.46"/>
    <n v="95304.321150000003"/>
    <n v="2594215.3149999999"/>
    <n v="27.167389"/>
    <n v="0.95490049300000002"/>
    <n v="-5.5493461213517818"/>
    <n v="3.8976200098006738E-3"/>
  </r>
  <r>
    <x v="4"/>
    <x v="34"/>
    <x v="0"/>
    <n v="9183"/>
    <n v="2191195"/>
    <n v="4.1910000000000003E-3"/>
    <n v="0.99580900000000006"/>
    <n v="95118.578049999996"/>
    <n v="398.64"/>
    <n v="94919.257070000007"/>
    <n v="2498910.9939999999"/>
    <n v="26.271534389999999"/>
    <n v="0.95118578099999995"/>
    <n v="-5.4748159100392026"/>
    <n v="4.199779740294866E-3"/>
  </r>
  <r>
    <x v="4"/>
    <x v="35"/>
    <x v="0"/>
    <n v="10259"/>
    <n v="2236979"/>
    <n v="4.5859999999999998E-3"/>
    <n v="0.99541400000000002"/>
    <n v="94719.949040000007"/>
    <n v="434.39"/>
    <n v="94502.756200000003"/>
    <n v="2403991.7370000002"/>
    <n v="25.379993989999999"/>
    <n v="0.94719949000000003"/>
    <n v="-5.384747094546424"/>
    <n v="4.5965857328984358E-3"/>
  </r>
  <r>
    <x v="4"/>
    <x v="36"/>
    <x v="0"/>
    <n v="11173"/>
    <n v="2235893"/>
    <n v="4.9969999999999997E-3"/>
    <n v="0.99500299999999997"/>
    <n v="94285.554279999997"/>
    <n v="471.14"/>
    <n v="94049.981820000001"/>
    <n v="2309488.9810000001"/>
    <n v="24.494621670000001"/>
    <n v="0.94285554299999996"/>
    <n v="-5.2989175466200695"/>
    <n v="5.0094642923495013E-3"/>
  </r>
  <r>
    <x v="4"/>
    <x v="37"/>
    <x v="0"/>
    <n v="12317"/>
    <n v="2230590"/>
    <n v="5.522E-3"/>
    <n v="0.99447799999999997"/>
    <n v="93814.399130000005"/>
    <n v="518.04"/>
    <n v="93555.377569999997"/>
    <n v="2215438.9989999998"/>
    <n v="23.615127520000001"/>
    <n v="0.93814399100000001"/>
    <n v="-5.1990151654741741"/>
    <n v="5.5372547940192697E-3"/>
  </r>
  <r>
    <x v="4"/>
    <x v="38"/>
    <x v="0"/>
    <n v="13439"/>
    <n v="2259796"/>
    <n v="5.947E-3"/>
    <n v="0.99405299999999996"/>
    <n v="93296.369390000007"/>
    <n v="554.83000000000004"/>
    <n v="93018.952640000003"/>
    <n v="2121883.6209999998"/>
    <n v="22.743474750000001"/>
    <n v="0.93296369400000001"/>
    <n v="-5.1248683882576804"/>
    <n v="5.9646984130433843E-3"/>
  </r>
  <r>
    <x v="4"/>
    <x v="39"/>
    <x v="0"/>
    <n v="14210"/>
    <n v="2271644"/>
    <n v="6.2550000000000001E-3"/>
    <n v="0.99374499999999999"/>
    <n v="92741.536160000003"/>
    <n v="580.1"/>
    <n v="92451.487009999997"/>
    <n v="2028864.669"/>
    <n v="21.87654801"/>
    <n v="0.92741536199999997"/>
    <n v="-5.0743741350632625"/>
    <n v="6.2746433809882174E-3"/>
  </r>
  <r>
    <x v="4"/>
    <x v="40"/>
    <x v="0"/>
    <n v="15391"/>
    <n v="2199986"/>
    <n v="6.9959999999999996E-3"/>
    <n v="0.993004"/>
    <n v="92161.402470000001"/>
    <n v="644.76"/>
    <n v="91839.02188"/>
    <n v="1936413.182"/>
    <n v="21.011108010000001"/>
    <n v="0.921614025"/>
    <n v="-4.9624167218257815"/>
    <n v="7.020544990325563E-3"/>
  </r>
  <r>
    <x v="4"/>
    <x v="41"/>
    <x v="0"/>
    <n v="16341"/>
    <n v="2187221"/>
    <n v="7.4710000000000002E-3"/>
    <n v="0.99252899999999999"/>
    <n v="91516.645569999993"/>
    <n v="683.72"/>
    <n v="91174.785140000007"/>
    <n v="1844574.16"/>
    <n v="20.155613750000001"/>
    <n v="0.91516645600000002"/>
    <n v="-4.8967264199884726"/>
    <n v="7.4990036074060393E-3"/>
  </r>
  <r>
    <x v="4"/>
    <x v="42"/>
    <x v="0"/>
    <n v="17321"/>
    <n v="2165425"/>
    <n v="7.9989999999999992E-3"/>
    <n v="0.99200100000000002"/>
    <n v="90832.913329999996"/>
    <n v="726.57"/>
    <n v="90469.627089999994"/>
    <n v="1753399.375"/>
    <n v="19.303568609999999"/>
    <n v="0.90832913299999996"/>
    <n v="-4.8284387451154522"/>
    <n v="8.0310926862124706E-3"/>
  </r>
  <r>
    <x v="4"/>
    <x v="43"/>
    <x v="0"/>
    <n v="17837"/>
    <n v="2090246"/>
    <n v="8.5330000000000007E-3"/>
    <n v="0.99146699999999999"/>
    <n v="90106.350699999995"/>
    <n v="768.88"/>
    <n v="89721.911949999994"/>
    <n v="1662929.7479999999"/>
    <n v="18.455189170000001"/>
    <n v="0.90106350700000004"/>
    <n v="-4.763814279427689"/>
    <n v="8.569591922366674E-3"/>
  </r>
  <r>
    <x v="4"/>
    <x v="44"/>
    <x v="0"/>
    <n v="18724"/>
    <n v="2071538"/>
    <n v="9.0390000000000002E-3"/>
    <n v="0.99096099999999998"/>
    <n v="89337.433080000003"/>
    <n v="807.52"/>
    <n v="88933.672550000003"/>
    <n v="1573207.8359999999"/>
    <n v="17.609727320000001"/>
    <n v="0.89337433099999997"/>
    <n v="-4.7062067301658628"/>
    <n v="9.0800239446456269E-3"/>
  </r>
  <r>
    <x v="4"/>
    <x v="45"/>
    <x v="0"/>
    <n v="19046"/>
    <n v="1991169"/>
    <n v="9.5650000000000006E-3"/>
    <n v="0.99043499999999995"/>
    <n v="88529.939280000006"/>
    <n v="846.79"/>
    <n v="88106.544850000006"/>
    <n v="1484274.1629999999"/>
    <n v="16.765787660000001"/>
    <n v="0.88529939300000005"/>
    <n v="-4.6496446760899204"/>
    <n v="9.6109784078815229E-3"/>
  </r>
  <r>
    <x v="4"/>
    <x v="46"/>
    <x v="0"/>
    <n v="19793"/>
    <n v="1914181"/>
    <n v="1.034E-2"/>
    <n v="0.98965999999999998"/>
    <n v="87683.129579999993"/>
    <n v="906.64"/>
    <n v="87229.807799999995"/>
    <n v="1396167.618"/>
    <n v="15.92287621"/>
    <n v="0.87683129599999998"/>
    <n v="-4.5717354099018541"/>
    <n v="1.0393695808679663E-2"/>
  </r>
  <r>
    <x v="4"/>
    <x v="47"/>
    <x v="0"/>
    <n v="20479"/>
    <n v="1836574"/>
    <n v="1.1150999999999999E-2"/>
    <n v="0.98884899999999998"/>
    <n v="86776.469140000001"/>
    <n v="967.64"/>
    <n v="86292.646940000006"/>
    <n v="1308937.81"/>
    <n v="15.084017859999999"/>
    <n v="0.86776469099999998"/>
    <n v="-4.4962260989989122"/>
    <n v="1.1213467956571663E-2"/>
  </r>
  <r>
    <x v="4"/>
    <x v="48"/>
    <x v="0"/>
    <n v="21517"/>
    <n v="1781346"/>
    <n v="1.2078999999999999E-2"/>
    <n v="0.98792100000000005"/>
    <n v="85808.854819999993"/>
    <n v="1036.49"/>
    <n v="85290.612240000002"/>
    <n v="1222645.1640000001"/>
    <n v="14.248473150000001"/>
    <n v="0.85808854800000001"/>
    <n v="-4.416286871358996"/>
    <n v="1.2152451581542113E-2"/>
  </r>
  <r>
    <x v="4"/>
    <x v="49"/>
    <x v="0"/>
    <n v="22639"/>
    <n v="1731958"/>
    <n v="1.3070999999999999E-2"/>
    <n v="0.98692899999999995"/>
    <n v="84772.363800000006"/>
    <n v="1108.06"/>
    <n v="84218.334019999995"/>
    <n v="1137354.551"/>
    <n v="13.41657234"/>
    <n v="0.84772363799999995"/>
    <n v="-4.3373592431787227"/>
    <n v="1.3156994836533008E-2"/>
  </r>
  <r>
    <x v="4"/>
    <x v="50"/>
    <x v="0"/>
    <n v="24422"/>
    <n v="1674584"/>
    <n v="1.4584E-2"/>
    <n v="0.98541599999999996"/>
    <n v="83664.275989999995"/>
    <n v="1220.1600000000001"/>
    <n v="83054.196089999998"/>
    <n v="1053136.2169999999"/>
    <n v="12.587645139999999"/>
    <n v="0.83664276000000004"/>
    <n v="-4.2278302416057754"/>
    <n v="1.4691129510540236E-2"/>
  </r>
  <r>
    <x v="4"/>
    <x v="51"/>
    <x v="0"/>
    <n v="26607"/>
    <n v="1647705"/>
    <n v="1.6147999999999999E-2"/>
    <n v="0.98385199999999995"/>
    <n v="82444.122839999996"/>
    <n v="1331.31"/>
    <n v="81778.468989999994"/>
    <n v="970082.02119999996"/>
    <n v="11.766539420000001"/>
    <n v="0.82444122799999997"/>
    <n v="-4.1259590759914424"/>
    <n v="1.6279467680201533E-2"/>
  </r>
  <r>
    <x v="4"/>
    <x v="52"/>
    <x v="0"/>
    <n v="29424"/>
    <n v="1707812"/>
    <n v="1.7229000000000001E-2"/>
    <n v="0.98277099999999995"/>
    <n v="81112.822159999996"/>
    <n v="1397.49"/>
    <n v="80414.075750000004"/>
    <n v="888303.55220000003"/>
    <n v="10.951456609999999"/>
    <n v="0.81112822200000001"/>
    <n v="-4.0611612684318681"/>
    <n v="1.7378674456030578E-2"/>
  </r>
  <r>
    <x v="4"/>
    <x v="53"/>
    <x v="0"/>
    <n v="25287"/>
    <n v="1259662"/>
    <n v="2.0074000000000002E-2"/>
    <n v="0.97992599999999996"/>
    <n v="79715.324259999994"/>
    <n v="1600.21"/>
    <n v="78915.221550000002"/>
    <n v="807889.47649999999"/>
    <n v="10.13468218"/>
    <n v="0.79715324300000001"/>
    <n v="-3.9083298335905283"/>
    <n v="2.0277588000836285E-2"/>
  </r>
  <r>
    <x v="4"/>
    <x v="54"/>
    <x v="0"/>
    <n v="26098"/>
    <n v="1238863"/>
    <n v="2.1066000000000001E-2"/>
    <n v="0.97893399999999997"/>
    <n v="78115.084359999993"/>
    <n v="1645.57"/>
    <n v="77292.298179999998"/>
    <n v="728974.25490000006"/>
    <n v="9.3320548890000001"/>
    <n v="0.78115084400000001"/>
    <n v="-3.8600949125677868"/>
    <n v="2.1290220553866063E-2"/>
  </r>
  <r>
    <x v="4"/>
    <x v="55"/>
    <x v="0"/>
    <n v="28571"/>
    <n v="1199896"/>
    <n v="2.3810999999999999E-2"/>
    <n v="0.97618899999999997"/>
    <n v="76469.504920000007"/>
    <n v="1820.82"/>
    <n v="75559.097229999999"/>
    <n v="651681.95669999998"/>
    <n v="8.5221155470000003"/>
    <n v="0.76469504899999996"/>
    <n v="-3.737607620205289"/>
    <n v="2.4097961449168981E-2"/>
  </r>
  <r>
    <x v="4"/>
    <x v="56"/>
    <x v="0"/>
    <n v="31604"/>
    <n v="1218702"/>
    <n v="2.5933000000000001E-2"/>
    <n v="0.97406700000000002"/>
    <n v="74648.671929999997"/>
    <n v="1935.86"/>
    <n v="73680.739929999996"/>
    <n v="576122.85950000002"/>
    <n v="7.717791149"/>
    <n v="0.74648671899999997"/>
    <n v="-3.6522389900189443"/>
    <n v="2.6273616687088421E-2"/>
  </r>
  <r>
    <x v="4"/>
    <x v="57"/>
    <x v="0"/>
    <n v="30493"/>
    <n v="1056331"/>
    <n v="2.8867E-2"/>
    <n v="0.97113300000000002"/>
    <n v="72712.84461"/>
    <n v="2099"/>
    <n v="71663.343770000007"/>
    <n v="502442.11959999998"/>
    <n v="6.909949986"/>
    <n v="0.72712844600000004"/>
    <n v="-3.5450562048044163"/>
    <n v="2.9289728636587711E-2"/>
  </r>
  <r>
    <x v="4"/>
    <x v="58"/>
    <x v="0"/>
    <n v="30611"/>
    <n v="960647"/>
    <n v="3.1864999999999997E-2"/>
    <n v="0.96813499999999997"/>
    <n v="70613.850290000002"/>
    <n v="2250.11"/>
    <n v="69488.795119999995"/>
    <n v="430778.7758"/>
    <n v="6.1004855850000004"/>
    <n v="0.70613850300000003"/>
    <n v="-3.4462470502158795"/>
    <n v="3.2380903660251134E-2"/>
  </r>
  <r>
    <x v="4"/>
    <x v="59"/>
    <x v="0"/>
    <n v="31718"/>
    <n v="898590"/>
    <n v="3.5298000000000003E-2"/>
    <n v="0.96470199999999995"/>
    <n v="68363.741169999994"/>
    <n v="2413.1"/>
    <n v="67157.189499999993"/>
    <n v="361289.98070000001"/>
    <n v="5.2848187429999998"/>
    <n v="0.68363741200000006"/>
    <n v="-3.3439289738717632"/>
    <n v="3.5932108390723631E-2"/>
  </r>
  <r>
    <x v="4"/>
    <x v="60"/>
    <x v="0"/>
    <n v="33085"/>
    <n v="831640"/>
    <n v="3.9782999999999999E-2"/>
    <n v="0.96021699999999999"/>
    <n v="65950.670540000006"/>
    <n v="2623.72"/>
    <n v="64638.81278"/>
    <n v="294132.79119999998"/>
    <n v="4.4598908359999996"/>
    <n v="0.65950670499999997"/>
    <n v="-3.2243155936185657"/>
    <n v="4.0590469896029116E-2"/>
  </r>
  <r>
    <x v="4"/>
    <x v="61"/>
    <x v="0"/>
    <n v="34649"/>
    <n v="788013"/>
    <n v="4.3970000000000002E-2"/>
    <n v="0.95603000000000005"/>
    <n v="63326.965649999998"/>
    <n v="2784.49"/>
    <n v="61934.722309999997"/>
    <n v="229493.97839999999"/>
    <n v="3.6239534940000002"/>
    <n v="0.63326965700000004"/>
    <n v="-3.1242476957894181"/>
    <n v="4.4958466265476379E-2"/>
  </r>
  <r>
    <x v="4"/>
    <x v="62"/>
    <x v="0"/>
    <n v="35705"/>
    <n v="715575"/>
    <n v="4.9896999999999997E-2"/>
    <n v="0.95010300000000003"/>
    <n v="60542.473469999997"/>
    <n v="3020.89"/>
    <n v="59032.029569999999"/>
    <n v="167559.2561"/>
    <n v="2.7676314909999999"/>
    <n v="0.60542473500000005"/>
    <n v="-2.9977943982724393"/>
    <n v="5.1173742843125133E-2"/>
  </r>
  <r>
    <x v="4"/>
    <x v="63"/>
    <x v="0"/>
    <n v="37703"/>
    <n v="671025"/>
    <n v="5.6187000000000001E-2"/>
    <n v="0.94381300000000001"/>
    <n v="57521.589549999997"/>
    <n v="3231.97"/>
    <n v="55905.606769999999"/>
    <n v="108527.2265"/>
    <n v="1.8867216179999999"/>
    <n v="0.575215896"/>
    <n v="-2.8790698655663105"/>
    <n v="5.7811201413113487E-2"/>
  </r>
  <r>
    <x v="4"/>
    <x v="64"/>
    <x v="0"/>
    <n v="38788"/>
    <n v="631230"/>
    <n v="6.1448000000000003E-2"/>
    <n v="0.93855200000000005"/>
    <n v="54289.613850000002"/>
    <n v="3335.99"/>
    <n v="52621.619749999998"/>
    <n v="52621.619749999998"/>
    <n v="0.96927600000000003"/>
    <n v="0.542896139"/>
    <n v="-2.7895639902857563"/>
    <n v="4.3243221844384699E-2"/>
  </r>
  <r>
    <x v="4"/>
    <x v="0"/>
    <x v="1"/>
    <n v="2452"/>
    <n v="2183139"/>
    <n v="1.1230000000000001E-3"/>
    <n v="0.99887700000000001"/>
    <n v="100000"/>
    <n v="112.3"/>
    <n v="99943.85"/>
    <n v="5490469.4610000001"/>
    <n v="54.90469461"/>
    <n v="1"/>
    <n v="-6.7917516032258307"/>
    <n v="1.123631004991801E-3"/>
  </r>
  <r>
    <x v="4"/>
    <x v="1"/>
    <x v="1"/>
    <n v="2871"/>
    <n v="2187086"/>
    <n v="1.3129999999999999E-3"/>
    <n v="0.99868699999999999"/>
    <n v="99887.684659999999"/>
    <n v="131.15"/>
    <n v="99822.108399999997"/>
    <n v="5390525.6109999996"/>
    <n v="53.965868059999998"/>
    <n v="0.99887684700000001"/>
    <n v="-6.6354406836614777"/>
    <n v="1.3138370125489749E-3"/>
  </r>
  <r>
    <x v="4"/>
    <x v="2"/>
    <x v="1"/>
    <n v="2909"/>
    <n v="2195296"/>
    <n v="1.325E-3"/>
    <n v="0.99867499999999998"/>
    <n v="99756.561539999995"/>
    <n v="132.18"/>
    <n v="99690.472819999995"/>
    <n v="5290703.5029999996"/>
    <n v="53.036145400000002"/>
    <n v="0.99756561499999996"/>
    <n v="-6.6263428195439511"/>
    <n v="1.3259041037220825E-3"/>
  </r>
  <r>
    <x v="4"/>
    <x v="3"/>
    <x v="1"/>
    <n v="2979"/>
    <n v="2221758"/>
    <n v="1.341E-3"/>
    <n v="0.99865899999999996"/>
    <n v="99624.373519999994"/>
    <n v="133.6"/>
    <n v="99557.575379999995"/>
    <n v="5191013.03"/>
    <n v="52.105853680000003"/>
    <n v="0.99624373499999996"/>
    <n v="-6.6143396746825953"/>
    <n v="1.341936945905697E-3"/>
  </r>
  <r>
    <x v="4"/>
    <x v="4"/>
    <x v="1"/>
    <n v="3176"/>
    <n v="2277473"/>
    <n v="1.395E-3"/>
    <n v="0.99860499999999996"/>
    <n v="99490.794160000005"/>
    <n v="138.79"/>
    <n v="99421.39933"/>
    <n v="5091455.4539999999"/>
    <n v="51.175141349999997"/>
    <n v="0.99490794199999999"/>
    <n v="-6.5748608637088077"/>
    <n v="1.3959768034321482E-3"/>
  </r>
  <r>
    <x v="4"/>
    <x v="5"/>
    <x v="1"/>
    <n v="3481"/>
    <n v="2325853"/>
    <n v="1.4970000000000001E-3"/>
    <n v="0.99850300000000003"/>
    <n v="99352.051449999999"/>
    <n v="148.72999999999999"/>
    <n v="99277.686440000005"/>
    <n v="4992034.0549999997"/>
    <n v="50.245908180000001"/>
    <n v="0.99352051500000005"/>
    <n v="-6.5042921735446457"/>
    <n v="1.4981208735870037E-3"/>
  </r>
  <r>
    <x v="4"/>
    <x v="6"/>
    <x v="1"/>
    <n v="3696"/>
    <n v="2365886"/>
    <n v="1.562E-3"/>
    <n v="0.99843800000000005"/>
    <n v="99203.355689999997"/>
    <n v="154.96"/>
    <n v="99125.877869999997"/>
    <n v="4892756.3689999999"/>
    <n v="49.320472420000002"/>
    <n v="0.99203355699999995"/>
    <n v="-6.461788227564643"/>
    <n v="1.5632650046529207E-3"/>
  </r>
  <r>
    <x v="4"/>
    <x v="7"/>
    <x v="1"/>
    <n v="3864"/>
    <n v="2421270"/>
    <n v="1.596E-3"/>
    <n v="0.99840399999999996"/>
    <n v="99048.379669999995"/>
    <n v="158.08000000000001"/>
    <n v="98969.339059999998"/>
    <n v="4793630.4910000004"/>
    <n v="48.396859259999999"/>
    <n v="0.990483797"/>
    <n v="-6.44025477995452"/>
    <n v="1.5972622447401478E-3"/>
  </r>
  <r>
    <x v="4"/>
    <x v="8"/>
    <x v="1"/>
    <n v="4129"/>
    <n v="2451756"/>
    <n v="1.684E-3"/>
    <n v="0.99831599999999998"/>
    <n v="98890.312640000004"/>
    <n v="166.53"/>
    <n v="98807.047000000006"/>
    <n v="4694661.1519999998"/>
    <n v="47.473418039999999"/>
    <n v="0.98890312599999997"/>
    <n v="-6.3865833631620017"/>
    <n v="1.6854061862459095E-3"/>
  </r>
  <r>
    <x v="4"/>
    <x v="9"/>
    <x v="1"/>
    <n v="4272"/>
    <n v="2439805"/>
    <n v="1.751E-3"/>
    <n v="0.99824900000000005"/>
    <n v="98723.771559999994"/>
    <n v="172.87"/>
    <n v="98637.338900000002"/>
    <n v="4595854.1050000004"/>
    <n v="46.552659319999997"/>
    <n v="0.98723771599999999"/>
    <n v="-6.3475682256784225"/>
    <n v="1.752581714391348E-3"/>
  </r>
  <r>
    <x v="4"/>
    <x v="10"/>
    <x v="1"/>
    <n v="4301"/>
    <n v="2340865"/>
    <n v="1.8370000000000001E-3"/>
    <n v="0.99816300000000002"/>
    <n v="98550.910220000005"/>
    <n v="181.04"/>
    <n v="98460.391210000002"/>
    <n v="4497216.7659999998"/>
    <n v="45.633437129999997"/>
    <n v="0.98550910199999997"/>
    <n v="-6.2996214727491484"/>
    <n v="1.8387092508387038E-3"/>
  </r>
  <r>
    <x v="4"/>
    <x v="11"/>
    <x v="1"/>
    <n v="4282"/>
    <n v="2281327"/>
    <n v="1.877E-3"/>
    <n v="0.99812299999999998"/>
    <n v="98369.837220000001"/>
    <n v="184.64"/>
    <n v="98277.517129999993"/>
    <n v="4398756.375"/>
    <n v="44.716515739999998"/>
    <n v="0.98369837199999999"/>
    <n v="-6.2780805213777651"/>
    <n v="1.8787613214516926E-3"/>
  </r>
  <r>
    <x v="4"/>
    <x v="12"/>
    <x v="1"/>
    <n v="4269"/>
    <n v="2239886"/>
    <n v="1.9059999999999999E-3"/>
    <n v="0.99809400000000004"/>
    <n v="98185.199219999995"/>
    <n v="187.14"/>
    <n v="98091.628729999997"/>
    <n v="4300478.8569999998"/>
    <n v="43.799665240000003"/>
    <n v="0.98185199199999995"/>
    <n v="-6.2627484737501264"/>
    <n v="1.9078079661063057E-3"/>
  </r>
  <r>
    <x v="4"/>
    <x v="13"/>
    <x v="1"/>
    <n v="4410"/>
    <n v="2243280"/>
    <n v="1.9659999999999999E-3"/>
    <n v="0.99803399999999998"/>
    <n v="97998.067989999996"/>
    <n v="192.66"/>
    <n v="97901.735889999996"/>
    <n v="4202387.2290000003"/>
    <n v="42.882347729999999"/>
    <n v="0.97998068000000005"/>
    <n v="-6.2317542572571627"/>
    <n v="1.9678914357427945E-3"/>
  </r>
  <r>
    <x v="4"/>
    <x v="14"/>
    <x v="1"/>
    <n v="4647"/>
    <n v="2249252"/>
    <n v="2.0660000000000001E-3"/>
    <n v="0.99793399999999999"/>
    <n v="97805.416389999999"/>
    <n v="202.07"/>
    <n v="97704.383390000003"/>
    <n v="4104485.4929999998"/>
    <n v="41.965830160000003"/>
    <n v="0.978054164"/>
    <n v="-6.1821409082846905"/>
    <n v="2.068177445224998E-3"/>
  </r>
  <r>
    <x v="4"/>
    <x v="15"/>
    <x v="1"/>
    <n v="4671"/>
    <n v="2167622"/>
    <n v="2.1549999999999998E-3"/>
    <n v="0.99784499999999998"/>
    <n v="97603.348429999998"/>
    <n v="210.34"/>
    <n v="97498.180819999994"/>
    <n v="4006781.1090000002"/>
    <n v="41.051676749999999"/>
    <n v="0.97603348400000001"/>
    <n v="-6.1399645554264257"/>
    <n v="2.1573734737560897E-3"/>
  </r>
  <r>
    <x v="4"/>
    <x v="16"/>
    <x v="1"/>
    <n v="4854"/>
    <n v="2191368"/>
    <n v="2.215E-3"/>
    <n v="0.99778500000000003"/>
    <n v="97393.023369999995"/>
    <n v="215.73"/>
    <n v="97285.160600000003"/>
    <n v="3909282.929"/>
    <n v="40.139250160000003"/>
    <n v="0.97393023400000001"/>
    <n v="-6.1125028754850383"/>
    <n v="2.217501668191001E-3"/>
  </r>
  <r>
    <x v="4"/>
    <x v="17"/>
    <x v="1"/>
    <n v="5066"/>
    <n v="2181162"/>
    <n v="2.323E-3"/>
    <n v="0.99767700000000004"/>
    <n v="97177.292490000007"/>
    <n v="225.74"/>
    <n v="97064.421059999993"/>
    <n v="3811997.7680000002"/>
    <n v="39.227248160000002"/>
    <n v="0.97177292500000001"/>
    <n v="-6.0648958251938652"/>
    <n v="2.3256714873802682E-3"/>
  </r>
  <r>
    <x v="4"/>
    <x v="18"/>
    <x v="1"/>
    <n v="5281"/>
    <n v="2149359"/>
    <n v="2.457E-3"/>
    <n v="0.99754299999999996"/>
    <n v="96951.587039999999"/>
    <n v="238.21"/>
    <n v="96832.482019999996"/>
    <n v="3714933.3470000001"/>
    <n v="38.317406249999998"/>
    <n v="0.96951586999999995"/>
    <n v="-6.0088141854430948"/>
    <n v="2.4600216418392737E-3"/>
  </r>
  <r>
    <x v="4"/>
    <x v="19"/>
    <x v="1"/>
    <n v="5369"/>
    <n v="2195430"/>
    <n v="2.4459999999999998E-3"/>
    <n v="0.99755400000000005"/>
    <n v="96713.37586"/>
    <n v="236.56"/>
    <n v="96595.095400000006"/>
    <n v="3618100.8650000002"/>
    <n v="37.41055291"/>
    <n v="0.96713375899999998"/>
    <n v="-6.0133012417171567"/>
    <n v="2.4489850534724607E-3"/>
  </r>
  <r>
    <x v="4"/>
    <x v="20"/>
    <x v="1"/>
    <n v="5628"/>
    <n v="2046663"/>
    <n v="2.7499999999999998E-3"/>
    <n v="0.99724999999999997"/>
    <n v="96476.859960000002"/>
    <n v="265.31"/>
    <n v="96344.204280000005"/>
    <n v="3521505.77"/>
    <n v="36.50104047"/>
    <n v="0.96476859999999998"/>
    <n v="-5.8961543673036569"/>
    <n v="2.7537720718411821E-3"/>
  </r>
  <r>
    <x v="4"/>
    <x v="21"/>
    <x v="1"/>
    <n v="5385"/>
    <n v="2001502"/>
    <n v="2.6900000000000001E-3"/>
    <n v="0.99731000000000003"/>
    <n v="96211.563829999999"/>
    <n v="258.81"/>
    <n v="96082.159280000007"/>
    <n v="3425161.5649999999"/>
    <n v="35.600310700000001"/>
    <n v="0.962115638"/>
    <n v="-5.9182140853683896"/>
    <n v="2.6936328667207928E-3"/>
  </r>
  <r>
    <x v="4"/>
    <x v="22"/>
    <x v="1"/>
    <n v="5655"/>
    <n v="1972584"/>
    <n v="2.8670000000000002E-3"/>
    <n v="0.99713300000000005"/>
    <n v="95952.708589999995"/>
    <n v="275.10000000000002"/>
    <n v="95815.160380000001"/>
    <n v="3329079.406"/>
    <n v="34.69500189"/>
    <n v="0.95952708600000003"/>
    <n v="-5.8544890920809038"/>
    <n v="2.8711528644057025E-3"/>
  </r>
  <r>
    <x v="4"/>
    <x v="23"/>
    <x v="1"/>
    <n v="5558"/>
    <n v="1913289"/>
    <n v="2.905E-3"/>
    <n v="0.99709499999999995"/>
    <n v="95677.631550000006"/>
    <n v="277.94"/>
    <n v="95538.659790000005"/>
    <n v="3233264.2459999998"/>
    <n v="33.793314000000002"/>
    <n v="0.95677631600000002"/>
    <n v="-5.8413218886782623"/>
    <n v="2.9091887305453213E-3"/>
  </r>
  <r>
    <x v="4"/>
    <x v="24"/>
    <x v="1"/>
    <n v="5969"/>
    <n v="1973101"/>
    <n v="3.0249999999999999E-3"/>
    <n v="0.99697499999999994"/>
    <n v="95399.69326"/>
    <n v="288.58"/>
    <n v="95255.40122"/>
    <n v="3137725.5860000001"/>
    <n v="32.890311050000001"/>
    <n v="0.95399693299999999"/>
    <n v="-5.8008441874993322"/>
    <n v="3.0295397778787518E-3"/>
  </r>
  <r>
    <x v="4"/>
    <x v="25"/>
    <x v="1"/>
    <n v="6309"/>
    <n v="1900492"/>
    <n v="3.32E-3"/>
    <n v="0.99668000000000001"/>
    <n v="95111.091320000007"/>
    <n v="315.77"/>
    <n v="94953.206909999994"/>
    <n v="3042470.1850000001"/>
    <n v="31.988595050000001"/>
    <n v="0.95111091299999995"/>
    <n v="-5.7077904960537396"/>
    <n v="3.3255322022942568E-3"/>
  </r>
  <r>
    <x v="4"/>
    <x v="26"/>
    <x v="1"/>
    <n v="6937"/>
    <n v="1919298"/>
    <n v="3.614E-3"/>
    <n v="0.99638599999999999"/>
    <n v="94795.354200000002"/>
    <n v="342.59"/>
    <n v="94624.058990000005"/>
    <n v="2947516.9780000001"/>
    <n v="31.09347502"/>
    <n v="0.94795354200000004"/>
    <n v="-5.6229400868121004"/>
    <n v="3.6205386070084097E-3"/>
  </r>
  <r>
    <x v="4"/>
    <x v="27"/>
    <x v="1"/>
    <n v="7793"/>
    <n v="2005221"/>
    <n v="3.8860000000000001E-3"/>
    <n v="0.99611400000000005"/>
    <n v="94452.731339999998"/>
    <n v="367.04"/>
    <n v="94269.20968"/>
    <n v="2852892.9190000002"/>
    <n v="30.204451240000001"/>
    <n v="0.94452731300000004"/>
    <n v="-5.5503749280268888"/>
    <n v="3.8935307344052424E-3"/>
  </r>
  <r>
    <x v="4"/>
    <x v="28"/>
    <x v="1"/>
    <n v="8843"/>
    <n v="2114614"/>
    <n v="4.182E-3"/>
    <n v="0.99581799999999998"/>
    <n v="94085.65453"/>
    <n v="393.47"/>
    <n v="93888.921430000002"/>
    <n v="2758623.7089999998"/>
    <n v="29.3203435"/>
    <n v="0.94085654500000004"/>
    <n v="-5.476965677975695"/>
    <n v="4.1908029678871042E-3"/>
  </r>
  <r>
    <x v="4"/>
    <x v="29"/>
    <x v="1"/>
    <n v="9476"/>
    <n v="2145730"/>
    <n v="4.4159999999999998E-3"/>
    <n v="0.99558400000000002"/>
    <n v="93692.202369999999"/>
    <n v="413.74"/>
    <n v="93485.329989999998"/>
    <n v="2664734.7880000002"/>
    <n v="28.44137207"/>
    <n v="0.93692202400000002"/>
    <n v="-5.4225209700073433"/>
    <n v="4.42572159874253E-3"/>
  </r>
  <r>
    <x v="4"/>
    <x v="30"/>
    <x v="1"/>
    <n v="9940"/>
    <n v="2025376"/>
    <n v="4.908E-3"/>
    <n v="0.99509199999999998"/>
    <n v="93278.437680000003"/>
    <n v="457.81"/>
    <n v="93049.532389999993"/>
    <n v="2571249.4580000001"/>
    <n v="27.565314359999999"/>
    <n v="0.93278437700000005"/>
    <n v="-5.3168887521334725"/>
    <n v="4.9200670483816227E-3"/>
  </r>
  <r>
    <x v="4"/>
    <x v="31"/>
    <x v="1"/>
    <n v="10653"/>
    <n v="1976883"/>
    <n v="5.3889999999999997E-3"/>
    <n v="0.99461100000000002"/>
    <n v="92820.652230000007"/>
    <n v="500.21"/>
    <n v="92570.546979999999"/>
    <n v="2478199.9249999998"/>
    <n v="26.698798870000001"/>
    <n v="0.92820652199999998"/>
    <n v="-5.2233954400307772"/>
    <n v="5.4035539673846344E-3"/>
  </r>
  <r>
    <x v="4"/>
    <x v="32"/>
    <x v="1"/>
    <n v="11605"/>
    <n v="1968619"/>
    <n v="5.8950000000000001E-3"/>
    <n v="0.99410500000000002"/>
    <n v="92320.461569999999"/>
    <n v="544.23"/>
    <n v="92048.347009999998"/>
    <n v="2385629.378"/>
    <n v="25.840743620000001"/>
    <n v="0.92320461600000003"/>
    <n v="-5.1336507449928028"/>
    <n v="5.9124364145209914E-3"/>
  </r>
  <r>
    <x v="4"/>
    <x v="33"/>
    <x v="1"/>
    <n v="12550"/>
    <n v="2001325"/>
    <n v="6.2709999999999997E-3"/>
    <n v="0.99372899999999997"/>
    <n v="91776.232870000007"/>
    <n v="575.53"/>
    <n v="91488.468489999999"/>
    <n v="2293581.031"/>
    <n v="24.991013030000001"/>
    <n v="0.91776232899999999"/>
    <n v="-5.0718194474212535"/>
    <n v="6.2907376732574474E-3"/>
  </r>
  <r>
    <x v="4"/>
    <x v="34"/>
    <x v="1"/>
    <n v="14741"/>
    <n v="2114408"/>
    <n v="6.9719999999999999E-3"/>
    <n v="0.99302800000000002"/>
    <n v="91200.718290000004"/>
    <n v="635.85"/>
    <n v="90882.792589999997"/>
    <n v="2202092.5630000001"/>
    <n v="24.145561610000001"/>
    <n v="0.91200718300000005"/>
    <n v="-4.9658531513243629"/>
    <n v="6.9963728384706114E-3"/>
  </r>
  <r>
    <x v="4"/>
    <x v="35"/>
    <x v="1"/>
    <n v="16534"/>
    <n v="2137586"/>
    <n v="7.7349999999999997E-3"/>
    <n v="0.99226499999999995"/>
    <n v="90564.89503"/>
    <n v="700.52"/>
    <n v="90214.635299999994"/>
    <n v="2111209.77"/>
    <n v="23.311568680000001"/>
    <n v="0.90564895000000001"/>
    <n v="-4.8619997949571072"/>
    <n v="7.7650367952274216E-3"/>
  </r>
  <r>
    <x v="4"/>
    <x v="36"/>
    <x v="1"/>
    <n v="17793"/>
    <n v="2125123"/>
    <n v="8.3730000000000002E-3"/>
    <n v="0.99162700000000004"/>
    <n v="89864.385209999993"/>
    <n v="752.43"/>
    <n v="89488.167960000006"/>
    <n v="2020995.135"/>
    <n v="22.489389209999999"/>
    <n v="0.89864385199999997"/>
    <n v="-4.7827430357598422"/>
    <n v="8.4081493754957319E-3"/>
  </r>
  <r>
    <x v="4"/>
    <x v="37"/>
    <x v="1"/>
    <n v="19341"/>
    <n v="2111795"/>
    <n v="9.1590000000000005E-3"/>
    <n v="0.99084099999999997"/>
    <n v="89111.978409999996"/>
    <n v="816.18"/>
    <n v="88703.890100000004"/>
    <n v="1931506.9669999999"/>
    <n v="21.67505426"/>
    <n v="0.89111978400000003"/>
    <n v="-4.6930182765612862"/>
    <n v="9.2011727830070937E-3"/>
  </r>
  <r>
    <x v="4"/>
    <x v="38"/>
    <x v="1"/>
    <n v="20908"/>
    <n v="2125774"/>
    <n v="9.835E-3"/>
    <n v="0.99016499999999996"/>
    <n v="88295.841060000006"/>
    <n v="868.39"/>
    <n v="87861.646259999994"/>
    <n v="1842803.077"/>
    <n v="20.870780029999999"/>
    <n v="0.88295841100000005"/>
    <n v="-4.6218078271411143"/>
    <n v="9.8836095704668541E-3"/>
  </r>
  <r>
    <x v="4"/>
    <x v="39"/>
    <x v="1"/>
    <n v="22479"/>
    <n v="2142211"/>
    <n v="1.0493000000000001E-2"/>
    <n v="0.98950700000000003"/>
    <n v="87427.409400000004"/>
    <n v="917.38"/>
    <n v="86968.7215"/>
    <n v="1754941.43"/>
    <n v="20.073126290000001"/>
    <n v="0.874274094"/>
    <n v="-4.5570469108063634"/>
    <n v="1.0548392020807169E-2"/>
  </r>
  <r>
    <x v="4"/>
    <x v="40"/>
    <x v="1"/>
    <n v="23299"/>
    <n v="2052677"/>
    <n v="1.1351E-2"/>
    <n v="0.988649"/>
    <n v="86510.001759999999"/>
    <n v="981.98"/>
    <n v="86019.014249999993"/>
    <n v="1667972.709"/>
    <n v="19.280692120000001"/>
    <n v="0.86510001800000003"/>
    <n v="-4.4784494332089348"/>
    <n v="1.1415845477040778E-2"/>
  </r>
  <r>
    <x v="4"/>
    <x v="41"/>
    <x v="1"/>
    <n v="25181"/>
    <n v="2027951"/>
    <n v="1.2416999999999999E-2"/>
    <n v="0.98758299999999999"/>
    <n v="85528.066200000001"/>
    <n v="1062"/>
    <n v="84997.065199999997"/>
    <n v="1581953.6950000001"/>
    <n v="18.4963108"/>
    <n v="0.85528066199999997"/>
    <n v="-4.3886887775474319"/>
    <n v="1.2494548837614076E-2"/>
  </r>
  <r>
    <x v="4"/>
    <x v="42"/>
    <x v="1"/>
    <n v="26654"/>
    <n v="1991220"/>
    <n v="1.3386E-2"/>
    <n v="0.98661399999999999"/>
    <n v="84466.067049999998"/>
    <n v="1130.6600000000001"/>
    <n v="83900.735660000006"/>
    <n v="1496956.63"/>
    <n v="17.72257999"/>
    <n v="0.84466067099999997"/>
    <n v="-4.3135458943036866"/>
    <n v="1.3476161519668212E-2"/>
  </r>
  <r>
    <x v="4"/>
    <x v="43"/>
    <x v="1"/>
    <n v="27524"/>
    <n v="1905842"/>
    <n v="1.4442E-2"/>
    <n v="0.98555800000000005"/>
    <n v="83335.424249999996"/>
    <n v="1203.53"/>
    <n v="82733.659150000007"/>
    <n v="1413055.8940000001"/>
    <n v="16.956245280000001"/>
    <n v="0.83335424300000005"/>
    <n v="-4.2376146509531472"/>
    <n v="1.4547041170150776E-2"/>
  </r>
  <r>
    <x v="4"/>
    <x v="44"/>
    <x v="1"/>
    <n v="28212"/>
    <n v="1879040"/>
    <n v="1.5014E-2"/>
    <n v="0.98498600000000003"/>
    <n v="82131.901500000007"/>
    <n v="1233.1300000000001"/>
    <n v="81515.337320000006"/>
    <n v="1330322.2350000001"/>
    <n v="16.197387500000001"/>
    <n v="0.82131901500000004"/>
    <n v="-4.1987721798313267"/>
    <n v="1.5127582999144303E-2"/>
  </r>
  <r>
    <x v="4"/>
    <x v="45"/>
    <x v="1"/>
    <n v="29113"/>
    <n v="1783428"/>
    <n v="1.6324000000000002E-2"/>
    <n v="0.98367599999999999"/>
    <n v="80898.769039999999"/>
    <n v="1320.59"/>
    <n v="80238.473289999994"/>
    <n v="1248806.8970000001"/>
    <n v="15.436661300000001"/>
    <n v="0.80898769000000004"/>
    <n v="-4.1151188614385781"/>
    <n v="1.6458315641278583E-2"/>
  </r>
  <r>
    <x v="4"/>
    <x v="46"/>
    <x v="1"/>
    <n v="29767"/>
    <n v="1703888"/>
    <n v="1.7469999999999999E-2"/>
    <n v="0.98253000000000001"/>
    <n v="79578.162960000001"/>
    <n v="1390.23"/>
    <n v="78883.047709999999"/>
    <n v="1168568.4240000001"/>
    <n v="14.684536319999999"/>
    <n v="0.79578163000000002"/>
    <n v="-4.0472701548361716"/>
    <n v="1.7623939134017656E-2"/>
  </r>
  <r>
    <x v="4"/>
    <x v="47"/>
    <x v="1"/>
    <n v="30240"/>
    <n v="1627863"/>
    <n v="1.8577E-2"/>
    <n v="0.98142300000000005"/>
    <n v="78187.928880000007"/>
    <n v="1452.5"/>
    <n v="77461.680300000007"/>
    <n v="1089685.3759999999"/>
    <n v="13.93674691"/>
    <n v="0.78187928900000003"/>
    <n v="-3.9858310225728699"/>
    <n v="1.8751202261492073E-2"/>
  </r>
  <r>
    <x v="4"/>
    <x v="48"/>
    <x v="1"/>
    <n v="30695"/>
    <n v="1564129"/>
    <n v="1.9623999999999999E-2"/>
    <n v="0.98037600000000003"/>
    <n v="76735.470669999995"/>
    <n v="1505.86"/>
    <n v="75982.542230000006"/>
    <n v="1012223.696"/>
    <n v="13.19107953"/>
    <n v="0.76735470699999997"/>
    <n v="-3.9310019720259488"/>
    <n v="1.9818503232905745E-2"/>
  </r>
  <r>
    <x v="4"/>
    <x v="49"/>
    <x v="1"/>
    <n v="31123"/>
    <n v="1520465"/>
    <n v="2.0469000000000001E-2"/>
    <n v="0.97953100000000004"/>
    <n v="75229.587669999994"/>
    <n v="1539.87"/>
    <n v="74459.650450000001"/>
    <n v="936241.15390000003"/>
    <n v="12.445118770000001"/>
    <n v="0.752295877"/>
    <n v="-3.8888437324807406"/>
    <n v="2.0680600815669595E-2"/>
  </r>
  <r>
    <x v="4"/>
    <x v="50"/>
    <x v="1"/>
    <n v="32921"/>
    <n v="1462120"/>
    <n v="2.2516000000000001E-2"/>
    <n v="0.97748400000000002"/>
    <n v="73689.68346"/>
    <n v="1659.2"/>
    <n v="72860.085000000006"/>
    <n v="861781.50340000005"/>
    <n v="11.69473749"/>
    <n v="0.73689683500000003"/>
    <n v="-3.7935291113803569"/>
    <n v="2.2772412988941497E-2"/>
  </r>
  <r>
    <x v="4"/>
    <x v="51"/>
    <x v="1"/>
    <n v="34789"/>
    <n v="1435378"/>
    <n v="2.4237000000000002E-2"/>
    <n v="0.97576300000000005"/>
    <n v="72030.491280000002"/>
    <n v="1745.8"/>
    <n v="71157.589770000006"/>
    <n v="788921.41839999997"/>
    <n v="10.9526036"/>
    <n v="0.72030491299999999"/>
    <n v="-3.7198748878164558"/>
    <n v="2.4534274525629032E-2"/>
  </r>
  <r>
    <x v="4"/>
    <x v="52"/>
    <x v="1"/>
    <n v="37706"/>
    <n v="1483236"/>
    <n v="2.5420999999999999E-2"/>
    <n v="0.97457899999999997"/>
    <n v="70284.701140000005"/>
    <n v="1786.71"/>
    <n v="69391.347450000001"/>
    <n v="717763.82869999995"/>
    <n v="10.212234199999999"/>
    <n v="0.70284701100000002"/>
    <n v="-3.672179674891523"/>
    <n v="2.5748316857154764E-2"/>
  </r>
  <r>
    <x v="4"/>
    <x v="53"/>
    <x v="1"/>
    <n v="31566"/>
    <n v="1074771"/>
    <n v="2.937E-2"/>
    <n v="0.97062999999999999"/>
    <n v="68497.962589999996"/>
    <n v="2011.79"/>
    <n v="67492.070009999996"/>
    <n v="648372.48120000004"/>
    <n v="9.4655732330000006"/>
    <n v="0.68497962599999995"/>
    <n v="-3.5277815337716083"/>
    <n v="2.980779781609777E-2"/>
  </r>
  <r>
    <x v="4"/>
    <x v="54"/>
    <x v="1"/>
    <n v="32327"/>
    <n v="1044301"/>
    <n v="3.0956000000000001E-2"/>
    <n v="0.96904400000000002"/>
    <n v="66486.178969999994"/>
    <n v="2058.15"/>
    <n v="65457.105889999999"/>
    <n v="580880.41119999997"/>
    <n v="8.7368596029999992"/>
    <n v="0.66486179000000001"/>
    <n v="-3.4751884375739244"/>
    <n v="3.1442722525380322E-2"/>
  </r>
  <r>
    <x v="4"/>
    <x v="55"/>
    <x v="1"/>
    <n v="34576"/>
    <n v="998390"/>
    <n v="3.4632000000000003E-2"/>
    <n v="0.965368"/>
    <n v="64428.057119999998"/>
    <n v="2231.27"/>
    <n v="63312.420879999998"/>
    <n v="515423.30530000001"/>
    <n v="7.9999821249999998"/>
    <n v="0.64428057100000002"/>
    <n v="-3.3629771688424577"/>
    <n v="3.5242211449828302E-2"/>
  </r>
  <r>
    <x v="4"/>
    <x v="56"/>
    <x v="1"/>
    <n v="37415"/>
    <n v="1003690"/>
    <n v="3.7276999999999998E-2"/>
    <n v="0.962723"/>
    <n v="62196.800300000003"/>
    <n v="2318.5100000000002"/>
    <n v="61037.545239999999"/>
    <n v="452110.88439999998"/>
    <n v="7.2690376710000004"/>
    <n v="0.62196800299999999"/>
    <n v="-3.2893787645058046"/>
    <n v="3.7984989699622745E-2"/>
  </r>
  <r>
    <x v="4"/>
    <x v="57"/>
    <x v="1"/>
    <n v="35401"/>
    <n v="854930"/>
    <n v="4.1408E-2"/>
    <n v="0.958592"/>
    <n v="59878.262419999999"/>
    <n v="2479.44"/>
    <n v="58638.542869999997"/>
    <n v="391073.33919999999"/>
    <n v="6.5311404069999996"/>
    <n v="0.59878262400000004"/>
    <n v="-3.1842811801037016"/>
    <n v="4.2283453256444496E-2"/>
  </r>
  <r>
    <x v="4"/>
    <x v="58"/>
    <x v="1"/>
    <n v="34513"/>
    <n v="760170"/>
    <n v="4.5401999999999998E-2"/>
    <n v="0.95459799999999995"/>
    <n v="57398.819230000001"/>
    <n v="2606.02"/>
    <n v="56095.80863"/>
    <n v="332434.79629999999"/>
    <n v="5.7916661139999999"/>
    <n v="0.57398819199999995"/>
    <n v="-3.0921991220416976"/>
    <n v="4.645658286307431E-2"/>
  </r>
  <r>
    <x v="4"/>
    <x v="59"/>
    <x v="1"/>
    <n v="34591"/>
    <n v="701319"/>
    <n v="4.9322999999999999E-2"/>
    <n v="0.95067699999999999"/>
    <n v="54792.816030000002"/>
    <n v="2702.55"/>
    <n v="53441.542999999998"/>
    <n v="276338.9877"/>
    <n v="5.0433434110000004"/>
    <n v="0.54792816"/>
    <n v="-3.0093647752852872"/>
    <n v="5.0570203217220049E-2"/>
  </r>
  <r>
    <x v="4"/>
    <x v="60"/>
    <x v="1"/>
    <n v="35264"/>
    <n v="643638"/>
    <n v="5.4788999999999997E-2"/>
    <n v="0.94521100000000002"/>
    <n v="52090.28224"/>
    <n v="2853.97"/>
    <n v="50663.294999999998"/>
    <n v="222897.44469999999"/>
    <n v="4.2790600300000001"/>
    <n v="0.52090282200000004"/>
    <n v="-2.9042658351041228"/>
    <n v="5.6332091233390905E-2"/>
  </r>
  <r>
    <x v="4"/>
    <x v="61"/>
    <x v="1"/>
    <n v="35972"/>
    <n v="593628"/>
    <n v="6.0596999999999998E-2"/>
    <n v="0.93940299999999999"/>
    <n v="49236.330620000001"/>
    <n v="2983.57"/>
    <n v="47744.543660000003"/>
    <n v="172234.14970000001"/>
    <n v="3.4981109990000001"/>
    <n v="0.492363306"/>
    <n v="-2.8035098920827739"/>
    <n v="6.2490277940758426E-2"/>
  </r>
  <r>
    <x v="4"/>
    <x v="62"/>
    <x v="1"/>
    <n v="35419"/>
    <n v="525766"/>
    <n v="6.7365999999999995E-2"/>
    <n v="0.93263399999999996"/>
    <n v="46252.762990000003"/>
    <n v="3115.86"/>
    <n v="44694.831169999998"/>
    <n v="124489.606"/>
    <n v="2.691506366"/>
    <n v="0.46252763000000002"/>
    <n v="-2.697614839380682"/>
    <n v="6.9714118559601468E-2"/>
  </r>
  <r>
    <x v="4"/>
    <x v="63"/>
    <x v="1"/>
    <n v="35821"/>
    <n v="480165"/>
    <n v="7.4601000000000001E-2"/>
    <n v="0.92539899999999997"/>
    <n v="43136.877569999997"/>
    <n v="3218.05"/>
    <n v="41527.850469999998"/>
    <n v="79794.774839999998"/>
    <n v="1.8498041430000001"/>
    <n v="0.43136877600000001"/>
    <n v="-2.5956013670365286"/>
    <n v="7.7491387052542826E-2"/>
  </r>
  <r>
    <x v="4"/>
    <x v="64"/>
    <x v="1"/>
    <n v="36128"/>
    <n v="436527"/>
    <n v="8.2762000000000002E-2"/>
    <n v="0.917238"/>
    <n v="39918.80442"/>
    <n v="3303.76"/>
    <n v="38266.924370000001"/>
    <n v="38266.924370000001"/>
    <n v="0.958619"/>
    <n v="0.39918804400000002"/>
    <n v="-2.4917862601328986"/>
    <n v="4.7223959834347476E-2"/>
  </r>
  <r>
    <x v="4"/>
    <x v="0"/>
    <x v="2"/>
    <n v="3313"/>
    <n v="4269683"/>
    <n v="7.76E-4"/>
    <n v="0.999224"/>
    <n v="100000"/>
    <n v="77.599999999999994"/>
    <n v="99961.2"/>
    <n v="5666872.1629999997"/>
    <n v="56.66872163"/>
    <n v="1"/>
    <n v="-7.1613580377810555"/>
    <n v="7.7630117993854819E-4"/>
  </r>
  <r>
    <x v="4"/>
    <x v="1"/>
    <x v="2"/>
    <n v="3821"/>
    <n v="4278323"/>
    <n v="8.9300000000000002E-4"/>
    <n v="0.99910699999999997"/>
    <n v="99922.406419999999"/>
    <n v="89.23"/>
    <n v="99877.791070000007"/>
    <n v="5566910.9630000005"/>
    <n v="55.71233883"/>
    <n v="0.99922406399999997"/>
    <n v="-7.0209239770877749"/>
    <n v="8.9339185242001381E-4"/>
  </r>
  <r>
    <x v="4"/>
    <x v="2"/>
    <x v="2"/>
    <n v="3882"/>
    <n v="4298772"/>
    <n v="9.0300000000000005E-4"/>
    <n v="0.99909700000000001"/>
    <n v="99833.16502"/>
    <n v="90.15"/>
    <n v="99788.090349999999"/>
    <n v="5467033.1720000003"/>
    <n v="54.761693379999997"/>
    <n v="0.99833165000000001"/>
    <n v="-7.0097880045472882"/>
    <n v="9.0341444434002154E-4"/>
  </r>
  <r>
    <x v="4"/>
    <x v="3"/>
    <x v="2"/>
    <n v="4146"/>
    <n v="4341644"/>
    <n v="9.5500000000000001E-4"/>
    <n v="0.99904499999999996"/>
    <n v="99743.010819999996"/>
    <n v="95.25"/>
    <n v="99695.383530000006"/>
    <n v="5367245.0820000004"/>
    <n v="53.81073859"/>
    <n v="0.99743010799999998"/>
    <n v="-6.9537992174835441"/>
    <n v="9.5541030748719355E-4"/>
  </r>
  <r>
    <x v="4"/>
    <x v="4"/>
    <x v="2"/>
    <n v="4351"/>
    <n v="4444518"/>
    <n v="9.7900000000000005E-4"/>
    <n v="0.99902100000000005"/>
    <n v="99647.762449999995"/>
    <n v="97.56"/>
    <n v="99598.98487"/>
    <n v="5267549.6979999999"/>
    <n v="52.86169572"/>
    <n v="0.99647762500000003"/>
    <n v="-6.9289789154337633"/>
    <n v="9.7952803549562805E-4"/>
  </r>
  <r>
    <x v="4"/>
    <x v="5"/>
    <x v="2"/>
    <n v="4752"/>
    <n v="4539058"/>
    <n v="1.047E-3"/>
    <n v="0.99895299999999998"/>
    <n v="99550.2114"/>
    <n v="104.23"/>
    <n v="99498.096860000005"/>
    <n v="5167950.7130000005"/>
    <n v="51.913005910000003"/>
    <n v="0.99550211399999999"/>
    <n v="-6.8618263470937375"/>
    <n v="1.047557679632897E-3"/>
  </r>
  <r>
    <x v="4"/>
    <x v="6"/>
    <x v="2"/>
    <n v="5086"/>
    <n v="4611220"/>
    <n v="1.103E-3"/>
    <n v="0.99889700000000003"/>
    <n v="99445.990959999996"/>
    <n v="109.69"/>
    <n v="99391.146500000003"/>
    <n v="5068452.6160000004"/>
    <n v="50.966887329999999"/>
    <n v="0.99445991"/>
    <n v="-6.8097215387107717"/>
    <n v="1.1036194045126477E-3"/>
  </r>
  <r>
    <x v="4"/>
    <x v="7"/>
    <x v="2"/>
    <n v="5383"/>
    <n v="4733869"/>
    <n v="1.137E-3"/>
    <n v="0.99886299999999995"/>
    <n v="99336.305819999994"/>
    <n v="112.95"/>
    <n v="99279.833129999999"/>
    <n v="4969061.47"/>
    <n v="50.022611859999998"/>
    <n v="0.99336305800000002"/>
    <n v="-6.7793620642137382"/>
    <n v="1.1376933612065878E-3"/>
  </r>
  <r>
    <x v="4"/>
    <x v="8"/>
    <x v="2"/>
    <n v="5757"/>
    <n v="4818725"/>
    <n v="1.1950000000000001E-3"/>
    <n v="0.99880500000000005"/>
    <n v="99223.348039999997"/>
    <n v="118.57"/>
    <n v="99164.062090000007"/>
    <n v="4869781.6370000001"/>
    <n v="49.078989300000003"/>
    <n v="0.99223348"/>
    <n v="-6.729609093598663"/>
    <n v="1.1956950991921637E-3"/>
  </r>
  <r>
    <x v="4"/>
    <x v="9"/>
    <x v="2"/>
    <n v="5991"/>
    <n v="4806144"/>
    <n v="1.2470000000000001E-3"/>
    <n v="0.998753"/>
    <n v="99104.804480000006"/>
    <n v="123.58"/>
    <n v="99043.012629999997"/>
    <n v="4770617.5750000002"/>
    <n v="48.137096880000001"/>
    <n v="0.99104804499999999"/>
    <n v="-6.687014612284238"/>
    <n v="1.2477404273268341E-3"/>
  </r>
  <r>
    <x v="4"/>
    <x v="10"/>
    <x v="2"/>
    <n v="6183"/>
    <n v="4614384"/>
    <n v="1.34E-3"/>
    <n v="0.99865999999999999"/>
    <n v="98981.267420000004"/>
    <n v="132.63"/>
    <n v="98914.949970000001"/>
    <n v="4671574.5619999999"/>
    <n v="47.196552269999998"/>
    <n v="0.98981267399999995"/>
    <n v="-6.6150856650193166"/>
    <n v="1.3408488411986396E-3"/>
  </r>
  <r>
    <x v="4"/>
    <x v="11"/>
    <x v="2"/>
    <n v="6225"/>
    <n v="4502311"/>
    <n v="1.3829999999999999E-3"/>
    <n v="0.99861699999999998"/>
    <n v="98848.638420000003"/>
    <n v="136.71"/>
    <n v="98780.284589999996"/>
    <n v="4572659.6119999997"/>
    <n v="46.259206859999999"/>
    <n v="0.988486384"/>
    <n v="-6.5835002262995159"/>
    <n v="1.3839803641449047E-3"/>
  </r>
  <r>
    <x v="4"/>
    <x v="12"/>
    <x v="2"/>
    <n v="6263"/>
    <n v="4421505"/>
    <n v="1.4159999999999999E-3"/>
    <n v="0.99858400000000003"/>
    <n v="98711.967990000005"/>
    <n v="139.78"/>
    <n v="98642.079920000004"/>
    <n v="4473879.3269999996"/>
    <n v="45.322562390000002"/>
    <n v="0.98711968000000005"/>
    <n v="-6.5599192837106095"/>
    <n v="1.4170426466605503E-3"/>
  </r>
  <r>
    <x v="4"/>
    <x v="13"/>
    <x v="2"/>
    <n v="6683"/>
    <n v="4432973"/>
    <n v="1.508E-3"/>
    <n v="0.99849200000000005"/>
    <n v="98572.143859999996"/>
    <n v="148.65"/>
    <n v="98497.820460000003"/>
    <n v="4375237.2479999997"/>
    <n v="44.386142739999997"/>
    <n v="0.98572143899999998"/>
    <n v="-6.4969710093963728"/>
    <n v="1.5091701219847591E-3"/>
  </r>
  <r>
    <x v="4"/>
    <x v="14"/>
    <x v="2"/>
    <n v="6855"/>
    <n v="4460132"/>
    <n v="1.537E-3"/>
    <n v="0.99846299999999999"/>
    <n v="98423.539839999998"/>
    <n v="151.28"/>
    <n v="98347.90135"/>
    <n v="4276739.4270000001"/>
    <n v="43.452404110000003"/>
    <n v="0.98423539800000004"/>
    <n v="-6.4779228144256784"/>
    <n v="1.538212754308017E-3"/>
  </r>
  <r>
    <x v="4"/>
    <x v="15"/>
    <x v="2"/>
    <n v="6998"/>
    <n v="4315866"/>
    <n v="1.621E-3"/>
    <n v="0.99837900000000002"/>
    <n v="98272.267779999995"/>
    <n v="159.30000000000001"/>
    <n v="98192.618109999996"/>
    <n v="4178391.5260000001"/>
    <n v="42.518521450000001"/>
    <n v="0.98272267800000002"/>
    <n v="-6.4247120362285983"/>
    <n v="1.6223219185491835E-3"/>
  </r>
  <r>
    <x v="4"/>
    <x v="16"/>
    <x v="2"/>
    <n v="7326"/>
    <n v="4372444"/>
    <n v="1.6750000000000001E-3"/>
    <n v="0.99832500000000002"/>
    <n v="98112.923320000002"/>
    <n v="164.34"/>
    <n v="98030.753750000003"/>
    <n v="4080198.9079999998"/>
    <n v="41.586763189999999"/>
    <n v="0.98112923299999999"/>
    <n v="-6.3919421137051069"/>
    <n v="1.6764131078693778E-3"/>
  </r>
  <r>
    <x v="4"/>
    <x v="17"/>
    <x v="2"/>
    <n v="7692"/>
    <n v="4361286"/>
    <n v="1.7639999999999999E-3"/>
    <n v="0.99823600000000001"/>
    <n v="97948.535789999994"/>
    <n v="172.78"/>
    <n v="97862.145180000007"/>
    <n v="3982168.1540000001"/>
    <n v="40.655719060000003"/>
    <n v="0.97948535800000003"/>
    <n v="-6.3401713213975377"/>
    <n v="1.7655445191552392E-3"/>
  </r>
  <r>
    <x v="4"/>
    <x v="18"/>
    <x v="2"/>
    <n v="8177"/>
    <n v="4305576"/>
    <n v="1.8990000000000001E-3"/>
    <n v="0.99810100000000002"/>
    <n v="97775.783960000001"/>
    <n v="185.68"/>
    <n v="97682.945850000004"/>
    <n v="3884306.0090000001"/>
    <n v="39.726666989999998"/>
    <n v="0.97775783999999999"/>
    <n v="-6.2664278471519879"/>
    <n v="1.9008437320721236E-3"/>
  </r>
  <r>
    <x v="4"/>
    <x v="19"/>
    <x v="2"/>
    <n v="8445"/>
    <n v="4382349"/>
    <n v="1.9269999999999999E-3"/>
    <n v="0.99807299999999999"/>
    <n v="97590.091589999996"/>
    <n v="188.06"/>
    <n v="97496.063540000003"/>
    <n v="3786623.0630000001"/>
    <n v="38.801306580000002"/>
    <n v="0.97590091599999995"/>
    <n v="-6.2517908895499081"/>
    <n v="1.928898437152002E-3"/>
  </r>
  <r>
    <x v="4"/>
    <x v="20"/>
    <x v="2"/>
    <n v="8639"/>
    <n v="4105313"/>
    <n v="2.104E-3"/>
    <n v="0.99789600000000001"/>
    <n v="97402.030729999999"/>
    <n v="204.93"/>
    <n v="97299.56379"/>
    <n v="3689126.9989999998"/>
    <n v="37.875257550000001"/>
    <n v="0.97402030699999997"/>
    <n v="-6.1639149841066736"/>
    <n v="2.1061763026238175E-3"/>
  </r>
  <r>
    <x v="4"/>
    <x v="21"/>
    <x v="2"/>
    <n v="8456"/>
    <n v="4020254"/>
    <n v="2.1029999999999998E-3"/>
    <n v="0.99789700000000003"/>
    <n v="97197.063129999995"/>
    <n v="204.41"/>
    <n v="97094.860419999997"/>
    <n v="3591827.4360000002"/>
    <n v="36.954073710000003"/>
    <n v="0.97197063100000003"/>
    <n v="-6.1643903822615744"/>
    <n v="2.1052611322031184E-3"/>
  </r>
  <r>
    <x v="4"/>
    <x v="22"/>
    <x v="2"/>
    <n v="8791"/>
    <n v="3974741"/>
    <n v="2.212E-3"/>
    <n v="0.99778800000000001"/>
    <n v="96992.623720000003"/>
    <n v="214.55"/>
    <n v="96885.349879999994"/>
    <n v="3494732.5750000002"/>
    <n v="36.030910820000003"/>
    <n v="0.96992623700000002"/>
    <n v="-6.1138581953220488"/>
    <n v="2.2144727744363422E-3"/>
  </r>
  <r>
    <x v="4"/>
    <x v="23"/>
    <x v="2"/>
    <n v="8928"/>
    <n v="3854040"/>
    <n v="2.317E-3"/>
    <n v="0.99768299999999999"/>
    <n v="96778.103539999996"/>
    <n v="224.23"/>
    <n v="96665.986109999998"/>
    <n v="3397847.2250000001"/>
    <n v="35.109669449999998"/>
    <n v="0.96778103500000001"/>
    <n v="-6.0674820335318982"/>
    <n v="2.3196364750213473E-3"/>
  </r>
  <r>
    <x v="4"/>
    <x v="24"/>
    <x v="2"/>
    <n v="9534"/>
    <n v="3967275"/>
    <n v="2.4030000000000002E-3"/>
    <n v="0.99759699999999996"/>
    <n v="96553.914139999993"/>
    <n v="232.02"/>
    <n v="96437.904609999998"/>
    <n v="3301181.2390000001"/>
    <n v="34.190030190000002"/>
    <n v="0.96553914100000005"/>
    <n v="-6.0310373222278049"/>
    <n v="2.405900663313771E-3"/>
  </r>
  <r>
    <x v="4"/>
    <x v="25"/>
    <x v="2"/>
    <n v="10170"/>
    <n v="3837909"/>
    <n v="2.65E-3"/>
    <n v="0.99734999999999996"/>
    <n v="96321.879560000001"/>
    <n v="255.25"/>
    <n v="96194.253070000006"/>
    <n v="3204743.335"/>
    <n v="33.271187699999999"/>
    <n v="0.96321879600000004"/>
    <n v="-5.9331956389840066"/>
    <n v="2.6534847621661065E-3"/>
  </r>
  <r>
    <x v="4"/>
    <x v="26"/>
    <x v="2"/>
    <n v="11198"/>
    <n v="3889372"/>
    <n v="2.879E-3"/>
    <n v="0.99712100000000004"/>
    <n v="96066.638089999993"/>
    <n v="276.58"/>
    <n v="95928.350160000002"/>
    <n v="3108549.0809999998"/>
    <n v="32.358258220000003"/>
    <n v="0.96066638100000001"/>
    <n v="-5.8503122673520984"/>
    <n v="2.8831937300695205E-3"/>
  </r>
  <r>
    <x v="4"/>
    <x v="27"/>
    <x v="2"/>
    <n v="12579"/>
    <n v="4058038"/>
    <n v="3.0999999999999999E-3"/>
    <n v="0.99690000000000001"/>
    <n v="95790.049939999997"/>
    <n v="296.95"/>
    <n v="95641.575360000003"/>
    <n v="3012620.7310000001"/>
    <n v="31.450247009999998"/>
    <n v="0.95790049899999996"/>
    <n v="-5.7763531674910364"/>
    <n v="3.1048209446731668E-3"/>
  </r>
  <r>
    <x v="4"/>
    <x v="28"/>
    <x v="2"/>
    <n v="14385"/>
    <n v="4282657"/>
    <n v="3.359E-3"/>
    <n v="0.996641"/>
    <n v="95493.122449999995"/>
    <n v="320.76"/>
    <n v="95332.741750000001"/>
    <n v="2916979.156"/>
    <n v="30.546484199999998"/>
    <n v="0.95493122500000005"/>
    <n v="-5.696111968351981"/>
    <n v="3.3646360885388566E-3"/>
  </r>
  <r>
    <x v="4"/>
    <x v="29"/>
    <x v="2"/>
    <n v="15407"/>
    <n v="4329775"/>
    <n v="3.558E-3"/>
    <n v="0.99644200000000005"/>
    <n v="95172.370970000004"/>
    <n v="338.62"/>
    <n v="95003.05932"/>
    <n v="2821646.4139999999"/>
    <n v="29.6477474"/>
    <n v="0.95172371"/>
    <n v="-5.6385566897384933"/>
    <n v="3.5643069546636777E-3"/>
  </r>
  <r>
    <x v="4"/>
    <x v="30"/>
    <x v="2"/>
    <n v="16151"/>
    <n v="4096572"/>
    <n v="3.9430000000000003E-3"/>
    <n v="0.99605699999999997"/>
    <n v="94833.711169999995"/>
    <n v="373.93"/>
    <n v="94646.746509999997"/>
    <n v="2726643.355"/>
    <n v="28.75183646"/>
    <n v="0.94833711200000004"/>
    <n v="-5.5358134240866468"/>
    <n v="3.9507952700341764E-3"/>
  </r>
  <r>
    <x v="4"/>
    <x v="31"/>
    <x v="2"/>
    <n v="17198"/>
    <n v="4004343"/>
    <n v="4.2950000000000002E-3"/>
    <n v="0.99570499999999995"/>
    <n v="94459.823139999993"/>
    <n v="405.7"/>
    <n v="94256.970669999995"/>
    <n v="2631996.608"/>
    <n v="27.863662250000001"/>
    <n v="0.94459823099999995"/>
    <n v="-5.4503037235459182"/>
    <n v="4.3041905969810473E-3"/>
  </r>
  <r>
    <x v="4"/>
    <x v="32"/>
    <x v="2"/>
    <n v="18788"/>
    <n v="4001782"/>
    <n v="4.6950000000000004E-3"/>
    <n v="0.995305"/>
    <n v="94054.133600000001"/>
    <n v="441.58"/>
    <n v="93833.341520000002"/>
    <n v="2537739.6379999998"/>
    <n v="26.981691720000001"/>
    <n v="0.94054133600000001"/>
    <n v="-5.3612571663219111"/>
    <n v="4.7060029256552408E-3"/>
  </r>
  <r>
    <x v="4"/>
    <x v="33"/>
    <x v="2"/>
    <n v="20593"/>
    <n v="4068851"/>
    <n v="5.0610000000000004E-3"/>
    <n v="0.99493900000000002"/>
    <n v="93612.558059999996"/>
    <n v="473.77"/>
    <n v="93375.671480000005"/>
    <n v="2443906.2960000001"/>
    <n v="26.106607350000001"/>
    <n v="0.93612558099999998"/>
    <n v="-5.2861911867501963"/>
    <n v="5.0738058886595425E-3"/>
  </r>
  <r>
    <x v="4"/>
    <x v="34"/>
    <x v="2"/>
    <n v="23924"/>
    <n v="4305603"/>
    <n v="5.5560000000000002E-3"/>
    <n v="0.99444399999999999"/>
    <n v="93138.772360000003"/>
    <n v="517.48"/>
    <n v="92880.032850000003"/>
    <n v="2350530.625"/>
    <n v="25.236865000000002"/>
    <n v="0.93138772400000003"/>
    <n v="-5.1928768540900396"/>
    <n v="5.5714894669935695E-3"/>
  </r>
  <r>
    <x v="4"/>
    <x v="35"/>
    <x v="2"/>
    <n v="26793"/>
    <n v="4374565"/>
    <n v="6.1250000000000002E-3"/>
    <n v="0.99387499999999995"/>
    <n v="92621.248569999996"/>
    <n v="567.30999999999995"/>
    <n v="92337.596000000005"/>
    <n v="2257650.5920000002"/>
    <n v="24.375082679999998"/>
    <n v="0.92621248599999995"/>
    <n v="-5.0953765225513461"/>
    <n v="6.1438671336683124E-3"/>
  </r>
  <r>
    <x v="4"/>
    <x v="36"/>
    <x v="2"/>
    <n v="28966"/>
    <n v="4361016"/>
    <n v="6.6420000000000003E-3"/>
    <n v="0.99335799999999996"/>
    <n v="92053.969060000003"/>
    <n v="611.41999999999996"/>
    <n v="91748.257830000002"/>
    <n v="2165312.9959999998"/>
    <n v="23.52221222"/>
    <n v="0.92053969099999999"/>
    <n v="-5.014342156027582"/>
    <n v="6.6641048425063725E-3"/>
  </r>
  <r>
    <x v="4"/>
    <x v="37"/>
    <x v="2"/>
    <n v="31658"/>
    <n v="4342385"/>
    <n v="7.2899999999999996E-3"/>
    <n v="0.99270999999999998"/>
    <n v="91442.543810000003"/>
    <n v="666.62"/>
    <n v="91109.235740000004"/>
    <n v="2073564.7379999999"/>
    <n v="22.67614889"/>
    <n v="0.91442543799999998"/>
    <n v="-4.9212517329615704"/>
    <n v="7.3167132804918596E-3"/>
  </r>
  <r>
    <x v="4"/>
    <x v="38"/>
    <x v="2"/>
    <n v="34347"/>
    <n v="4385570"/>
    <n v="7.8320000000000004E-3"/>
    <n v="0.99216800000000005"/>
    <n v="90775.885269999999"/>
    <n v="710.96"/>
    <n v="90420.406900000002"/>
    <n v="1982455.5020000001"/>
    <n v="21.839010399999999"/>
    <n v="0.90775885300000003"/>
    <n v="-4.849537373753928"/>
    <n v="7.8628261089350622E-3"/>
  </r>
  <r>
    <x v="4"/>
    <x v="39"/>
    <x v="2"/>
    <n v="36689"/>
    <n v="4413855"/>
    <n v="8.3119999999999999E-3"/>
    <n v="0.99168800000000001"/>
    <n v="90064.944770000002"/>
    <n v="748.62"/>
    <n v="89690.634860000006"/>
    <n v="1892035.095"/>
    <n v="21.007453009999999"/>
    <n v="0.90064944800000002"/>
    <n v="-4.790055025185211"/>
    <n v="8.3466918203697598E-3"/>
  </r>
  <r>
    <x v="4"/>
    <x v="40"/>
    <x v="2"/>
    <n v="38690"/>
    <n v="4252663"/>
    <n v="9.0980000000000002E-3"/>
    <n v="0.99090199999999995"/>
    <n v="89316.303780000002"/>
    <n v="812.6"/>
    <n v="88910.003909999999"/>
    <n v="1802344.46"/>
    <n v="20.17934447"/>
    <n v="0.89316303799999996"/>
    <n v="-4.6997006698343249"/>
    <n v="9.1395781615844843E-3"/>
  </r>
  <r>
    <x v="4"/>
    <x v="41"/>
    <x v="2"/>
    <n v="41522"/>
    <n v="4215172"/>
    <n v="9.8510000000000004E-3"/>
    <n v="0.99014899999999995"/>
    <n v="88503.719339999996"/>
    <n v="871.85"/>
    <n v="88067.794269999999"/>
    <n v="1713434.4569999999"/>
    <n v="19.360027680000002"/>
    <n v="0.88503719300000006"/>
    <n v="-4.6201823061085951"/>
    <n v="9.8997577351975646E-3"/>
  </r>
  <r>
    <x v="4"/>
    <x v="42"/>
    <x v="2"/>
    <n v="43975"/>
    <n v="4156645"/>
    <n v="1.0579E-2"/>
    <n v="0.98942099999999999"/>
    <n v="87631.904039999994"/>
    <n v="927.06"/>
    <n v="87168.375079999998"/>
    <n v="1625366.662"/>
    <n v="18.547658869999999"/>
    <n v="0.87631904000000005"/>
    <n v="-4.5488843749774999"/>
    <n v="1.063528150895378E-2"/>
  </r>
  <r>
    <x v="4"/>
    <x v="43"/>
    <x v="2"/>
    <n v="45361"/>
    <n v="3996088"/>
    <n v="1.1351E-2"/>
    <n v="0.988649"/>
    <n v="86704.807069999995"/>
    <n v="984.19"/>
    <n v="86212.713940000001"/>
    <n v="1538198.287"/>
    <n v="17.740634450000002"/>
    <n v="0.86704807100000003"/>
    <n v="-4.4784494332089348"/>
    <n v="1.1415835658756373E-2"/>
  </r>
  <r>
    <x v="4"/>
    <x v="44"/>
    <x v="2"/>
    <n v="46936"/>
    <n v="3950578"/>
    <n v="1.1880999999999999E-2"/>
    <n v="0.98811899999999997"/>
    <n v="85720.590320000003"/>
    <n v="1018.45"/>
    <n v="85211.367150000005"/>
    <n v="1451985.5730000001"/>
    <n v="16.938585790000001"/>
    <n v="0.85720590299999999"/>
    <n v="-4.4328147935059867"/>
    <n v="1.1952042644645937E-2"/>
  </r>
  <r>
    <x v="4"/>
    <x v="45"/>
    <x v="2"/>
    <n v="48159"/>
    <n v="3774597"/>
    <n v="1.2759E-2"/>
    <n v="0.98724100000000004"/>
    <n v="84702.161720000004"/>
    <n v="1080.71"/>
    <n v="84161.804279999997"/>
    <n v="1366774.206"/>
    <n v="16.13623759"/>
    <n v="0.847021617"/>
    <n v="-4.3615183740425305"/>
    <n v="1.2840858786583581E-2"/>
  </r>
  <r>
    <x v="4"/>
    <x v="46"/>
    <x v="2"/>
    <n v="49560"/>
    <n v="3618069"/>
    <n v="1.3698E-2"/>
    <n v="0.98630200000000001"/>
    <n v="83621.471139999994"/>
    <n v="1145.45"/>
    <n v="83048.74768"/>
    <n v="1282612.402"/>
    <n v="15.338314240000001"/>
    <n v="0.836214711"/>
    <n v="-4.2905054422064239"/>
    <n v="1.3792501182997321E-2"/>
  </r>
  <r>
    <x v="4"/>
    <x v="47"/>
    <x v="2"/>
    <n v="50719"/>
    <n v="3464437"/>
    <n v="1.464E-2"/>
    <n v="0.98536000000000001"/>
    <n v="82476.03138"/>
    <n v="1207.45"/>
    <n v="81872.306830000001"/>
    <n v="1199563.6540000001"/>
    <n v="14.54439107"/>
    <n v="0.82476031400000005"/>
    <n v="-4.223997770448972"/>
    <n v="1.4747965264427714E-2"/>
  </r>
  <r>
    <x v="4"/>
    <x v="48"/>
    <x v="2"/>
    <n v="52212"/>
    <n v="3345475"/>
    <n v="1.5606999999999999E-2"/>
    <n v="0.98439299999999996"/>
    <n v="81268.590790000002"/>
    <n v="1268.3599999999999"/>
    <n v="80634.411340000006"/>
    <n v="1117691.3470000001"/>
    <n v="13.753054369999999"/>
    <n v="0.81268590799999996"/>
    <n v="-4.1600357474217207"/>
    <n v="1.5729758803990763E-2"/>
  </r>
  <r>
    <x v="4"/>
    <x v="49"/>
    <x v="2"/>
    <n v="53762"/>
    <n v="3252423"/>
    <n v="1.653E-2"/>
    <n v="0.98346999999999996"/>
    <n v="80000.25202"/>
    <n v="1322.4"/>
    <n v="79339.049939999997"/>
    <n v="1037056.936"/>
    <n v="12.96317086"/>
    <n v="0.80000252000000005"/>
    <n v="-4.1025783671492047"/>
    <n v="1.6667705093851577E-2"/>
  </r>
  <r>
    <x v="4"/>
    <x v="50"/>
    <x v="2"/>
    <n v="57343"/>
    <n v="3136704"/>
    <n v="1.8280999999999999E-2"/>
    <n v="0.98171900000000001"/>
    <n v="78677.861439999993"/>
    <n v="1438.31"/>
    <n v="77958.706449999998"/>
    <n v="957717.88600000006"/>
    <n v="12.172647660000001"/>
    <n v="0.78677861400000004"/>
    <n v="-4.0018930098571888"/>
    <n v="1.8449641831087511E-2"/>
  </r>
  <r>
    <x v="4"/>
    <x v="51"/>
    <x v="2"/>
    <n v="61396"/>
    <n v="3083083"/>
    <n v="1.9914000000000001E-2"/>
    <n v="0.98008600000000001"/>
    <n v="77239.528520000007"/>
    <n v="1538.15"/>
    <n v="76470.454530000003"/>
    <n v="879759.17960000003"/>
    <n v="11.3900123"/>
    <n v="0.77239528499999999"/>
    <n v="-3.9163322770162443"/>
    <n v="2.0114302701819915E-2"/>
  </r>
  <r>
    <x v="4"/>
    <x v="52"/>
    <x v="2"/>
    <n v="67130"/>
    <n v="3191048"/>
    <n v="2.1037E-2"/>
    <n v="0.97896300000000003"/>
    <n v="75701.393450000003"/>
    <n v="1592.53"/>
    <n v="74905.128339999996"/>
    <n v="803288.72510000004"/>
    <n v="10.61128057"/>
    <n v="0.75701393500000003"/>
    <n v="-3.861472486830245"/>
    <n v="2.1260626820074496E-2"/>
  </r>
  <r>
    <x v="4"/>
    <x v="53"/>
    <x v="2"/>
    <n v="56853"/>
    <n v="2334433"/>
    <n v="2.4354000000000001E-2"/>
    <n v="0.97564600000000001"/>
    <n v="74108.865059999996"/>
    <n v="1804.85"/>
    <n v="73206.441409999999"/>
    <n v="728383.59669999999"/>
    <n v="9.8285622929999992"/>
    <n v="0.74108865099999999"/>
    <n v="-3.7150591718973214"/>
    <n v="2.4654252425210559E-2"/>
  </r>
  <r>
    <x v="4"/>
    <x v="54"/>
    <x v="2"/>
    <n v="58425"/>
    <n v="2283164"/>
    <n v="2.5589000000000001E-2"/>
    <n v="0.97441100000000003"/>
    <n v="72304.010810000007"/>
    <n v="1850.19"/>
    <n v="71378.917140000005"/>
    <n v="655177.15529999998"/>
    <n v="9.0614220149999998"/>
    <n v="0.72304010799999996"/>
    <n v="-3.6655927073387473"/>
    <n v="2.5920685436984364E-2"/>
  </r>
  <r>
    <x v="4"/>
    <x v="55"/>
    <x v="2"/>
    <n v="63147"/>
    <n v="2198286"/>
    <n v="2.8726000000000002E-2"/>
    <n v="0.97127399999999997"/>
    <n v="70453.788130000001"/>
    <n v="2023.86"/>
    <n v="69441.860369999995"/>
    <n v="583798.23820000002"/>
    <n v="8.286257612"/>
    <n v="0.70453788100000003"/>
    <n v="-3.5499526429725061"/>
    <n v="2.9144662012551125E-2"/>
  </r>
  <r>
    <x v="4"/>
    <x v="56"/>
    <x v="2"/>
    <n v="69019"/>
    <n v="2222392"/>
    <n v="3.1056E-2"/>
    <n v="0.96894400000000003"/>
    <n v="68429.963489999995"/>
    <n v="2125.16"/>
    <n v="67367.383019999994"/>
    <n v="514356.37780000002"/>
    <n v="7.51653737"/>
    <n v="0.68429963500000002"/>
    <n v="-3.4719632525554824"/>
    <n v="3.1545832659883602E-2"/>
  </r>
  <r>
    <x v="4"/>
    <x v="57"/>
    <x v="2"/>
    <n v="65894"/>
    <n v="1911261"/>
    <n v="3.4477000000000001E-2"/>
    <n v="0.96552300000000002"/>
    <n v="66304.790410000001"/>
    <n v="2285.9899999999998"/>
    <n v="65161.795279999998"/>
    <n v="446988.99479999999"/>
    <n v="6.741428365"/>
    <n v="0.66304790400000002"/>
    <n v="-3.3674628439325267"/>
    <n v="3.5081747796056995E-2"/>
  </r>
  <r>
    <x v="4"/>
    <x v="58"/>
    <x v="2"/>
    <n v="65124"/>
    <n v="1720817"/>
    <n v="3.7844999999999997E-2"/>
    <n v="0.96215499999999998"/>
    <n v="64018.819080000001"/>
    <n v="2422.79"/>
    <n v="62807.422980000003"/>
    <n v="381827.19949999999"/>
    <n v="5.9642962019999999"/>
    <n v="0.64018819100000002"/>
    <n v="-3.2742564082210062"/>
    <n v="3.8574895388232916E-2"/>
  </r>
  <r>
    <x v="4"/>
    <x v="59"/>
    <x v="2"/>
    <n v="66309"/>
    <n v="1599909"/>
    <n v="4.1445000000000003E-2"/>
    <n v="0.95855500000000005"/>
    <n v="61596.03875"/>
    <n v="2552.85"/>
    <n v="60319.614840000002"/>
    <n v="319019.77649999998"/>
    <n v="5.1792255310000002"/>
    <n v="0.61596038799999997"/>
    <n v="-3.1833880319386476"/>
    <n v="4.2322064480447993E-2"/>
  </r>
  <r>
    <x v="4"/>
    <x v="60"/>
    <x v="2"/>
    <n v="68349"/>
    <n v="1475278"/>
    <n v="4.6330000000000003E-2"/>
    <n v="0.95367000000000002"/>
    <n v="59043.161220000002"/>
    <n v="2735.47"/>
    <n v="57675.426390000001"/>
    <n v="258700.1617"/>
    <n v="4.3815432019999996"/>
    <n v="0.59043161200000005"/>
    <n v="-3.0719655795535799"/>
    <n v="4.7428681041112544E-2"/>
  </r>
  <r>
    <x v="4"/>
    <x v="61"/>
    <x v="2"/>
    <n v="70621"/>
    <n v="1381641"/>
    <n v="5.1114E-2"/>
    <n v="0.94888600000000001"/>
    <n v="56307.716769999999"/>
    <n v="2878.11"/>
    <n v="54868.660450000003"/>
    <n v="201024.7353"/>
    <n v="3.5701098679999999"/>
    <n v="0.56307716799999996"/>
    <n v="-2.9736968466933784"/>
    <n v="5.2454529867167039E-2"/>
  </r>
  <r>
    <x v="4"/>
    <x v="62"/>
    <x v="2"/>
    <n v="71124"/>
    <n v="1241341"/>
    <n v="5.7296E-2"/>
    <n v="0.94270399999999999"/>
    <n v="53429.612200000003"/>
    <n v="3061.3"/>
    <n v="51898.96067"/>
    <n v="146156.0748"/>
    <n v="2.7354882210000002"/>
    <n v="0.53429612199999998"/>
    <n v="-2.8595244657260603"/>
    <n v="5.8985770048782693E-2"/>
  </r>
  <r>
    <x v="4"/>
    <x v="63"/>
    <x v="2"/>
    <n v="73524"/>
    <n v="1151190"/>
    <n v="6.3867999999999994E-2"/>
    <n v="0.93613199999999996"/>
    <n v="50368.303720000004"/>
    <n v="3216.92"/>
    <n v="48759.84231"/>
    <n v="94257.114170000001"/>
    <n v="1.871357723"/>
    <n v="0.50368303699999994"/>
    <n v="-2.7509368255046822"/>
    <n v="6.5974776680976219E-2"/>
  </r>
  <r>
    <x v="4"/>
    <x v="64"/>
    <x v="2"/>
    <n v="74916"/>
    <n v="1067757"/>
    <n v="7.0162000000000002E-2"/>
    <n v="0.92983800000000005"/>
    <n v="47151.389770000002"/>
    <n v="3308.24"/>
    <n v="45497.271869999997"/>
    <n v="45497.271869999997"/>
    <n v="0.96491899999999997"/>
    <n v="0.47151389799999999"/>
    <n v="-2.6569484250531259"/>
    <n v="4.4963761540694001E-2"/>
  </r>
  <r>
    <x v="5"/>
    <x v="0"/>
    <x v="0"/>
    <n v="974"/>
    <n v="2123140"/>
    <n v="4.5899999999999999E-4"/>
    <n v="0.99954100000000001"/>
    <n v="100000"/>
    <n v="45.9"/>
    <n v="99977.05"/>
    <n v="5752534.9649999999"/>
    <n v="57.525349650000003"/>
    <n v="1"/>
    <n v="-7.6864603479037292"/>
    <n v="4.5910530831308125E-4"/>
  </r>
  <r>
    <x v="5"/>
    <x v="1"/>
    <x v="0"/>
    <n v="1163"/>
    <n v="2094326"/>
    <n v="5.5500000000000005E-4"/>
    <n v="0.99944500000000003"/>
    <n v="99954.124549999993"/>
    <n v="55.47"/>
    <n v="99926.387279999995"/>
    <n v="5652557.915"/>
    <n v="56.551522409999997"/>
    <n v="0.99954124600000005"/>
    <n v="-7.4965424442178392"/>
    <n v="5.5510871661159505E-4"/>
  </r>
  <r>
    <x v="5"/>
    <x v="2"/>
    <x v="0"/>
    <n v="1168"/>
    <n v="2100049"/>
    <n v="5.5599999999999996E-4"/>
    <n v="0.999444"/>
    <n v="99898.619030000002"/>
    <n v="55.54"/>
    <n v="99870.847210000007"/>
    <n v="5552631.5269999998"/>
    <n v="55.582665519999999"/>
    <n v="0.99898619"/>
    <n v="-7.4947422637136922"/>
    <n v="5.5611829156133235E-4"/>
  </r>
  <r>
    <x v="5"/>
    <x v="3"/>
    <x v="0"/>
    <n v="1338"/>
    <n v="2113597"/>
    <n v="6.3299999999999999E-4"/>
    <n v="0.99936700000000001"/>
    <n v="99843.057669999995"/>
    <n v="63.2"/>
    <n v="99811.457339999994"/>
    <n v="5452760.6799999997"/>
    <n v="54.613318210000003"/>
    <n v="0.99843057700000004"/>
    <n v="-7.3650401358200979"/>
    <n v="6.3319385443471286E-4"/>
  </r>
  <r>
    <x v="5"/>
    <x v="4"/>
    <x v="0"/>
    <n v="1362"/>
    <n v="2130797"/>
    <n v="6.3900000000000003E-4"/>
    <n v="0.99936100000000005"/>
    <n v="99779.852620000005"/>
    <n v="63.76"/>
    <n v="99747.972959999999"/>
    <n v="5352949.2230000002"/>
    <n v="53.647596"/>
    <n v="0.99779852599999996"/>
    <n v="-7.3556061035867391"/>
    <n v="6.3921104767706216E-4"/>
  </r>
  <r>
    <x v="5"/>
    <x v="5"/>
    <x v="0"/>
    <n v="1563"/>
    <n v="2177731"/>
    <n v="7.18E-4"/>
    <n v="0.999282"/>
    <n v="99716.07359"/>
    <n v="71.599999999999994"/>
    <n v="99680.275519999996"/>
    <n v="5253201.25"/>
    <n v="52.681589440000003"/>
    <n v="0.99716073599999999"/>
    <n v="-7.2390409889160496"/>
    <n v="7.1829646919723802E-4"/>
  </r>
  <r>
    <x v="5"/>
    <x v="6"/>
    <x v="0"/>
    <n v="1613"/>
    <n v="2223511"/>
    <n v="7.2499999999999995E-4"/>
    <n v="0.99927500000000002"/>
    <n v="99644.505420000001"/>
    <n v="72.239999999999995"/>
    <n v="99608.384290000002"/>
    <n v="5153520.9740000004"/>
    <n v="51.719068229999998"/>
    <n v="0.99644505400000005"/>
    <n v="-7.2293389031095998"/>
    <n v="7.252403101185793E-4"/>
  </r>
  <r>
    <x v="5"/>
    <x v="7"/>
    <x v="0"/>
    <n v="1819"/>
    <n v="2255755"/>
    <n v="8.0599999999999997E-4"/>
    <n v="0.99919400000000003"/>
    <n v="99572.220379999999"/>
    <n v="80.260000000000005"/>
    <n v="99532.092780000006"/>
    <n v="5053912.59"/>
    <n v="50.756250799999997"/>
    <n v="0.995722204"/>
    <n v="-7.1234268154576457"/>
    <n v="8.0637323194460489E-4"/>
  </r>
  <r>
    <x v="5"/>
    <x v="8"/>
    <x v="0"/>
    <n v="1951"/>
    <n v="2322743"/>
    <n v="8.4000000000000003E-4"/>
    <n v="0.99916000000000005"/>
    <n v="99491.92714"/>
    <n v="83.57"/>
    <n v="99450.140530000004"/>
    <n v="4954380.4970000004"/>
    <n v="49.796809039999999"/>
    <n v="0.99491927099999999"/>
    <n v="-7.0821086661269144"/>
    <n v="8.4032056345737915E-4"/>
  </r>
  <r>
    <x v="5"/>
    <x v="9"/>
    <x v="0"/>
    <n v="2196"/>
    <n v="2376377"/>
    <n v="9.2400000000000002E-4"/>
    <n v="0.99907599999999996"/>
    <n v="99408.358380000005"/>
    <n v="91.85"/>
    <n v="99362.431719999993"/>
    <n v="4854930.3569999998"/>
    <n v="48.838250989999999"/>
    <n v="0.99408358399999996"/>
    <n v="-6.9867984863225896"/>
    <n v="9.243936849185028E-4"/>
  </r>
  <r>
    <x v="5"/>
    <x v="10"/>
    <x v="0"/>
    <n v="2336"/>
    <n v="2375032"/>
    <n v="9.8400000000000007E-4"/>
    <n v="0.99901600000000002"/>
    <n v="99316.495540000004"/>
    <n v="97.73"/>
    <n v="99267.631819999995"/>
    <n v="4755567.9249999998"/>
    <n v="47.882961430000002"/>
    <n v="0.99316495500000002"/>
    <n v="-6.9238846609120204"/>
    <n v="9.845100257990496E-4"/>
  </r>
  <r>
    <x v="5"/>
    <x v="11"/>
    <x v="0"/>
    <n v="2307"/>
    <n v="2281303"/>
    <n v="1.011E-3"/>
    <n v="0.99898900000000002"/>
    <n v="99218.811239999995"/>
    <n v="100.31"/>
    <n v="99168.656130000003"/>
    <n v="4656300.2929999996"/>
    <n v="46.929611780000002"/>
    <n v="0.99218811200000001"/>
    <n v="-6.8968153389438029"/>
    <n v="1.0115092527253021E-3"/>
  </r>
  <r>
    <x v="5"/>
    <x v="12"/>
    <x v="0"/>
    <n v="2527"/>
    <n v="2228352"/>
    <n v="1.134E-3"/>
    <n v="0.99886600000000003"/>
    <n v="99118.47481"/>
    <n v="112.4"/>
    <n v="99062.27463"/>
    <n v="4557131.6370000001"/>
    <n v="45.976611779999999"/>
    <n v="0.991184748"/>
    <n v="-6.7820040736765765"/>
    <n v="1.1346398176826421E-3"/>
  </r>
  <r>
    <x v="5"/>
    <x v="13"/>
    <x v="0"/>
    <n v="2653"/>
    <n v="2188527"/>
    <n v="1.212E-3"/>
    <n v="0.99878800000000001"/>
    <n v="99006.072289999996"/>
    <n v="120"/>
    <n v="98946.074609999996"/>
    <n v="4458069.3619999997"/>
    <n v="45.028241800000004"/>
    <n v="0.99006072300000003"/>
    <n v="-6.715483391335014"/>
    <n v="1.212781955576133E-3"/>
  </r>
  <r>
    <x v="5"/>
    <x v="14"/>
    <x v="0"/>
    <n v="2689"/>
    <n v="2195936"/>
    <n v="1.225E-3"/>
    <n v="0.99877499999999997"/>
    <n v="98886.054069999998"/>
    <n v="121.14"/>
    <n v="98825.486359999995"/>
    <n v="4359123.2879999997"/>
    <n v="44.082285710000001"/>
    <n v="0.98886054099999998"/>
    <n v="-6.7048144349854466"/>
    <n v="1.2257968694356447E-3"/>
  </r>
  <r>
    <x v="5"/>
    <x v="15"/>
    <x v="0"/>
    <n v="2860"/>
    <n v="2215833"/>
    <n v="1.291E-3"/>
    <n v="0.99870899999999996"/>
    <n v="98764.964659999998"/>
    <n v="127.51"/>
    <n v="98701.211880000003"/>
    <n v="4260297.801"/>
    <n v="43.135719389999998"/>
    <n v="0.98764964700000002"/>
    <n v="-6.6523381671176312"/>
    <n v="1.2918785812516414E-3"/>
  </r>
  <r>
    <x v="5"/>
    <x v="16"/>
    <x v="0"/>
    <n v="2980"/>
    <n v="2151567"/>
    <n v="1.3849999999999999E-3"/>
    <n v="0.99861500000000003"/>
    <n v="98637.487630000003"/>
    <n v="136.61000000000001"/>
    <n v="98569.181169999996"/>
    <n v="4161596.59"/>
    <n v="42.190821049999997"/>
    <n v="0.98637487599999996"/>
    <n v="-6.5820551393428355"/>
    <n v="1.3859301752107936E-3"/>
  </r>
  <r>
    <x v="5"/>
    <x v="17"/>
    <x v="0"/>
    <n v="3282"/>
    <n v="2183495"/>
    <n v="1.503E-3"/>
    <n v="0.99849699999999997"/>
    <n v="98500.871060000005"/>
    <n v="148.05000000000001"/>
    <n v="98426.847659999999"/>
    <n v="4063027.4079999998"/>
    <n v="41.24864445"/>
    <n v="0.98500871099999998"/>
    <n v="-6.5002921682113"/>
    <n v="1.5041628432861801E-3"/>
  </r>
  <r>
    <x v="5"/>
    <x v="18"/>
    <x v="0"/>
    <n v="3342"/>
    <n v="2182398"/>
    <n v="1.531E-3"/>
    <n v="0.99846900000000005"/>
    <n v="98352.814910000001"/>
    <n v="150.58000000000001"/>
    <n v="98277.525829999999"/>
    <n v="3964600.5610000002"/>
    <n v="40.309985679999997"/>
    <n v="0.98352814899999996"/>
    <n v="-6.4818341623065905"/>
    <n v="1.5321918676356324E-3"/>
  </r>
  <r>
    <x v="5"/>
    <x v="19"/>
    <x v="0"/>
    <n v="3551"/>
    <n v="2157423"/>
    <n v="1.6459999999999999E-3"/>
    <n v="0.99835399999999996"/>
    <n v="98202.203009999997"/>
    <n v="161.63999999999999"/>
    <n v="98121.382599999997"/>
    <n v="3866323.0350000001"/>
    <n v="39.371041750000003"/>
    <n v="0.98202202999999999"/>
    <n v="-6.4094071767272593"/>
    <n v="1.6473473088692058E-3"/>
  </r>
  <r>
    <x v="5"/>
    <x v="20"/>
    <x v="0"/>
    <n v="3714"/>
    <n v="2186513"/>
    <n v="1.699E-3"/>
    <n v="0.99830099999999999"/>
    <n v="98040.567569999999"/>
    <n v="166.57"/>
    <n v="97957.28211"/>
    <n v="3768201.6519999998"/>
    <n v="38.435126859999997"/>
    <n v="0.98040567599999995"/>
    <n v="-6.3777154362923421"/>
    <n v="1.7004347472536288E-3"/>
  </r>
  <r>
    <x v="5"/>
    <x v="21"/>
    <x v="0"/>
    <n v="3947"/>
    <n v="2057329"/>
    <n v="1.9189999999999999E-3"/>
    <n v="0.998081"/>
    <n v="97874.036349999995"/>
    <n v="187.82"/>
    <n v="97780.126210000002"/>
    <n v="3670244.37"/>
    <n v="37.499673119999997"/>
    <n v="0.97874036399999997"/>
    <n v="-6.2559510619565746"/>
    <n v="1.9208397547653025E-3"/>
  </r>
  <r>
    <x v="5"/>
    <x v="22"/>
    <x v="0"/>
    <n v="3867"/>
    <n v="2016979"/>
    <n v="1.9170000000000001E-3"/>
    <n v="0.99808300000000005"/>
    <n v="97686.264330000005"/>
    <n v="187.26"/>
    <n v="97592.63205"/>
    <n v="3572464.2439999999"/>
    <n v="36.570793940000001"/>
    <n v="0.97686264300000003"/>
    <n v="-6.2569938149186299"/>
    <n v="1.9187926079958944E-3"/>
  </r>
  <r>
    <x v="5"/>
    <x v="23"/>
    <x v="0"/>
    <n v="4143"/>
    <n v="2000043"/>
    <n v="2.0709999999999999E-3"/>
    <n v="0.99792899999999995"/>
    <n v="97498.977910000001"/>
    <n v="201.92"/>
    <n v="97398.017720000003"/>
    <n v="3474871.6120000002"/>
    <n v="35.640082450000001"/>
    <n v="0.97498977899999995"/>
    <n v="-6.1797236965686899"/>
    <n v="2.0731432811561591E-3"/>
  </r>
  <r>
    <x v="5"/>
    <x v="24"/>
    <x v="0"/>
    <n v="4310"/>
    <n v="1938744"/>
    <n v="2.2230000000000001E-3"/>
    <n v="0.99777700000000003"/>
    <n v="97297.013120000003"/>
    <n v="216.29"/>
    <n v="97188.867490000004"/>
    <n v="3377473.594"/>
    <n v="34.713024439999998"/>
    <n v="0.97297013099999996"/>
    <n v="-6.1088976440000771"/>
    <n v="2.2254607466873203E-3"/>
  </r>
  <r>
    <x v="5"/>
    <x v="25"/>
    <x v="0"/>
    <n v="4725"/>
    <n v="1991382"/>
    <n v="2.3730000000000001E-3"/>
    <n v="0.99762700000000004"/>
    <n v="97080.713220000005"/>
    <n v="230.37"/>
    <n v="96965.526949999999"/>
    <n v="3280284.727"/>
    <n v="33.789252449999999"/>
    <n v="0.97080713200000002"/>
    <n v="-6.0436003015285102"/>
    <n v="2.3757924636780515E-3"/>
  </r>
  <r>
    <x v="5"/>
    <x v="26"/>
    <x v="0"/>
    <n v="4986"/>
    <n v="1933297"/>
    <n v="2.5790000000000001E-3"/>
    <n v="0.997421"/>
    <n v="96850.367480000001"/>
    <n v="249.78"/>
    <n v="96725.478929999997"/>
    <n v="3183319.2"/>
    <n v="32.868426650000004"/>
    <n v="0.96850367500000001"/>
    <n v="-5.9603535520829292"/>
    <n v="2.5823599378274461E-3"/>
  </r>
  <r>
    <x v="5"/>
    <x v="27"/>
    <x v="0"/>
    <n v="5510"/>
    <n v="1964957"/>
    <n v="2.8040000000000001E-3"/>
    <n v="0.99719599999999997"/>
    <n v="96600.589019999999"/>
    <n v="270.87"/>
    <n v="96465.154989999995"/>
    <n v="3086593.7209999999"/>
    <n v="31.952121120000001"/>
    <n v="0.96600589000000003"/>
    <n v="-5.8767083098097936"/>
    <n v="2.8079571115498139E-3"/>
  </r>
  <r>
    <x v="5"/>
    <x v="28"/>
    <x v="0"/>
    <n v="6121"/>
    <n v="2046809"/>
    <n v="2.9910000000000002E-3"/>
    <n v="0.99700900000000003"/>
    <n v="96329.708159999995"/>
    <n v="288.12"/>
    <n v="96185.647079999995"/>
    <n v="2990128.5660000001"/>
    <n v="31.040564979999999"/>
    <n v="0.96329708199999997"/>
    <n v="-5.8121474993343263"/>
    <n v="2.9954565763632732E-3"/>
  </r>
  <r>
    <x v="5"/>
    <x v="29"/>
    <x v="0"/>
    <n v="6935"/>
    <n v="2161257"/>
    <n v="3.209E-3"/>
    <n v="0.99679099999999998"/>
    <n v="96041.63334"/>
    <n v="308.2"/>
    <n v="95887.534539999993"/>
    <n v="2893942.9190000002"/>
    <n v="30.132171"/>
    <n v="0.96041633299999996"/>
    <n v="-5.741795916854417"/>
    <n v="3.2141817771127435E-3"/>
  </r>
  <r>
    <x v="5"/>
    <x v="30"/>
    <x v="0"/>
    <n v="7503"/>
    <n v="2176827"/>
    <n v="3.447E-3"/>
    <n v="0.99655300000000002"/>
    <n v="95733.456789999997"/>
    <n v="329.99"/>
    <n v="95568.460179999995"/>
    <n v="2798055.3840000001"/>
    <n v="29.227560329999999"/>
    <n v="0.95733456800000005"/>
    <n v="-5.6702509914474089"/>
    <n v="3.4529169948376136E-3"/>
  </r>
  <r>
    <x v="5"/>
    <x v="31"/>
    <x v="0"/>
    <n v="7879"/>
    <n v="2063731"/>
    <n v="3.8180000000000002E-3"/>
    <n v="0.99618200000000001"/>
    <n v="95403.486550000001"/>
    <n v="364.25"/>
    <n v="95221.361290000001"/>
    <n v="2702486.9240000001"/>
    <n v="28.326919920000002"/>
    <n v="0.95403486599999998"/>
    <n v="-5.5680285536785812"/>
    <n v="3.8252968275002733E-3"/>
  </r>
  <r>
    <x v="5"/>
    <x v="32"/>
    <x v="0"/>
    <n v="8378"/>
    <n v="2019631"/>
    <n v="4.1479999999999998E-3"/>
    <n v="0.99585199999999996"/>
    <n v="95039.251059999995"/>
    <n v="394.22"/>
    <n v="94842.139649999997"/>
    <n v="2607265.5630000001"/>
    <n v="27.433565959999999"/>
    <n v="0.950392511"/>
    <n v="-5.4851289886148562"/>
    <n v="4.1565917561228738E-3"/>
  </r>
  <r>
    <x v="5"/>
    <x v="33"/>
    <x v="0"/>
    <n v="9133"/>
    <n v="2024943"/>
    <n v="4.5100000000000001E-3"/>
    <n v="0.99548999999999999"/>
    <n v="94645.001390000005"/>
    <n v="426.85"/>
    <n v="94431.576910000003"/>
    <n v="2512423.423"/>
    <n v="26.545759270000001"/>
    <n v="0.94645001399999995"/>
    <n v="-5.40145812546755"/>
    <n v="4.5202046551509204E-3"/>
  </r>
  <r>
    <x v="5"/>
    <x v="34"/>
    <x v="0"/>
    <n v="10128"/>
    <n v="2058607"/>
    <n v="4.9199999999999999E-3"/>
    <n v="0.99507999999999996"/>
    <n v="94218.12874"/>
    <n v="463.55"/>
    <n v="93986.352140000003"/>
    <n v="2417991.8459999999"/>
    <n v="25.663764270000001"/>
    <n v="0.94218128700000003"/>
    <n v="-5.3144467484779208"/>
    <n v="4.9320986540467484E-3"/>
  </r>
  <r>
    <x v="5"/>
    <x v="35"/>
    <x v="0"/>
    <n v="11416"/>
    <n v="2180669"/>
    <n v="5.2350000000000001E-3"/>
    <n v="0.99476500000000001"/>
    <n v="93754.591400000005"/>
    <n v="490.81"/>
    <n v="93509.188760000005"/>
    <n v="2324005.4939999999"/>
    <n v="24.788177940000001"/>
    <n v="0.93754591399999998"/>
    <n v="-5.252388434659637"/>
    <n v="5.2487892242687236E-3"/>
  </r>
  <r>
    <x v="5"/>
    <x v="36"/>
    <x v="0"/>
    <n v="12646"/>
    <n v="2225298"/>
    <n v="5.6829999999999997E-3"/>
    <n v="0.99431700000000001"/>
    <n v="93263.777610000005"/>
    <n v="530.02"/>
    <n v="92998.768590000007"/>
    <n v="2230496.3050000002"/>
    <n v="23.91599785"/>
    <n v="0.93263777599999997"/>
    <n v="-5.1702760166671524"/>
    <n v="5.6992147749691177E-3"/>
  </r>
  <r>
    <x v="5"/>
    <x v="37"/>
    <x v="0"/>
    <n v="14072"/>
    <n v="2223160"/>
    <n v="6.3299999999999997E-3"/>
    <n v="0.99367000000000005"/>
    <n v="92733.775009999998"/>
    <n v="587"/>
    <n v="92440.27261"/>
    <n v="2137497.537"/>
    <n v="23.049827709999999"/>
    <n v="0.92733774999999996"/>
    <n v="-5.062455042826052"/>
    <n v="6.3500453168982745E-3"/>
  </r>
  <r>
    <x v="5"/>
    <x v="38"/>
    <x v="0"/>
    <n v="14885"/>
    <n v="2216957"/>
    <n v="6.7140000000000003E-3"/>
    <n v="0.993286"/>
    <n v="92146.79535"/>
    <n v="618.66999999999996"/>
    <n v="91837.458559999999"/>
    <n v="2045057.264"/>
    <n v="22.193471370000001"/>
    <n v="0.92146795400000003"/>
    <n v="-5.0035603804242941"/>
    <n v="6.7365763252850343E-3"/>
  </r>
  <r>
    <x v="5"/>
    <x v="39"/>
    <x v="0"/>
    <n v="16549"/>
    <n v="2245087"/>
    <n v="7.3709999999999999E-3"/>
    <n v="0.99262899999999998"/>
    <n v="91528.107189999995"/>
    <n v="674.65"/>
    <n v="91190.780350000001"/>
    <n v="1953219.8049999999"/>
    <n v="21.340109229999999"/>
    <n v="0.91528107199999997"/>
    <n v="-4.9102018967749856"/>
    <n v="7.3982267431407355E-3"/>
  </r>
  <r>
    <x v="5"/>
    <x v="40"/>
    <x v="0"/>
    <n v="17950"/>
    <n v="2255469"/>
    <n v="7.9579999999999998E-3"/>
    <n v="0.99204199999999998"/>
    <n v="90853.434609999997"/>
    <n v="723.01"/>
    <n v="90491.928790000005"/>
    <n v="1862029.0249999999"/>
    <n v="20.494866630000001"/>
    <n v="0.90853434600000005"/>
    <n v="-4.8335775669774002"/>
    <n v="7.9897750765880477E-3"/>
  </r>
  <r>
    <x v="5"/>
    <x v="41"/>
    <x v="0"/>
    <n v="18791"/>
    <n v="2182788"/>
    <n v="8.6090000000000003E-3"/>
    <n v="0.99139100000000002"/>
    <n v="90130.383600000001"/>
    <n v="775.93"/>
    <n v="89742.417360000007"/>
    <n v="1771537.0959999999"/>
    <n v="19.655270789999999"/>
    <n v="0.90130383599999997"/>
    <n v="-4.7549471113063193"/>
    <n v="8.6461888570519216E-3"/>
  </r>
  <r>
    <x v="5"/>
    <x v="42"/>
    <x v="0"/>
    <n v="19903"/>
    <n v="2168833"/>
    <n v="9.1769999999999994E-3"/>
    <n v="0.99082300000000001"/>
    <n v="89354.476800000004"/>
    <n v="820.01"/>
    <n v="88944.47378"/>
    <n v="1681794.679"/>
    <n v="18.821605129999998"/>
    <n v="0.89354476800000004"/>
    <n v="-4.6910549251452611"/>
    <n v="9.2193465526433857E-3"/>
  </r>
  <r>
    <x v="5"/>
    <x v="43"/>
    <x v="0"/>
    <n v="21307"/>
    <n v="2145780"/>
    <n v="9.9299999999999996E-3"/>
    <n v="0.99007000000000001"/>
    <n v="88534.486439999993"/>
    <n v="879.15"/>
    <n v="88094.912710000004"/>
    <n v="1592850.2050000001"/>
    <n v="17.991296599999998"/>
    <n v="0.88534486400000001"/>
    <n v="-4.6121948009250557"/>
    <n v="9.9795760084931129E-3"/>
  </r>
  <r>
    <x v="5"/>
    <x v="44"/>
    <x v="0"/>
    <n v="21903"/>
    <n v="2070202"/>
    <n v="1.0580000000000001E-2"/>
    <n v="0.98941999999999997"/>
    <n v="87655.363559999998"/>
    <n v="927.39"/>
    <n v="87191.666689999998"/>
    <n v="1504755.2919999999"/>
    <n v="17.16672239"/>
    <n v="0.87655363600000002"/>
    <n v="-4.5487898525519839"/>
    <n v="1.0636223557246525E-2"/>
  </r>
  <r>
    <x v="5"/>
    <x v="45"/>
    <x v="0"/>
    <n v="23040"/>
    <n v="2050844"/>
    <n v="1.1233999999999999E-2"/>
    <n v="0.98876600000000003"/>
    <n v="86727.958679999996"/>
    <n v="974.3"/>
    <n v="86240.807740000004"/>
    <n v="1417563.6259999999"/>
    <n v="16.34494398"/>
    <n v="0.86727958699999996"/>
    <n v="-4.4888103848718961"/>
    <n v="1.1297438197656835E-2"/>
  </r>
  <r>
    <x v="5"/>
    <x v="46"/>
    <x v="0"/>
    <n v="23754"/>
    <n v="1969842"/>
    <n v="1.2059E-2"/>
    <n v="0.98794099999999996"/>
    <n v="85753.622180000006"/>
    <n v="1034.0999999999999"/>
    <n v="85236.570720000003"/>
    <n v="1331322.818"/>
    <n v="15.524974739999999"/>
    <n v="0.85753622200000001"/>
    <n v="-4.4179440098606815"/>
    <n v="1.2132115423596717E-2"/>
  </r>
  <r>
    <x v="5"/>
    <x v="47"/>
    <x v="0"/>
    <n v="24675"/>
    <n v="1892051"/>
    <n v="1.3041000000000001E-2"/>
    <n v="0.98695900000000003"/>
    <n v="84719.533389999997"/>
    <n v="1104.83"/>
    <n v="84167.11967"/>
    <n v="1246086.247"/>
    <n v="14.708370049999999"/>
    <n v="0.84719533400000002"/>
    <n v="-4.3396570383073723"/>
    <n v="1.3126625082746595E-2"/>
  </r>
  <r>
    <x v="5"/>
    <x v="48"/>
    <x v="0"/>
    <n v="25638"/>
    <n v="1813435"/>
    <n v="1.4138E-2"/>
    <n v="0.98586200000000002"/>
    <n v="83614.671789999993"/>
    <n v="1182.1400000000001"/>
    <n v="83023.599679999999"/>
    <n v="1161919.128"/>
    <n v="13.89611539"/>
    <n v="0.83614671799999996"/>
    <n v="-4.2588890712333747"/>
    <n v="1.4238600731785197E-2"/>
  </r>
  <r>
    <x v="5"/>
    <x v="49"/>
    <x v="0"/>
    <n v="26545"/>
    <n v="1757144"/>
    <n v="1.5107000000000001E-2"/>
    <n v="0.98489300000000002"/>
    <n v="82432.543420000002"/>
    <n v="1245.31"/>
    <n v="81809.889200000005"/>
    <n v="1078895.5279999999"/>
    <n v="13.088223210000001"/>
    <n v="0.82432543400000002"/>
    <n v="-4.1925970664205492"/>
    <n v="1.5221997607422743E-2"/>
  </r>
  <r>
    <x v="5"/>
    <x v="50"/>
    <x v="0"/>
    <n v="28093"/>
    <n v="1706943"/>
    <n v="1.6458E-2"/>
    <n v="0.98354200000000003"/>
    <n v="81187.243170000002"/>
    <n v="1336.18"/>
    <n v="80519.153349999993"/>
    <n v="997085.63879999996"/>
    <n v="12.28130923"/>
    <n v="0.81187243200000003"/>
    <n v="-4.1069435977986162"/>
    <n v="1.6594561624136805E-2"/>
  </r>
  <r>
    <x v="5"/>
    <x v="51"/>
    <x v="0"/>
    <n v="30411"/>
    <n v="1648341"/>
    <n v="1.8449E-2"/>
    <n v="0.98155099999999995"/>
    <n v="79851.057239999995"/>
    <n v="1473.17"/>
    <n v="79114.471160000001"/>
    <n v="916566.48549999995"/>
    <n v="11.47845147"/>
    <n v="0.79851057199999997"/>
    <n v="-3.9927451105065086"/>
    <n v="1.862074434320524E-2"/>
  </r>
  <r>
    <x v="5"/>
    <x v="52"/>
    <x v="0"/>
    <n v="32904"/>
    <n v="1619075"/>
    <n v="2.0323000000000001E-2"/>
    <n v="0.97967700000000002"/>
    <n v="78377.848419999995"/>
    <n v="1592.87"/>
    <n v="77581.411909999995"/>
    <n v="837452.01430000004"/>
    <n v="10.68480484"/>
    <n v="0.78377848400000005"/>
    <n v="-3.896002029373967"/>
    <n v="2.0531590384210027E-2"/>
  </r>
  <r>
    <x v="5"/>
    <x v="53"/>
    <x v="0"/>
    <n v="36024"/>
    <n v="1675385"/>
    <n v="2.1502E-2"/>
    <n v="0.97849799999999998"/>
    <n v="76784.997730000003"/>
    <n v="1651.03"/>
    <n v="75959.482220000005"/>
    <n v="759870.60239999997"/>
    <n v="9.8960815889999996"/>
    <n v="0.76784997700000002"/>
    <n v="-3.8396093249191008"/>
    <n v="2.1735666013563588E-2"/>
  </r>
  <r>
    <x v="5"/>
    <x v="54"/>
    <x v="0"/>
    <n v="31424"/>
    <n v="1232798"/>
    <n v="2.5489999999999999E-2"/>
    <n v="0.97450999999999999"/>
    <n v="75133.972590000005"/>
    <n v="1915.16"/>
    <n v="74176.390109999993"/>
    <n v="683911.1202"/>
    <n v="9.1025550309999996"/>
    <n v="0.75133972599999999"/>
    <n v="-3.6694690605941132"/>
    <n v="2.5818996861882229E-2"/>
  </r>
  <r>
    <x v="5"/>
    <x v="55"/>
    <x v="0"/>
    <n v="32471"/>
    <n v="1210107"/>
    <n v="2.6832999999999999E-2"/>
    <n v="0.973167"/>
    <n v="73218.808910000007"/>
    <n v="1964.68"/>
    <n v="72236.468760000003"/>
    <n v="609734.73010000004"/>
    <n v="8.327569639"/>
    <n v="0.73218808899999999"/>
    <n v="-3.6181228056631358"/>
    <n v="2.7197898752814965E-2"/>
  </r>
  <r>
    <x v="5"/>
    <x v="56"/>
    <x v="0"/>
    <n v="35223"/>
    <n v="1168898"/>
    <n v="3.0134000000000001E-2"/>
    <n v="0.96986600000000001"/>
    <n v="71254.116580000002"/>
    <n v="2147.17"/>
    <n v="70180.530809999997"/>
    <n v="537498.26130000001"/>
    <n v="7.5433994149999997"/>
    <n v="0.71254116599999995"/>
    <n v="-3.5021011766030403"/>
    <n v="3.0594944803669304E-2"/>
  </r>
  <r>
    <x v="5"/>
    <x v="57"/>
    <x v="0"/>
    <n v="38868"/>
    <n v="1183942"/>
    <n v="3.2828999999999997E-2"/>
    <n v="0.967171"/>
    <n v="69106.979919999998"/>
    <n v="2268.71"/>
    <n v="67972.623399999997"/>
    <n v="467317.73050000001"/>
    <n v="6.7622363329999997"/>
    <n v="0.69106979899999998"/>
    <n v="-3.4164430078777217"/>
    <n v="3.3376825038563762E-2"/>
  </r>
  <r>
    <x v="5"/>
    <x v="58"/>
    <x v="0"/>
    <n v="37865"/>
    <n v="1023052"/>
    <n v="3.7012000000000003E-2"/>
    <n v="0.96298799999999996"/>
    <n v="66838.245389999996"/>
    <n v="2473.8200000000002"/>
    <n v="65601.336819999997"/>
    <n v="399345.10710000002"/>
    <n v="5.9747993800000003"/>
    <n v="0.66838245399999996"/>
    <n v="-3.2965130945953534"/>
    <n v="3.7709898497943685E-2"/>
  </r>
  <r>
    <x v="5"/>
    <x v="59"/>
    <x v="0"/>
    <n v="38013"/>
    <n v="927150"/>
    <n v="4.1000000000000002E-2"/>
    <n v="0.95899999999999996"/>
    <n v="64364.441359999997"/>
    <n v="2638.94"/>
    <n v="63044.970309999997"/>
    <n v="333743.77029999997"/>
    <n v="5.1852197149999997"/>
    <n v="0.64364441400000005"/>
    <n v="-3.1941832122778293"/>
    <n v="4.185805416598392E-2"/>
  </r>
  <r>
    <x v="5"/>
    <x v="60"/>
    <x v="0"/>
    <n v="39250"/>
    <n v="863701"/>
    <n v="4.5443999999999998E-2"/>
    <n v="0.95455599999999996"/>
    <n v="61725.509669999999"/>
    <n v="2805.05"/>
    <n v="60322.982640000002"/>
    <n v="270698.8"/>
    <n v="4.3855255529999999"/>
    <n v="0.61725509700000003"/>
    <n v="-3.0912744802744792"/>
    <n v="4.6500518215000466E-2"/>
  </r>
  <r>
    <x v="5"/>
    <x v="61"/>
    <x v="0"/>
    <n v="40652"/>
    <n v="795451"/>
    <n v="5.1105999999999999E-2"/>
    <n v="0.94889400000000002"/>
    <n v="58920.457629999997"/>
    <n v="3011.19"/>
    <n v="57414.86318"/>
    <n v="210375.8173"/>
    <n v="3.5705054879999998"/>
    <n v="0.58920457599999998"/>
    <n v="-2.9738533718355491"/>
    <n v="5.2446164879514104E-2"/>
  </r>
  <r>
    <x v="5"/>
    <x v="62"/>
    <x v="0"/>
    <n v="42717"/>
    <n v="749775"/>
    <n v="5.6973000000000003E-2"/>
    <n v="0.94302699999999995"/>
    <n v="55909.29234"/>
    <n v="3185.32"/>
    <n v="54316.632279999998"/>
    <n v="152960.9541"/>
    <n v="2.7358771279999998"/>
    <n v="0.55909292300000002"/>
    <n v="-2.8651778075819192"/>
    <n v="5.8643550174475326E-2"/>
  </r>
  <r>
    <x v="5"/>
    <x v="63"/>
    <x v="0"/>
    <n v="43079"/>
    <n v="676482"/>
    <n v="6.3681000000000001E-2"/>
    <n v="0.93631900000000001"/>
    <n v="52723.967089999998"/>
    <n v="3357.51"/>
    <n v="51045.209620000001"/>
    <n v="98644.321859999996"/>
    <n v="1.870957883"/>
    <n v="0.52723967100000002"/>
    <n v="-2.7538690340517205"/>
    <n v="6.5775219589319062E-2"/>
  </r>
  <r>
    <x v="5"/>
    <x v="64"/>
    <x v="0"/>
    <n v="45088"/>
    <n v="629714"/>
    <n v="7.1600999999999998E-2"/>
    <n v="0.92839899999999997"/>
    <n v="49366.456050000001"/>
    <n v="3534.69"/>
    <n v="47599.112240000002"/>
    <n v="47599.112240000002"/>
    <n v="0.96419949999999999"/>
    <n v="0.493664561"/>
    <n v="-2.6366462386326206"/>
    <n v="4.7329100434929945E-2"/>
  </r>
  <r>
    <x v="5"/>
    <x v="0"/>
    <x v="1"/>
    <n v="3009"/>
    <n v="2221432"/>
    <n v="1.3550000000000001E-3"/>
    <n v="0.998645"/>
    <n v="100000"/>
    <n v="135.5"/>
    <n v="99932.25"/>
    <n v="5328961.25"/>
    <n v="53.289612499999997"/>
    <n v="1"/>
    <n v="-6.603953824650473"/>
    <n v="1.3559183171716097E-3"/>
  </r>
  <r>
    <x v="5"/>
    <x v="1"/>
    <x v="1"/>
    <n v="3413"/>
    <n v="2188824"/>
    <n v="1.5590000000000001E-3"/>
    <n v="0.99844100000000002"/>
    <n v="99864.546830000007"/>
    <n v="155.69"/>
    <n v="99786.702420000001"/>
    <n v="5229029"/>
    <n v="52.361214930000003"/>
    <n v="0.99864546799999998"/>
    <n v="-6.4637106889064979"/>
    <n v="1.5602281508306551E-3"/>
  </r>
  <r>
    <x v="5"/>
    <x v="2"/>
    <x v="1"/>
    <n v="3517"/>
    <n v="2192971"/>
    <n v="1.604E-3"/>
    <n v="0.99839599999999995"/>
    <n v="99708.829559999998"/>
    <n v="159.93"/>
    <n v="99628.863079999996"/>
    <n v="5129242.2980000004"/>
    <n v="51.44220748"/>
    <n v="0.99708829600000004"/>
    <n v="-6.4352547695378144"/>
    <n v="1.6052575115383825E-3"/>
  </r>
  <r>
    <x v="5"/>
    <x v="3"/>
    <x v="1"/>
    <n v="3694"/>
    <n v="2201623"/>
    <n v="1.678E-3"/>
    <n v="0.99832200000000004"/>
    <n v="99548.920490000004"/>
    <n v="167.04"/>
    <n v="99465.398950000003"/>
    <n v="5029613.4349999996"/>
    <n v="50.524037929999999"/>
    <n v="0.99548920500000004"/>
    <n v="-6.3901526709371224"/>
    <n v="1.6793778488509035E-3"/>
  </r>
  <r>
    <x v="5"/>
    <x v="4"/>
    <x v="1"/>
    <n v="3900"/>
    <n v="2227996"/>
    <n v="1.75E-3"/>
    <n v="0.99824999999999997"/>
    <n v="99381.892030000003"/>
    <n v="173.92"/>
    <n v="99294.932870000004"/>
    <n v="4930148.0360000003"/>
    <n v="49.608112050000003"/>
    <n v="0.99381892000000005"/>
    <n v="-6.3481394910467142"/>
    <n v="1.7515499966021095E-3"/>
  </r>
  <r>
    <x v="5"/>
    <x v="5"/>
    <x v="1"/>
    <n v="4143"/>
    <n v="2283275"/>
    <n v="1.8140000000000001E-3"/>
    <n v="0.99818600000000002"/>
    <n v="99207.928799999994"/>
    <n v="179.96"/>
    <n v="99117.947209999998"/>
    <n v="4830853.1030000001"/>
    <n v="48.694223950000001"/>
    <n v="0.992079288"/>
    <n v="-6.312220927289192"/>
    <n v="1.8156151333037131E-3"/>
  </r>
  <r>
    <x v="5"/>
    <x v="6"/>
    <x v="1"/>
    <n v="4349"/>
    <n v="2332000"/>
    <n v="1.8649999999999999E-3"/>
    <n v="0.99813499999999999"/>
    <n v="99027.916119999994"/>
    <n v="184.69"/>
    <n v="98935.572589999996"/>
    <n v="4731735.1560000004"/>
    <n v="47.78183104"/>
    <n v="0.99027916100000002"/>
    <n v="-6.2844942258863581"/>
    <n v="1.8667703439117205E-3"/>
  </r>
  <r>
    <x v="5"/>
    <x v="7"/>
    <x v="1"/>
    <n v="4714"/>
    <n v="2372863"/>
    <n v="1.9870000000000001E-3"/>
    <n v="0.99801300000000004"/>
    <n v="98843.236699999994"/>
    <n v="196.4"/>
    <n v="98745.035940000002"/>
    <n v="4632799.5829999996"/>
    <n v="46.870172789999998"/>
    <n v="0.98843236700000003"/>
    <n v="-6.2211293154124574"/>
    <n v="1.9889603737793765E-3"/>
  </r>
  <r>
    <x v="5"/>
    <x v="8"/>
    <x v="1"/>
    <n v="5019"/>
    <n v="2428258"/>
    <n v="2.0669999999999998E-3"/>
    <n v="0.99793299999999996"/>
    <n v="98646.871790000005"/>
    <n v="203.9"/>
    <n v="98544.920249999996"/>
    <n v="4534054.5470000003"/>
    <n v="45.962476709999997"/>
    <n v="0.98646871800000002"/>
    <n v="-6.1816569982825058"/>
    <n v="2.0691070700449925E-3"/>
  </r>
  <r>
    <x v="5"/>
    <x v="9"/>
    <x v="1"/>
    <n v="5329"/>
    <n v="2458730"/>
    <n v="2.1670000000000001E-3"/>
    <n v="0.99783299999999997"/>
    <n v="98442.977209999997"/>
    <n v="213.33"/>
    <n v="98336.314240000007"/>
    <n v="4435509.6270000003"/>
    <n v="45.056638399999997"/>
    <n v="0.98442977200000004"/>
    <n v="-6.1344115564279154"/>
    <n v="2.1693922750588225E-3"/>
  </r>
  <r>
    <x v="5"/>
    <x v="10"/>
    <x v="1"/>
    <n v="5570"/>
    <n v="2446049"/>
    <n v="2.2769999999999999E-3"/>
    <n v="0.99772300000000003"/>
    <n v="98229.613960000002"/>
    <n v="223.67"/>
    <n v="98117.779540000003"/>
    <n v="4337173.3130000001"/>
    <n v="44.153419100000001"/>
    <n v="0.98229613999999998"/>
    <n v="-6.0848964919005342"/>
    <n v="2.2796073952334713E-3"/>
  </r>
  <r>
    <x v="5"/>
    <x v="11"/>
    <x v="1"/>
    <n v="5637"/>
    <n v="2346037"/>
    <n v="2.4030000000000002E-3"/>
    <n v="0.99759699999999996"/>
    <n v="98005.931219999999"/>
    <n v="235.51"/>
    <n v="97888.177089999997"/>
    <n v="4239055.5329999998"/>
    <n v="43.25305092"/>
    <n v="0.98005931199999996"/>
    <n v="-6.0310373222278049"/>
    <n v="2.4059082568716988E-3"/>
  </r>
  <r>
    <x v="5"/>
    <x v="12"/>
    <x v="1"/>
    <n v="5522"/>
    <n v="2286384"/>
    <n v="2.415E-3"/>
    <n v="0.99758500000000006"/>
    <n v="97770.44498"/>
    <n v="236.12"/>
    <n v="97652.387170000002"/>
    <n v="4141167.3560000001"/>
    <n v="42.356024429999998"/>
    <n v="0.97770444999999995"/>
    <n v="-6.0260559918776009"/>
    <n v="2.4179646461687273E-3"/>
  </r>
  <r>
    <x v="5"/>
    <x v="13"/>
    <x v="1"/>
    <n v="5692"/>
    <n v="2244172"/>
    <n v="2.5360000000000001E-3"/>
    <n v="0.99746400000000002"/>
    <n v="97534.312990000006"/>
    <n v="247.35"/>
    <n v="97410.639479999998"/>
    <n v="4043514.969"/>
    <n v="41.457358390000003"/>
    <n v="0.97534312999999995"/>
    <n v="-5.9771672424071571"/>
    <n v="2.5392507876759152E-3"/>
  </r>
  <r>
    <x v="5"/>
    <x v="14"/>
    <x v="1"/>
    <n v="5857"/>
    <n v="2246611"/>
    <n v="2.6069999999999999E-3"/>
    <n v="0.99739299999999997"/>
    <n v="97286.932079999999"/>
    <n v="253.63"/>
    <n v="97160.118560000003"/>
    <n v="3946104.33"/>
    <n v="40.561504460000002"/>
    <n v="0.97286932100000001"/>
    <n v="-5.9495551440307723"/>
    <n v="2.6104332576186722E-3"/>
  </r>
  <r>
    <x v="5"/>
    <x v="15"/>
    <x v="1"/>
    <n v="5925"/>
    <n v="2250914"/>
    <n v="2.6319999999999998E-3"/>
    <n v="0.99736800000000003"/>
    <n v="97033.301359999998"/>
    <n v="255.39"/>
    <n v="96905.605540000004"/>
    <n v="3848944.2110000001"/>
    <n v="39.666219300000002"/>
    <n v="0.97033301400000005"/>
    <n v="-5.9400112655190664"/>
    <n v="2.6354516062323586E-3"/>
  </r>
  <r>
    <x v="5"/>
    <x v="16"/>
    <x v="1"/>
    <n v="6071"/>
    <n v="2167794"/>
    <n v="2.8010000000000001E-3"/>
    <n v="0.99719899999999995"/>
    <n v="96777.884090000007"/>
    <n v="271.07"/>
    <n v="96642.346659999996"/>
    <n v="3752038.605"/>
    <n v="38.769587090000002"/>
    <n v="0.967778841"/>
    <n v="-5.8777787827041656"/>
    <n v="2.8048774404841902E-3"/>
  </r>
  <r>
    <x v="5"/>
    <x v="17"/>
    <x v="1"/>
    <n v="6489"/>
    <n v="2190946"/>
    <n v="2.9619999999999998E-3"/>
    <n v="0.99703799999999998"/>
    <n v="96506.853480000005"/>
    <n v="285.85000000000002"/>
    <n v="96363.926829999997"/>
    <n v="3655396.2590000001"/>
    <n v="37.877063929999998"/>
    <n v="0.96506853500000001"/>
    <n v="-5.8218905631365301"/>
    <n v="2.9663585884743353E-3"/>
  </r>
  <r>
    <x v="5"/>
    <x v="18"/>
    <x v="1"/>
    <n v="6530"/>
    <n v="2180264"/>
    <n v="2.9949999999999998E-3"/>
    <n v="0.99700500000000003"/>
    <n v="96221.025819999995"/>
    <n v="288.18"/>
    <n v="96076.934829999998"/>
    <n v="3559032.3319999999"/>
    <n v="36.988093839999998"/>
    <n v="0.96221025800000004"/>
    <n v="-5.8108110474147248"/>
    <n v="2.9994712855758348E-3"/>
  </r>
  <r>
    <x v="5"/>
    <x v="19"/>
    <x v="1"/>
    <n v="7051"/>
    <n v="2147670"/>
    <n v="3.2829999999999999E-3"/>
    <n v="0.99671699999999996"/>
    <n v="95932.839019999999"/>
    <n v="314.95"/>
    <n v="95775.365260000006"/>
    <n v="3462955.3969999999"/>
    <n v="36.097705779999998"/>
    <n v="0.95932839000000003"/>
    <n v="-5.7189976404626819"/>
    <n v="3.2884240512003975E-3"/>
  </r>
  <r>
    <x v="5"/>
    <x v="20"/>
    <x v="1"/>
    <n v="7231"/>
    <n v="2192444"/>
    <n v="3.2980000000000002E-3"/>
    <n v="0.99670199999999998"/>
    <n v="95617.882599999997"/>
    <n v="315.35000000000002"/>
    <n v="95460.208710000006"/>
    <n v="3367180.0320000001"/>
    <n v="35.214961260000003"/>
    <n v="0.95617882600000004"/>
    <n v="-5.7144390548447301"/>
    <n v="3.3034709149513961E-3"/>
  </r>
  <r>
    <x v="5"/>
    <x v="21"/>
    <x v="1"/>
    <n v="7171"/>
    <n v="2042821"/>
    <n v="3.5100000000000001E-3"/>
    <n v="0.99648999999999999"/>
    <n v="95302.52089"/>
    <n v="334.51"/>
    <n v="95135.264970000004"/>
    <n v="3271719.8229999999"/>
    <n v="34.329835060000001"/>
    <n v="0.95302520899999998"/>
    <n v="-5.6521392415043623"/>
    <n v="3.5161520536173651E-3"/>
  </r>
  <r>
    <x v="5"/>
    <x v="22"/>
    <x v="1"/>
    <n v="7124"/>
    <n v="1997308"/>
    <n v="3.5669999999999999E-3"/>
    <n v="0.99643300000000001"/>
    <n v="94967.976460000005"/>
    <n v="338.75"/>
    <n v="94798.601070000004"/>
    <n v="3176584.5580000002"/>
    <n v="33.449007510000001"/>
    <n v="0.94967976499999995"/>
    <n v="-5.6360303726053829"/>
    <n v="3.5733646107678541E-3"/>
  </r>
  <r>
    <x v="5"/>
    <x v="23"/>
    <x v="1"/>
    <n v="7395"/>
    <n v="1967767"/>
    <n v="3.7580000000000001E-3"/>
    <n v="0.99624199999999996"/>
    <n v="94629.244590000002"/>
    <n v="355.62"/>
    <n v="94451.436239999995"/>
    <n v="3081785.9569999999"/>
    <n v="32.566950849999998"/>
    <n v="0.94629244599999995"/>
    <n v="-5.5838683779908633"/>
    <n v="3.7651096274803658E-3"/>
  </r>
  <r>
    <x v="5"/>
    <x v="24"/>
    <x v="1"/>
    <n v="7507"/>
    <n v="1907940"/>
    <n v="3.9350000000000001E-3"/>
    <n v="0.99606499999999998"/>
    <n v="94273.62156"/>
    <n v="370.97"/>
    <n v="94088.138210000005"/>
    <n v="2987334.5210000002"/>
    <n v="31.687915149999998"/>
    <n v="0.94273621600000002"/>
    <n v="-5.5378443971127709"/>
    <n v="3.9427916694823196E-3"/>
  </r>
  <r>
    <x v="5"/>
    <x v="25"/>
    <x v="1"/>
    <n v="8018"/>
    <n v="1966590"/>
    <n v="4.0769999999999999E-3"/>
    <n v="0.995923"/>
    <n v="93902.691619999998"/>
    <n v="382.84"/>
    <n v="93711.270980000001"/>
    <n v="2893246.3829999999"/>
    <n v="30.811112359999999"/>
    <n v="0.93902691599999999"/>
    <n v="-5.5023938551450211"/>
    <n v="4.0853145700505029E-3"/>
  </r>
  <r>
    <x v="5"/>
    <x v="26"/>
    <x v="1"/>
    <n v="8443"/>
    <n v="1893397"/>
    <n v="4.4590000000000003E-3"/>
    <n v="0.99554100000000001"/>
    <n v="93519.840200000006"/>
    <n v="417"/>
    <n v="93311.337719999996"/>
    <n v="2799535.1120000002"/>
    <n v="29.935199910000001"/>
    <n v="0.93519840200000004"/>
    <n v="-5.412830753336797"/>
    <n v="4.4689107244713262E-3"/>
  </r>
  <r>
    <x v="5"/>
    <x v="27"/>
    <x v="1"/>
    <n v="9253"/>
    <n v="1911966"/>
    <n v="4.8399999999999997E-3"/>
    <n v="0.99516000000000004"/>
    <n v="93102.818299999999"/>
    <n v="450.62"/>
    <n v="92877.509479999993"/>
    <n v="2706223.7740000002"/>
    <n v="29.067044620000001"/>
    <n v="0.93102818300000001"/>
    <n v="-5.3308405582535965"/>
    <n v="4.8517654529828163E-3"/>
  </r>
  <r>
    <x v="5"/>
    <x v="28"/>
    <x v="1"/>
    <n v="10562"/>
    <n v="1996639"/>
    <n v="5.2900000000000004E-3"/>
    <n v="0.99470999999999998"/>
    <n v="92652.245240000004"/>
    <n v="490.13"/>
    <n v="92407.180049999995"/>
    <n v="2613346.264"/>
    <n v="28.205967999999999"/>
    <n v="0.92652245200000005"/>
    <n v="-5.2419370331119293"/>
    <n v="5.3040247806634957E-3"/>
  </r>
  <r>
    <x v="5"/>
    <x v="29"/>
    <x v="1"/>
    <n v="11878"/>
    <n v="2104312"/>
    <n v="5.6449999999999998E-3"/>
    <n v="0.99435499999999999"/>
    <n v="92162.125079999998"/>
    <n v="520.26"/>
    <n v="91901.997480000005"/>
    <n v="2520939.0839999998"/>
    <n v="27.353308989999999"/>
    <n v="0.92162125100000003"/>
    <n v="-5.1769850813805114"/>
    <n v="5.6610292481265884E-3"/>
  </r>
  <r>
    <x v="5"/>
    <x v="30"/>
    <x v="1"/>
    <n v="12657"/>
    <n v="2133843"/>
    <n v="5.9319999999999998E-3"/>
    <n v="0.99406799999999995"/>
    <n v="91641.906730000002"/>
    <n v="543.62"/>
    <n v="91370.096829999995"/>
    <n v="2429037.0869999998"/>
    <n v="26.505745829999999"/>
    <n v="0.91641906699999998"/>
    <n v="-5.127393854706451"/>
    <n v="5.9496476049043711E-3"/>
  </r>
  <r>
    <x v="5"/>
    <x v="31"/>
    <x v="1"/>
    <n v="13097"/>
    <n v="2012703"/>
    <n v="6.5069999999999998E-3"/>
    <n v="0.99349299999999996"/>
    <n v="91098.328020000001"/>
    <n v="592.78"/>
    <n v="90801.939610000001"/>
    <n v="2337666.9900000002"/>
    <n v="25.660920910000002"/>
    <n v="0.91098327999999995"/>
    <n v="-5.0348767584692897"/>
    <n v="6.5282751999527168E-3"/>
  </r>
  <r>
    <x v="5"/>
    <x v="32"/>
    <x v="1"/>
    <n v="14021"/>
    <n v="1964096"/>
    <n v="7.1390000000000004E-3"/>
    <n v="0.99286099999999999"/>
    <n v="90505.535740000007"/>
    <n v="646.12"/>
    <n v="90182.47623"/>
    <n v="2246865.0499999998"/>
    <n v="24.825719580000001"/>
    <n v="0.90505535699999995"/>
    <n v="-4.9421825684618135"/>
    <n v="7.1645835701847852E-3"/>
  </r>
  <r>
    <x v="5"/>
    <x v="33"/>
    <x v="1"/>
    <n v="15089"/>
    <n v="1955019"/>
    <n v="7.718E-3"/>
    <n v="0.992282"/>
    <n v="89859.448120000001"/>
    <n v="693.54"/>
    <n v="89512.680510000006"/>
    <n v="2156682.574"/>
    <n v="24.00062119"/>
    <n v="0.89859448099999994"/>
    <n v="-4.86420001586671"/>
    <n v="7.7479528614505461E-3"/>
  </r>
  <r>
    <x v="5"/>
    <x v="34"/>
    <x v="1"/>
    <n v="16826"/>
    <n v="1986127"/>
    <n v="8.4720000000000004E-3"/>
    <n v="0.99152799999999996"/>
    <n v="89165.90539"/>
    <n v="755.41"/>
    <n v="88788.198610000007"/>
    <n v="2067169.8940000001"/>
    <n v="23.18341169"/>
    <n v="0.89165905400000001"/>
    <n v="-4.7709886706830318"/>
    <n v="8.5079990630179299E-3"/>
  </r>
  <r>
    <x v="5"/>
    <x v="35"/>
    <x v="1"/>
    <n v="19091"/>
    <n v="2097187"/>
    <n v="9.103E-3"/>
    <n v="0.99089700000000003"/>
    <n v="88410.512849999999"/>
    <n v="804.8"/>
    <n v="88008.112399999998"/>
    <n v="1978381.6950000001"/>
    <n v="22.377222249999999"/>
    <n v="0.88410512900000005"/>
    <n v="-4.6991512494589855"/>
    <n v="9.1446122087254066E-3"/>
  </r>
  <r>
    <x v="5"/>
    <x v="36"/>
    <x v="1"/>
    <n v="21168"/>
    <n v="2118583"/>
    <n v="9.9919999999999991E-3"/>
    <n v="0.990008"/>
    <n v="87605.69902"/>
    <n v="875.36"/>
    <n v="87168.020950000006"/>
    <n v="1890373.5830000001"/>
    <n v="21.578203290000001"/>
    <n v="0.87605699000000004"/>
    <n v="-4.6059705061588607"/>
    <n v="1.0042212814869264E-2"/>
  </r>
  <r>
    <x v="5"/>
    <x v="37"/>
    <x v="1"/>
    <n v="22489"/>
    <n v="2104702"/>
    <n v="1.0685E-2"/>
    <n v="0.98931500000000006"/>
    <n v="86730.379319999993"/>
    <n v="926.71"/>
    <n v="86267.022270000001"/>
    <n v="1803205.5619999999"/>
    <n v="20.790933649999999"/>
    <n v="0.86730379300000005"/>
    <n v="-4.5389143902110263"/>
    <n v="1.0742344327867094E-2"/>
  </r>
  <r>
    <x v="5"/>
    <x v="38"/>
    <x v="1"/>
    <n v="24355"/>
    <n v="2089658"/>
    <n v="1.1655E-2"/>
    <n v="0.98834500000000003"/>
    <n v="85803.654540000003"/>
    <n v="1000.04"/>
    <n v="85303.633740000005"/>
    <n v="1716938.54"/>
    <n v="20.010086390000001"/>
    <n v="0.85803654500000004"/>
    <n v="-4.4520200064944166"/>
    <n v="1.1723299052707208E-2"/>
  </r>
  <r>
    <x v="5"/>
    <x v="39"/>
    <x v="1"/>
    <n v="26557"/>
    <n v="2101798"/>
    <n v="1.2635E-2"/>
    <n v="0.98736500000000005"/>
    <n v="84803.611470000003"/>
    <n v="1071.49"/>
    <n v="84267.864650000003"/>
    <n v="1631634.906"/>
    <n v="19.240158260000001"/>
    <n v="0.84803611499999998"/>
    <n v="-4.3712845381419791"/>
    <n v="1.2715288385407671E-2"/>
  </r>
  <r>
    <x v="5"/>
    <x v="40"/>
    <x v="1"/>
    <n v="28354"/>
    <n v="2116626"/>
    <n v="1.3396E-2"/>
    <n v="0.98660400000000004"/>
    <n v="83732.08627"/>
    <n v="1121.68"/>
    <n v="83171.248760000002"/>
    <n v="1547367.041"/>
    <n v="18.47997715"/>
    <n v="0.83732086299999997"/>
    <n v="-4.3127991240501791"/>
    <n v="1.348639019952508E-2"/>
  </r>
  <r>
    <x v="5"/>
    <x v="41"/>
    <x v="1"/>
    <n v="30080"/>
    <n v="2026188"/>
    <n v="1.4846E-2"/>
    <n v="0.98515399999999997"/>
    <n v="82610.423980000007"/>
    <n v="1226.43"/>
    <n v="81997.2068"/>
    <n v="1464195.7919999999"/>
    <n v="17.724104560000001"/>
    <n v="0.82610424000000005"/>
    <n v="-4.2100248102867814"/>
    <n v="1.4956969973462762E-2"/>
  </r>
  <r>
    <x v="5"/>
    <x v="42"/>
    <x v="1"/>
    <n v="31422"/>
    <n v="1999600"/>
    <n v="1.5713999999999999E-2"/>
    <n v="0.98428599999999999"/>
    <n v="81384.021710000001"/>
    <n v="1278.8699999999999"/>
    <n v="80744.587450000006"/>
    <n v="1382198.5859999999"/>
    <n v="16.983660390000001"/>
    <n v="0.81384021699999998"/>
    <n v="-4.1532032442285072"/>
    <n v="1.5838462148480083E-2"/>
  </r>
  <r>
    <x v="5"/>
    <x v="43"/>
    <x v="1"/>
    <n v="33504"/>
    <n v="1960712"/>
    <n v="1.7087999999999999E-2"/>
    <n v="0.98291200000000001"/>
    <n v="80105.141570000007"/>
    <n v="1368.84"/>
    <n v="79420.723240000007"/>
    <n v="1301453.9979999999"/>
    <n v="16.246822269999999"/>
    <n v="0.80105141599999996"/>
    <n v="-4.0693788162043525"/>
    <n v="1.7235297243330963E-2"/>
  </r>
  <r>
    <x v="5"/>
    <x v="44"/>
    <x v="1"/>
    <n v="34107"/>
    <n v="1874380"/>
    <n v="1.8196E-2"/>
    <n v="0.98180400000000001"/>
    <n v="78736.331330000001"/>
    <n v="1432.69"/>
    <n v="78019.988190000004"/>
    <n v="1222033.2749999999"/>
    <n v="15.52057677"/>
    <n v="0.78736331299999995"/>
    <n v="-4.0065534892743795"/>
    <n v="1.8363118665714231E-2"/>
  </r>
  <r>
    <x v="5"/>
    <x v="45"/>
    <x v="1"/>
    <n v="34987"/>
    <n v="1846576"/>
    <n v="1.8946999999999999E-2"/>
    <n v="0.98105299999999995"/>
    <n v="77303.612219999995"/>
    <n v="1464.67"/>
    <n v="76571.276450000005"/>
    <n v="1144013.287"/>
    <n v="14.79896287"/>
    <n v="0.77303612200000005"/>
    <n v="-3.9661096713319122"/>
    <n v="1.9128190591596948E-2"/>
  </r>
  <r>
    <x v="5"/>
    <x v="46"/>
    <x v="1"/>
    <n v="36153"/>
    <n v="1750568"/>
    <n v="2.0652E-2"/>
    <n v="0.979348"/>
    <n v="75838.943840000007"/>
    <n v="1566.23"/>
    <n v="75055.830910000004"/>
    <n v="1067442.01"/>
    <n v="14.075117029999999"/>
    <n v="0.75838943800000003"/>
    <n v="-3.8799431119647343"/>
    <n v="2.086753424725676E-2"/>
  </r>
  <r>
    <x v="5"/>
    <x v="47"/>
    <x v="1"/>
    <n v="36489"/>
    <n v="1670185"/>
    <n v="2.1846999999999998E-2"/>
    <n v="0.97815300000000005"/>
    <n v="74272.706290000002"/>
    <n v="1622.64"/>
    <n v="73461.388380000004"/>
    <n v="992386.17929999996"/>
    <n v="13.3613844"/>
    <n v="0.74272706300000002"/>
    <n v="-3.8236916666381813"/>
    <n v="2.2088341450151538E-2"/>
  </r>
  <r>
    <x v="5"/>
    <x v="48"/>
    <x v="1"/>
    <n v="37251"/>
    <n v="1593647"/>
    <n v="2.3375E-2"/>
    <n v="0.97662499999999997"/>
    <n v="72650.049650000001"/>
    <n v="1698.19"/>
    <n v="71800.952189999996"/>
    <n v="918924.79099999997"/>
    <n v="12.648646429999999"/>
    <n v="0.72650049699999997"/>
    <n v="-3.7560882038073862"/>
    <n v="2.3651353906705148E-2"/>
  </r>
  <r>
    <x v="5"/>
    <x v="49"/>
    <x v="1"/>
    <n v="37856"/>
    <n v="1529375"/>
    <n v="2.4753000000000001E-2"/>
    <n v="0.97524699999999998"/>
    <n v="70951.877470000007"/>
    <n v="1756.27"/>
    <n v="70073.741559999995"/>
    <n v="847123.83880000003"/>
    <n v="11.93941399"/>
    <n v="0.70951877500000005"/>
    <n v="-3.6988085851918213"/>
    <n v="2.5063163474207621E-2"/>
  </r>
  <r>
    <x v="5"/>
    <x v="50"/>
    <x v="1"/>
    <n v="39186"/>
    <n v="1485086"/>
    <n v="2.6386E-2"/>
    <n v="0.97361399999999998"/>
    <n v="69195.634380000003"/>
    <n v="1825.8"/>
    <n v="68282.736380000002"/>
    <n v="777050.09719999996"/>
    <n v="11.229756099999999"/>
    <n v="0.69195634399999995"/>
    <n v="-3.6349217125205522"/>
    <n v="2.6738827724311073E-2"/>
  </r>
  <r>
    <x v="5"/>
    <x v="51"/>
    <x v="1"/>
    <n v="40638"/>
    <n v="1426391"/>
    <n v="2.8490000000000001E-2"/>
    <n v="0.97150999999999998"/>
    <n v="67369.814100000003"/>
    <n v="1919.37"/>
    <n v="66410.131099999999"/>
    <n v="708767.36080000002"/>
    <n v="10.520547970000001"/>
    <n v="0.67369814100000003"/>
    <n v="-3.5582021304723201"/>
    <n v="2.890176619792164E-2"/>
  </r>
  <r>
    <x v="5"/>
    <x v="52"/>
    <x v="1"/>
    <n v="43199"/>
    <n v="1398098"/>
    <n v="3.0897999999999998E-2"/>
    <n v="0.96910200000000002"/>
    <n v="65450.442410000003"/>
    <n v="2022.29"/>
    <n v="64439.29853"/>
    <n v="642357.22970000003"/>
    <n v="9.8144062299999995"/>
    <n v="0.65450442399999997"/>
    <n v="-3.4770638220922789"/>
    <n v="3.1382874480713724E-2"/>
  </r>
  <r>
    <x v="5"/>
    <x v="53"/>
    <x v="1"/>
    <n v="46529"/>
    <n v="1442000"/>
    <n v="3.2266999999999997E-2"/>
    <n v="0.96773299999999995"/>
    <n v="63428.128049999999"/>
    <n v="2046.64"/>
    <n v="62404.81035"/>
    <n v="577917.93119999999"/>
    <n v="9.1113824260000005"/>
    <n v="0.63428128100000003"/>
    <n v="-3.433710242842563"/>
    <n v="3.2796189564850788E-2"/>
  </r>
  <r>
    <x v="5"/>
    <x v="54"/>
    <x v="1"/>
    <n v="39711"/>
    <n v="1041614"/>
    <n v="3.8123999999999998E-2"/>
    <n v="0.96187599999999995"/>
    <n v="61381.493260000003"/>
    <n v="2340.11"/>
    <n v="60211.43924"/>
    <n v="515513.12089999998"/>
    <n v="8.3985105850000004"/>
    <n v="0.61381493300000001"/>
    <n v="-3.2669112739067576"/>
    <n v="3.8864883672348978E-2"/>
  </r>
  <r>
    <x v="5"/>
    <x v="55"/>
    <x v="1"/>
    <n v="39754"/>
    <n v="1009458"/>
    <n v="3.9382E-2"/>
    <n v="0.96061799999999997"/>
    <n v="59041.355280000003"/>
    <n v="2325.17"/>
    <n v="57878.771950000002"/>
    <n v="455301.68160000001"/>
    <n v="7.711572329"/>
    <n v="0.59041355299999998"/>
    <n v="-3.2344464198591587"/>
    <n v="4.0173095652469792E-2"/>
  </r>
  <r>
    <x v="5"/>
    <x v="56"/>
    <x v="1"/>
    <n v="42877"/>
    <n v="961529"/>
    <n v="4.4593000000000001E-2"/>
    <n v="0.95540700000000001"/>
    <n v="56716.216410000001"/>
    <n v="2529.15"/>
    <n v="55451.64329"/>
    <n v="397422.90970000002"/>
    <n v="7.0072183020000001"/>
    <n v="0.56716216399999997"/>
    <n v="-3.1101783829468101"/>
    <n v="4.560999868704825E-2"/>
  </r>
  <r>
    <x v="5"/>
    <x v="57"/>
    <x v="1"/>
    <n v="46442"/>
    <n v="963155"/>
    <n v="4.8218999999999998E-2"/>
    <n v="0.95178099999999999"/>
    <n v="54187.097459999997"/>
    <n v="2612.85"/>
    <n v="52880.673629999998"/>
    <n v="341971.26640000002"/>
    <n v="6.310935304"/>
    <n v="0.54187097500000003"/>
    <n v="-3.0320021447270236"/>
    <n v="4.9410291223564343E-2"/>
  </r>
  <r>
    <x v="5"/>
    <x v="58"/>
    <x v="1"/>
    <n v="44183"/>
    <n v="816776"/>
    <n v="5.4094000000000003E-2"/>
    <n v="0.94590600000000002"/>
    <n v="51574.270680000001"/>
    <n v="2789.86"/>
    <n v="50179.341379999998"/>
    <n v="289090.59269999998"/>
    <n v="5.605325852"/>
    <n v="0.51574270700000002"/>
    <n v="-2.9170320050103258"/>
    <n v="5.559779150986835E-2"/>
  </r>
  <r>
    <x v="5"/>
    <x v="59"/>
    <x v="1"/>
    <n v="42495"/>
    <n v="722766"/>
    <n v="5.8795E-2"/>
    <n v="0.94120499999999996"/>
    <n v="48784.391929999998"/>
    <n v="2868.28"/>
    <n v="47350.252769999999"/>
    <n v="238911.25140000001"/>
    <n v="4.8972887009999999"/>
    <n v="0.48784391900000001"/>
    <n v="-2.8336984617067578"/>
    <n v="6.0575810625730961E-2"/>
  </r>
  <r>
    <x v="5"/>
    <x v="60"/>
    <x v="1"/>
    <n v="42411"/>
    <n v="663256"/>
    <n v="6.3944000000000001E-2"/>
    <n v="0.936056"/>
    <n v="45916.115429999998"/>
    <n v="2936.06"/>
    <n v="44448.08539"/>
    <n v="191560.99859999999"/>
    <n v="4.1719774589999998"/>
    <n v="0.45916115400000002"/>
    <n v="-2.7497475786584191"/>
    <n v="6.605592618175489E-2"/>
  </r>
  <r>
    <x v="5"/>
    <x v="61"/>
    <x v="1"/>
    <n v="42685"/>
    <n v="604941"/>
    <n v="7.0560999999999999E-2"/>
    <n v="0.92943900000000002"/>
    <n v="42980.072079999998"/>
    <n v="3032.72"/>
    <n v="41463.713649999998"/>
    <n v="147112.91320000001"/>
    <n v="3.42281681"/>
    <n v="0.429800721"/>
    <n v="-2.6512776950484267"/>
    <n v="7.3141527971030504E-2"/>
  </r>
  <r>
    <x v="5"/>
    <x v="62"/>
    <x v="1"/>
    <n v="42913"/>
    <n v="554034"/>
    <n v="7.7455999999999997E-2"/>
    <n v="0.92254400000000003"/>
    <n v="39947.3724"/>
    <n v="3094.16"/>
    <n v="38400.290560000001"/>
    <n v="105649.19960000001"/>
    <n v="2.6447096069999998"/>
    <n v="0.39947372399999997"/>
    <n v="-2.5580452457847986"/>
    <n v="8.0576454155028746E-2"/>
  </r>
  <r>
    <x v="5"/>
    <x v="63"/>
    <x v="1"/>
    <n v="42570"/>
    <n v="486767"/>
    <n v="8.7455000000000005E-2"/>
    <n v="0.91254500000000005"/>
    <n v="36853.227290000003"/>
    <n v="3223"/>
    <n v="35241.727789999997"/>
    <n v="67248.909"/>
    <n v="1.8247766599999999"/>
    <n v="0.36853227300000002"/>
    <n v="-2.4366309036231106"/>
    <n v="9.1454065447772265E-2"/>
  </r>
  <r>
    <x v="5"/>
    <x v="64"/>
    <x v="1"/>
    <n v="42528"/>
    <n v="440593"/>
    <n v="9.6523999999999999E-2"/>
    <n v="0.90347599999999995"/>
    <n v="33630.244039999998"/>
    <n v="3246.13"/>
    <n v="32007.181199999999"/>
    <n v="32007.181199999999"/>
    <n v="0.95173799999999997"/>
    <n v="0.33630243999999998"/>
    <n v="-2.3379635968958623"/>
    <n v="4.8583762206231174E-2"/>
  </r>
  <r>
    <x v="5"/>
    <x v="0"/>
    <x v="2"/>
    <n v="3983"/>
    <n v="4344572"/>
    <n v="9.1699999999999995E-4"/>
    <n v="0.99908300000000005"/>
    <n v="100000"/>
    <n v="91.7"/>
    <n v="99954.15"/>
    <n v="5538168.5089999996"/>
    <n v="55.381685089999998"/>
    <n v="1"/>
    <n v="-6.994403085707809"/>
    <n v="9.1742053465578184E-4"/>
  </r>
  <r>
    <x v="5"/>
    <x v="1"/>
    <x v="2"/>
    <n v="4576"/>
    <n v="4283150"/>
    <n v="1.0679999999999999E-3"/>
    <n v="0.99893200000000004"/>
    <n v="99908.322379999998"/>
    <n v="106.7"/>
    <n v="99854.971340000004"/>
    <n v="5438214.3590000002"/>
    <n v="54.432045600000002"/>
    <n v="0.99908322400000005"/>
    <n v="-6.8419675384441341"/>
    <n v="1.0685499025156141E-3"/>
  </r>
  <r>
    <x v="5"/>
    <x v="2"/>
    <x v="2"/>
    <n v="4685"/>
    <n v="4293020"/>
    <n v="1.091E-3"/>
    <n v="0.99890900000000005"/>
    <n v="99801.583069999993"/>
    <n v="108.88"/>
    <n v="99747.141310000006"/>
    <n v="5338359.3880000003"/>
    <n v="53.48972655"/>
    <n v="0.99801583100000002"/>
    <n v="-6.820660572131203"/>
    <n v="1.0915602719036616E-3"/>
  </r>
  <r>
    <x v="5"/>
    <x v="3"/>
    <x v="2"/>
    <n v="5032"/>
    <n v="4315220"/>
    <n v="1.1659999999999999E-3"/>
    <n v="0.998834"/>
    <n v="99692.668969999999"/>
    <n v="116.24"/>
    <n v="99634.548139999999"/>
    <n v="5238612.2470000004"/>
    <n v="52.547617600000002"/>
    <n v="0.99692669"/>
    <n v="-6.754176191053836"/>
    <n v="1.1666636551023576E-3"/>
  </r>
  <r>
    <x v="5"/>
    <x v="4"/>
    <x v="2"/>
    <n v="5262"/>
    <n v="4358793"/>
    <n v="1.207E-3"/>
    <n v="0.99879300000000004"/>
    <n v="99576.416840000005"/>
    <n v="120.19"/>
    <n v="99516.322469999999"/>
    <n v="5138977.699"/>
    <n v="51.608381399999999"/>
    <n v="0.99576416800000001"/>
    <n v="-6.7196173368667429"/>
    <n v="1.2077417044126582E-3"/>
  </r>
  <r>
    <x v="5"/>
    <x v="5"/>
    <x v="2"/>
    <n v="5706"/>
    <n v="4461006"/>
    <n v="1.279E-3"/>
    <n v="0.99872099999999997"/>
    <n v="99456.206709999999"/>
    <n v="127.2"/>
    <n v="99392.604470000006"/>
    <n v="5039461.3760000002"/>
    <n v="50.670154660000001"/>
    <n v="0.99456206700000005"/>
    <n v="-6.6616767563854316"/>
    <n v="1.2797733394243436E-3"/>
  </r>
  <r>
    <x v="5"/>
    <x v="6"/>
    <x v="2"/>
    <n v="5962"/>
    <n v="4555511"/>
    <n v="1.3090000000000001E-3"/>
    <n v="0.998691"/>
    <n v="99328.993889999998"/>
    <n v="130.02000000000001"/>
    <n v="99263.983059999999"/>
    <n v="4940068.7719999999"/>
    <n v="49.734408639999998"/>
    <n v="0.99328993899999996"/>
    <n v="-6.6384917920543742"/>
    <n v="1.3098404815469139E-3"/>
  </r>
  <r>
    <x v="5"/>
    <x v="7"/>
    <x v="2"/>
    <n v="6533"/>
    <n v="4628618"/>
    <n v="1.4109999999999999E-3"/>
    <n v="0.99858899999999995"/>
    <n v="99198.997619999995"/>
    <n v="139.97"/>
    <n v="99129.012730000002"/>
    <n v="4840804.7889999999"/>
    <n v="48.798928459999999"/>
    <n v="0.99198997600000005"/>
    <n v="-6.5634566061114601"/>
    <n v="1.4119986340528786E-3"/>
  </r>
  <r>
    <x v="5"/>
    <x v="8"/>
    <x v="2"/>
    <n v="6970"/>
    <n v="4751001"/>
    <n v="1.467E-3"/>
    <n v="0.998533"/>
    <n v="99058.984540000005"/>
    <n v="145.32"/>
    <n v="98986.324770000007"/>
    <n v="4741675.7759999996"/>
    <n v="47.867195469999999"/>
    <n v="0.99058984500000002"/>
    <n v="-6.5245357798212922"/>
    <n v="1.4680816227811055E-3"/>
  </r>
  <r>
    <x v="5"/>
    <x v="9"/>
    <x v="2"/>
    <n v="7525"/>
    <n v="4835107"/>
    <n v="1.5560000000000001E-3"/>
    <n v="0.998444"/>
    <n v="98913.659140000003"/>
    <n v="153.91"/>
    <n v="98836.704310000001"/>
    <n v="4642689.4510000004"/>
    <n v="46.936788020000002"/>
    <n v="0.98913659099999995"/>
    <n v="-6.465636853225937"/>
    <n v="1.5572152686602835E-3"/>
  </r>
  <r>
    <x v="5"/>
    <x v="10"/>
    <x v="2"/>
    <n v="7906"/>
    <n v="4821081"/>
    <n v="1.64E-3"/>
    <n v="0.99836000000000003"/>
    <n v="98759.717300000004"/>
    <n v="161.97"/>
    <n v="98678.734330000007"/>
    <n v="4543852.7470000004"/>
    <n v="46.009171260000002"/>
    <n v="0.98759717300000005"/>
    <n v="-6.4130590371460299"/>
    <n v="1.6413869864139185E-3"/>
  </r>
  <r>
    <x v="5"/>
    <x v="11"/>
    <x v="2"/>
    <n v="7944"/>
    <n v="4627340"/>
    <n v="1.717E-3"/>
    <n v="0.99828300000000003"/>
    <n v="98597.763099999996"/>
    <n v="169.29"/>
    <n v="98513.11692"/>
    <n v="4445174.0120000001"/>
    <n v="45.083923540000001"/>
    <n v="0.98597763100000002"/>
    <n v="-6.3671766970667987"/>
    <n v="1.7184511501684931E-3"/>
  </r>
  <r>
    <x v="5"/>
    <x v="12"/>
    <x v="2"/>
    <n v="8049"/>
    <n v="4514736"/>
    <n v="1.7830000000000001E-3"/>
    <n v="0.99821700000000002"/>
    <n v="98428.495089999997"/>
    <n v="175.5"/>
    <n v="98340.746090000001"/>
    <n v="4346660.8959999997"/>
    <n v="44.160594869999997"/>
    <n v="0.98428495100000002"/>
    <n v="-6.3294579401011335"/>
    <n v="1.7846110785674797E-3"/>
  </r>
  <r>
    <x v="5"/>
    <x v="13"/>
    <x v="2"/>
    <n v="8345"/>
    <n v="4432699"/>
    <n v="1.8829999999999999E-3"/>
    <n v="0.99811700000000003"/>
    <n v="98253.013959999997"/>
    <n v="185.01"/>
    <n v="98160.508749999994"/>
    <n v="4248320.1490000002"/>
    <n v="43.238573330000001"/>
    <n v="0.98253014000000005"/>
    <n v="-6.274889029307122"/>
    <n v="1.8847698054857628E-3"/>
  </r>
  <r>
    <x v="5"/>
    <x v="14"/>
    <x v="2"/>
    <n v="8546"/>
    <n v="4442547"/>
    <n v="1.9239999999999999E-3"/>
    <n v="0.99807599999999996"/>
    <n v="98068.042820000002"/>
    <n v="188.68"/>
    <n v="97973.701360000006"/>
    <n v="4150159.6409999998"/>
    <n v="42.31918494"/>
    <n v="0.98068042799999999"/>
    <n v="-6.2533489267386226"/>
    <n v="1.9258226068487854E-3"/>
  </r>
  <r>
    <x v="5"/>
    <x v="15"/>
    <x v="2"/>
    <n v="8785"/>
    <n v="4466747"/>
    <n v="1.967E-3"/>
    <n v="0.99803299999999995"/>
    <n v="97879.392139999996"/>
    <n v="192.53"/>
    <n v="97783.127760000003"/>
    <n v="4052185.9389999998"/>
    <n v="41.399786519999999"/>
    <n v="0.97879392099999996"/>
    <n v="-6.2312457395752148"/>
    <n v="1.9689488449762447E-3"/>
  </r>
  <r>
    <x v="5"/>
    <x v="16"/>
    <x v="2"/>
    <n v="9051"/>
    <n v="4319361"/>
    <n v="2.0950000000000001E-3"/>
    <n v="0.99790500000000004"/>
    <n v="97686.887289999999"/>
    <n v="204.65"/>
    <n v="97584.560280000005"/>
    <n v="3954402.8119999999"/>
    <n v="40.480385050000002"/>
    <n v="0.97686887300000003"/>
    <n v="-6.1682017256080357"/>
    <n v="2.0971559987865047E-3"/>
  </r>
  <r>
    <x v="5"/>
    <x v="17"/>
    <x v="2"/>
    <n v="9771"/>
    <n v="4374441"/>
    <n v="2.2339999999999999E-3"/>
    <n v="0.99776600000000004"/>
    <n v="97482.189419999995"/>
    <n v="217.78"/>
    <n v="97373.301810000004"/>
    <n v="3856818.2510000002"/>
    <n v="39.564337590000001"/>
    <n v="0.97482189399999997"/>
    <n v="-6.1039615783351282"/>
    <n v="2.2365469644596543E-3"/>
  </r>
  <r>
    <x v="5"/>
    <x v="18"/>
    <x v="2"/>
    <n v="9872"/>
    <n v="4362662"/>
    <n v="2.2629999999999998E-3"/>
    <n v="0.99773699999999999"/>
    <n v="97264.447660000005"/>
    <n v="220.11"/>
    <n v="97154.392940000005"/>
    <n v="3759444.949"/>
    <n v="38.65178942"/>
    <n v="0.97264447700000001"/>
    <n v="-6.0910639123307364"/>
    <n v="2.2655690140799419E-3"/>
  </r>
  <r>
    <x v="5"/>
    <x v="19"/>
    <x v="2"/>
    <n v="10602"/>
    <n v="4305093"/>
    <n v="2.4629999999999999E-3"/>
    <n v="0.99753700000000001"/>
    <n v="97044.353910000005"/>
    <n v="239.02"/>
    <n v="96924.843789999999"/>
    <n v="3662290.557"/>
    <n v="37.738316650000002"/>
    <n v="0.97044353900000002"/>
    <n v="-6.0063751598437358"/>
    <n v="2.4660339962287053E-3"/>
  </r>
  <r>
    <x v="5"/>
    <x v="20"/>
    <x v="2"/>
    <n v="10945"/>
    <n v="4378957"/>
    <n v="2.4989999999999999E-3"/>
    <n v="0.99750099999999997"/>
    <n v="96805.366219999996"/>
    <n v="241.92"/>
    <n v="96684.407909999994"/>
    <n v="3565365.713"/>
    <n v="36.830248689999998"/>
    <n v="0.96805366199999998"/>
    <n v="-5.9918646271293214"/>
    <n v="2.5021620358906481E-3"/>
  </r>
  <r>
    <x v="5"/>
    <x v="21"/>
    <x v="2"/>
    <n v="11118"/>
    <n v="4100150"/>
    <n v="2.712E-3"/>
    <n v="0.99728799999999995"/>
    <n v="96563.40569"/>
    <n v="261.88"/>
    <n v="96432.465710000004"/>
    <n v="3468681.3050000002"/>
    <n v="35.92128177"/>
    <n v="0.96563405700000005"/>
    <n v="-5.9100689089039875"/>
    <n v="2.7156823863993969E-3"/>
  </r>
  <r>
    <x v="5"/>
    <x v="22"/>
    <x v="2"/>
    <n v="10991"/>
    <n v="4014287"/>
    <n v="2.738E-3"/>
    <n v="0.99726199999999998"/>
    <n v="96301.563580000002"/>
    <n v="263.67"/>
    <n v="96169.726739999998"/>
    <n v="3372248.8390000002"/>
    <n v="35.017591760000002"/>
    <n v="0.96301563599999995"/>
    <n v="-5.9005275521158795"/>
    <n v="2.7417151432000946E-3"/>
  </r>
  <r>
    <x v="5"/>
    <x v="23"/>
    <x v="2"/>
    <n v="11538"/>
    <n v="3967810"/>
    <n v="2.908E-3"/>
    <n v="0.99709199999999998"/>
    <n v="96037.892730000007"/>
    <n v="279.27999999999997"/>
    <n v="95898.253630000007"/>
    <n v="3276079.1120000002"/>
    <n v="34.112359400000003"/>
    <n v="0.96037892700000005"/>
    <n v="-5.8402897193108645"/>
    <n v="2.9122530976784409E-3"/>
  </r>
  <r>
    <x v="5"/>
    <x v="24"/>
    <x v="2"/>
    <n v="11817"/>
    <n v="3846684"/>
    <n v="3.0720000000000001E-3"/>
    <n v="0.99692800000000004"/>
    <n v="95758.62401"/>
    <n v="294.17"/>
    <n v="95611.538759999996"/>
    <n v="3180180.8590000002"/>
    <n v="33.21038592"/>
    <n v="0.95758624000000003"/>
    <n v="-5.7854264636967114"/>
    <n v="3.0767206897001254E-3"/>
  </r>
  <r>
    <x v="5"/>
    <x v="25"/>
    <x v="2"/>
    <n v="12743"/>
    <n v="3957972"/>
    <n v="3.2200000000000002E-3"/>
    <n v="0.99678"/>
    <n v="95464.453850000005"/>
    <n v="307.39999999999998"/>
    <n v="95310.756080000006"/>
    <n v="3084569.32"/>
    <n v="32.311181759999997"/>
    <n v="0.95464453900000001"/>
    <n v="-5.7383739194258201"/>
    <n v="3.2252386582874285E-3"/>
  </r>
  <r>
    <x v="5"/>
    <x v="26"/>
    <x v="2"/>
    <n v="13429"/>
    <n v="3826694"/>
    <n v="3.509E-3"/>
    <n v="0.99649100000000002"/>
    <n v="95157.098580000005"/>
    <n v="333.91"/>
    <n v="94990.145449999996"/>
    <n v="2989258.5639999998"/>
    <n v="31.41393137"/>
    <n v="0.95157098600000001"/>
    <n v="-5.6524241823810586"/>
    <n v="3.515207265363906E-3"/>
  </r>
  <r>
    <x v="5"/>
    <x v="27"/>
    <x v="2"/>
    <n v="14763"/>
    <n v="3876923"/>
    <n v="3.8080000000000002E-3"/>
    <n v="0.99619199999999997"/>
    <n v="94823.164199999999"/>
    <n v="361.09"/>
    <n v="94642.620899999994"/>
    <n v="2894268.4180000001"/>
    <n v="30.522799389999999"/>
    <n v="0.94823164199999999"/>
    <n v="-5.5706511620530179"/>
    <n v="3.8152999305690375E-3"/>
  </r>
  <r>
    <x v="5"/>
    <x v="28"/>
    <x v="2"/>
    <n v="16683"/>
    <n v="4043448"/>
    <n v="4.1260000000000003E-3"/>
    <n v="0.99587400000000004"/>
    <n v="94462.085489999998"/>
    <n v="389.75"/>
    <n v="94267.210210000005"/>
    <n v="2799625.798"/>
    <n v="29.637560749999999"/>
    <n v="0.94462085500000004"/>
    <n v="-5.4904468643330766"/>
    <n v="4.1345234071675854E-3"/>
  </r>
  <r>
    <x v="5"/>
    <x v="29"/>
    <x v="2"/>
    <n v="18813"/>
    <n v="4265569"/>
    <n v="4.4099999999999999E-3"/>
    <n v="0.99558999999999997"/>
    <n v="94072.341149999993"/>
    <n v="414.86"/>
    <n v="93864.911640000006"/>
    <n v="2705358.5869999998"/>
    <n v="28.75827851"/>
    <n v="0.94072341199999998"/>
    <n v="-5.4238805895233826"/>
    <n v="4.4197568875596165E-3"/>
  </r>
  <r>
    <x v="5"/>
    <x v="30"/>
    <x v="2"/>
    <n v="20160"/>
    <n v="4310670"/>
    <n v="4.6769999999999997E-3"/>
    <n v="0.99532299999999996"/>
    <n v="93657.441529999996"/>
    <n v="438.04"/>
    <n v="93438.423599999995"/>
    <n v="2611493.676"/>
    <n v="27.883461610000001"/>
    <n v="0.93657441500000005"/>
    <n v="-5.3650984002383879"/>
    <n v="4.6880066251169909E-3"/>
  </r>
  <r>
    <x v="5"/>
    <x v="31"/>
    <x v="2"/>
    <n v="20976"/>
    <n v="4076434"/>
    <n v="5.1460000000000004E-3"/>
    <n v="0.99485400000000002"/>
    <n v="93219.427479999998"/>
    <n v="479.71"/>
    <n v="92979.57389"/>
    <n v="2518055.2519999999"/>
    <n v="27.012129550000001"/>
    <n v="0.93219427499999996"/>
    <n v="-5.2695355651225846"/>
    <n v="5.1593043663579335E-3"/>
  </r>
  <r>
    <x v="5"/>
    <x v="32"/>
    <x v="2"/>
    <n v="22399"/>
    <n v="3983727"/>
    <n v="5.6230000000000004E-3"/>
    <n v="0.99437699999999996"/>
    <n v="92739.750709999993"/>
    <n v="521.48"/>
    <n v="92479.012900000002"/>
    <n v="2425075.6779999998"/>
    <n v="26.149258110000002"/>
    <n v="0.92739750700000001"/>
    <n v="-5.1808899496720722"/>
    <n v="5.6388999556694908E-3"/>
  </r>
  <r>
    <x v="5"/>
    <x v="33"/>
    <x v="2"/>
    <n v="24222"/>
    <n v="3979962"/>
    <n v="6.0860000000000003E-3"/>
    <n v="0.99391399999999996"/>
    <n v="92218.309940000006"/>
    <n v="561.24"/>
    <n v="91937.689620000005"/>
    <n v="2332596.665"/>
    <n v="25.294289899999999"/>
    <n v="0.92218309899999995"/>
    <n v="-5.101764227507358"/>
    <n v="6.1045692889461827E-3"/>
  </r>
  <r>
    <x v="5"/>
    <x v="34"/>
    <x v="2"/>
    <n v="26954"/>
    <n v="4044734"/>
    <n v="6.6639999999999998E-3"/>
    <n v="0.993336"/>
    <n v="91657.070430000007"/>
    <n v="610.79999999999995"/>
    <n v="91351.669070000004"/>
    <n v="2240658.9759999998"/>
    <n v="24.446111630000001"/>
    <n v="0.91657070399999996"/>
    <n v="-5.0110353741175953"/>
    <n v="6.6862488453794848E-3"/>
  </r>
  <r>
    <x v="5"/>
    <x v="35"/>
    <x v="2"/>
    <n v="30507"/>
    <n v="4277856"/>
    <n v="7.1310000000000002E-3"/>
    <n v="0.992869"/>
    <n v="91046.270149999997"/>
    <n v="649.25"/>
    <n v="90721.644669999994"/>
    <n v="2149307.307"/>
    <n v="23.60675844"/>
    <n v="0.91046270200000001"/>
    <n v="-4.9433038019359703"/>
    <n v="7.1565074121071586E-3"/>
  </r>
  <r>
    <x v="5"/>
    <x v="36"/>
    <x v="2"/>
    <n v="33814"/>
    <n v="4343881"/>
    <n v="7.7840000000000001E-3"/>
    <n v="0.99221599999999999"/>
    <n v="90396.984949999998"/>
    <n v="703.65"/>
    <n v="90045.159880000007"/>
    <n v="2058585.662"/>
    <n v="22.77272481"/>
    <n v="0.90396984999999996"/>
    <n v="-4.8556849340984334"/>
    <n v="7.8144133557333725E-3"/>
  </r>
  <r>
    <x v="5"/>
    <x v="37"/>
    <x v="2"/>
    <n v="36561"/>
    <n v="4327862"/>
    <n v="8.4480000000000006E-3"/>
    <n v="0.99155199999999999"/>
    <n v="89693.309219999996"/>
    <n v="757.73"/>
    <n v="89314.444680000001"/>
    <n v="1968540.5020000001"/>
    <n v="21.94746207"/>
    <n v="0.89693309200000004"/>
    <n v="-4.7738255520182316"/>
    <n v="8.4838452984018244E-3"/>
  </r>
  <r>
    <x v="5"/>
    <x v="38"/>
    <x v="2"/>
    <n v="39240"/>
    <n v="4306615"/>
    <n v="9.1120000000000003E-3"/>
    <n v="0.99088799999999999"/>
    <n v="88935.596269999995"/>
    <n v="810.38"/>
    <n v="88530.40569"/>
    <n v="1879226.057"/>
    <n v="21.130190120000002"/>
    <n v="0.88935596299999997"/>
    <n v="-4.6981630528372564"/>
    <n v="9.1536892475667011E-3"/>
  </r>
  <r>
    <x v="5"/>
    <x v="39"/>
    <x v="2"/>
    <n v="43106"/>
    <n v="4346885"/>
    <n v="9.9170000000000005E-3"/>
    <n v="0.99008300000000005"/>
    <n v="88125.253859999997"/>
    <n v="873.94"/>
    <n v="87688.284790000005"/>
    <n v="1790695.652"/>
    <n v="20.319892119999999"/>
    <n v="0.881252539"/>
    <n v="-4.6135048227781486"/>
    <n v="9.9664372971057374E-3"/>
  </r>
  <r>
    <x v="5"/>
    <x v="40"/>
    <x v="2"/>
    <n v="46304"/>
    <n v="4372095"/>
    <n v="1.0591E-2"/>
    <n v="0.98940899999999998"/>
    <n v="87251.357449999996"/>
    <n v="924.08"/>
    <n v="86789.317890000006"/>
    <n v="1703007.3670000001"/>
    <n v="19.51840541"/>
    <n v="0.87251357500000004"/>
    <n v="-4.5477506951206053"/>
    <n v="1.0647392228955362E-2"/>
  </r>
  <r>
    <x v="5"/>
    <x v="41"/>
    <x v="2"/>
    <n v="48871"/>
    <n v="4208976"/>
    <n v="1.1611E-2"/>
    <n v="0.98838899999999996"/>
    <n v="86327.295450000005"/>
    <n v="1002.35"/>
    <n v="85826.122340000002"/>
    <n v="1616218.0490000001"/>
    <n v="18.72198174"/>
    <n v="0.86327295500000001"/>
    <n v="-4.4558023543372682"/>
    <n v="1.1678846045476997E-2"/>
  </r>
  <r>
    <x v="5"/>
    <x v="42"/>
    <x v="2"/>
    <n v="51325"/>
    <n v="4168433"/>
    <n v="1.2312999999999999E-2"/>
    <n v="0.98768699999999998"/>
    <n v="85324.937330000001"/>
    <n v="1050.6099999999999"/>
    <n v="84799.634349999993"/>
    <n v="1530391.9269999999"/>
    <n v="17.93604513"/>
    <n v="0.85324937300000003"/>
    <n v="-4.3970996641714031"/>
    <n v="1.2389320919873947E-2"/>
  </r>
  <r>
    <x v="5"/>
    <x v="43"/>
    <x v="2"/>
    <n v="54811"/>
    <n v="4106492"/>
    <n v="1.3346999999999999E-2"/>
    <n v="0.986653"/>
    <n v="84274.350120000003"/>
    <n v="1124.81"/>
    <n v="83711.945240000001"/>
    <n v="1445592.2919999999"/>
    <n v="17.153407770000001"/>
    <n v="0.84274350099999995"/>
    <n v="-4.3164636384901227"/>
    <n v="1.3436675308314454E-2"/>
  </r>
  <r>
    <x v="5"/>
    <x v="44"/>
    <x v="2"/>
    <n v="56010"/>
    <n v="3944582"/>
    <n v="1.4199E-2"/>
    <n v="0.98580100000000004"/>
    <n v="83149.506479999996"/>
    <n v="1180.6400000000001"/>
    <n v="82559.186560000002"/>
    <n v="1361880.3470000001"/>
    <n v="16.378694289999999"/>
    <n v="0.83149506500000003"/>
    <n v="-4.2545837393899166"/>
    <n v="1.4300530103344557E-2"/>
  </r>
  <r>
    <x v="5"/>
    <x v="45"/>
    <x v="2"/>
    <n v="58027"/>
    <n v="3897420"/>
    <n v="1.4888999999999999E-2"/>
    <n v="0.98511099999999996"/>
    <n v="81968.848079999996"/>
    <n v="1220.43"/>
    <n v="81358.630990000005"/>
    <n v="1279321.1610000001"/>
    <n v="15.607406839999999"/>
    <n v="0.81968848100000002"/>
    <n v="-4.2071325937087236"/>
    <n v="1.5000617870697066E-2"/>
  </r>
  <r>
    <x v="5"/>
    <x v="46"/>
    <x v="2"/>
    <n v="59907"/>
    <n v="3720410"/>
    <n v="1.6102000000000002E-2"/>
    <n v="0.98389800000000005"/>
    <n v="80748.449370000002"/>
    <n v="1300.21"/>
    <n v="80098.343599999993"/>
    <n v="1197962.53"/>
    <n v="14.83573417"/>
    <n v="0.807484494"/>
    <n v="-4.128811791104348"/>
    <n v="1.623267236625639E-2"/>
  </r>
  <r>
    <x v="5"/>
    <x v="47"/>
    <x v="2"/>
    <n v="61164"/>
    <n v="3562236"/>
    <n v="1.7170000000000001E-2"/>
    <n v="0.98282999999999998"/>
    <n v="79448.217040000003"/>
    <n v="1364.13"/>
    <n v="78766.1541"/>
    <n v="1117864.186"/>
    <n v="14.07034956"/>
    <n v="0.79448216999999999"/>
    <n v="-4.0645916040727528"/>
    <n v="1.7318734098257061E-2"/>
  </r>
  <r>
    <x v="5"/>
    <x v="48"/>
    <x v="2"/>
    <n v="62889"/>
    <n v="3407082"/>
    <n v="1.8457999999999999E-2"/>
    <n v="0.98154200000000003"/>
    <n v="78084.082060000001"/>
    <n v="1441.28"/>
    <n v="77363.444069999998"/>
    <n v="1039098.032"/>
    <n v="13.30742457"/>
    <n v="0.78084082099999996"/>
    <n v="-3.9922573981387521"/>
    <n v="1.8629990534396755E-2"/>
  </r>
  <r>
    <x v="5"/>
    <x v="49"/>
    <x v="2"/>
    <n v="64401"/>
    <n v="3286519"/>
    <n v="1.9595999999999999E-2"/>
    <n v="0.98040400000000005"/>
    <n v="76642.781310000006"/>
    <n v="1501.89"/>
    <n v="75891.835340000005"/>
    <n v="961734.58770000003"/>
    <n v="12.54827358"/>
    <n v="0.76642781299999996"/>
    <n v="-3.9324298152058086"/>
    <n v="1.9789870913722026E-2"/>
  </r>
  <r>
    <x v="5"/>
    <x v="50"/>
    <x v="2"/>
    <n v="67279"/>
    <n v="3192029"/>
    <n v="2.1076999999999999E-2"/>
    <n v="0.97892299999999999"/>
    <n v="75140.927290000007"/>
    <n v="1583.75"/>
    <n v="74349.054629999999"/>
    <n v="885842.7524"/>
    <n v="11.789084649999999"/>
    <n v="0.75140927300000004"/>
    <n v="-3.8595728804272271"/>
    <n v="2.1301550632333043E-2"/>
  </r>
  <r>
    <x v="5"/>
    <x v="51"/>
    <x v="2"/>
    <n v="71049"/>
    <n v="3074732"/>
    <n v="2.3106999999999999E-2"/>
    <n v="0.97689300000000001"/>
    <n v="73557.167730000001"/>
    <n v="1699.69"/>
    <n v="72707.324989999994"/>
    <n v="811493.69779999997"/>
    <n v="11.032149860000001"/>
    <n v="0.73557167700000003"/>
    <n v="-3.7676196770557677"/>
    <n v="2.3377153907061302E-2"/>
  </r>
  <r>
    <x v="5"/>
    <x v="52"/>
    <x v="2"/>
    <n v="76103"/>
    <n v="3017173"/>
    <n v="2.5222999999999999E-2"/>
    <n v="0.974777"/>
    <n v="71857.454320000004"/>
    <n v="1812.46"/>
    <n v="70951.224029999998"/>
    <n v="738786.37280000001"/>
    <n v="10.28127673"/>
    <n v="0.71857454300000001"/>
    <n v="-3.6799990023079991"/>
    <n v="2.5545158406540508E-2"/>
  </r>
  <r>
    <x v="5"/>
    <x v="53"/>
    <x v="2"/>
    <n v="82553"/>
    <n v="3117385"/>
    <n v="2.6481000000000001E-2"/>
    <n v="0.97351900000000002"/>
    <n v="70044.973620000004"/>
    <n v="1854.86"/>
    <n v="69117.543149999998"/>
    <n v="667835.14879999997"/>
    <n v="9.5343764760000003"/>
    <n v="0.70044973600000004"/>
    <n v="-3.6313277842759315"/>
    <n v="2.6836319351718783E-2"/>
  </r>
  <r>
    <x v="5"/>
    <x v="54"/>
    <x v="2"/>
    <n v="71135"/>
    <n v="2274412"/>
    <n v="3.1275999999999998E-2"/>
    <n v="0.96872400000000003"/>
    <n v="68190.078339999993"/>
    <n v="2132.71"/>
    <n v="67123.721890000001"/>
    <n v="598717.60560000001"/>
    <n v="8.7801278450000009"/>
    <n v="0.68190078300000001"/>
    <n v="-3.4649042487198694"/>
    <n v="3.1772824469811237E-2"/>
  </r>
  <r>
    <x v="5"/>
    <x v="55"/>
    <x v="2"/>
    <n v="72225"/>
    <n v="2219565"/>
    <n v="3.2539999999999999E-2"/>
    <n v="0.96745999999999999"/>
    <n v="66057.350749999998"/>
    <n v="2149.5100000000002"/>
    <n v="64982.597650000003"/>
    <n v="531593.88370000001"/>
    <n v="8.0474599369999993"/>
    <n v="0.66057350800000003"/>
    <n v="-3.4252851771912454"/>
    <n v="3.3078243286996906E-2"/>
  </r>
  <r>
    <x v="5"/>
    <x v="56"/>
    <x v="2"/>
    <n v="78100"/>
    <n v="2130427"/>
    <n v="3.6658999999999997E-2"/>
    <n v="0.963341"/>
    <n v="63907.834000000003"/>
    <n v="2342.8000000000002"/>
    <n v="62736.435360000003"/>
    <n v="466611.28610000003"/>
    <n v="7.3013159239999998"/>
    <n v="0.63907833999999997"/>
    <n v="-3.3060963146294733"/>
    <n v="3.7343536746707755E-2"/>
  </r>
  <r>
    <x v="5"/>
    <x v="57"/>
    <x v="2"/>
    <n v="85310"/>
    <n v="2147097"/>
    <n v="3.9732999999999997E-2"/>
    <n v="0.96026699999999998"/>
    <n v="61565.016409999997"/>
    <n v="2446.16"/>
    <n v="60341.935010000001"/>
    <n v="403874.85070000001"/>
    <n v="6.5601355159999999"/>
    <n v="0.61565016400000006"/>
    <n v="-3.2255732023159323"/>
    <n v="4.053830305113925E-2"/>
  </r>
  <r>
    <x v="5"/>
    <x v="58"/>
    <x v="2"/>
    <n v="82048"/>
    <n v="1839828"/>
    <n v="4.4595000000000003E-2"/>
    <n v="0.95540499999999995"/>
    <n v="59118.870970000004"/>
    <n v="2636.41"/>
    <n v="57800.667939999999"/>
    <n v="343532.91570000001"/>
    <n v="5.8108842410000001"/>
    <n v="0.59118870999999995"/>
    <n v="-3.1101335338639662"/>
    <n v="4.5612113693808451E-2"/>
  </r>
  <r>
    <x v="5"/>
    <x v="59"/>
    <x v="2"/>
    <n v="80508"/>
    <n v="1649916"/>
    <n v="4.8794999999999998E-2"/>
    <n v="0.95120499999999997"/>
    <n v="56482.436950000003"/>
    <n v="2756.06"/>
    <n v="55104.406690000003"/>
    <n v="285732.24770000001"/>
    <n v="5.0587804490000003"/>
    <n v="0.56482436999999996"/>
    <n v="-3.0201274303887127"/>
    <n v="5.0015243133741567E-2"/>
  </r>
  <r>
    <x v="5"/>
    <x v="60"/>
    <x v="2"/>
    <n v="81661"/>
    <n v="1526957"/>
    <n v="5.348E-2"/>
    <n v="0.94652000000000003"/>
    <n v="53726.364500000003"/>
    <n v="2873.29"/>
    <n v="52289.721510000003"/>
    <n v="230627.84109999999"/>
    <n v="4.2926381339999997"/>
    <n v="0.53726364500000001"/>
    <n v="-2.9284475267483945"/>
    <n v="5.4949410295450862E-2"/>
  </r>
  <r>
    <x v="5"/>
    <x v="61"/>
    <x v="2"/>
    <n v="83337"/>
    <n v="1400392"/>
    <n v="5.951E-2"/>
    <n v="0.94049000000000005"/>
    <n v="50853.101759999998"/>
    <n v="3026.27"/>
    <n v="49339.967720000001"/>
    <n v="178338.1195"/>
    <n v="3.5069270779999999"/>
    <n v="0.508531018"/>
    <n v="-2.8216109133253764"/>
    <n v="6.1335055025374924E-2"/>
  </r>
  <r>
    <x v="5"/>
    <x v="62"/>
    <x v="2"/>
    <n v="85630"/>
    <n v="1303809"/>
    <n v="6.5676999999999999E-2"/>
    <n v="0.93432300000000001"/>
    <n v="47826.845580000001"/>
    <n v="3141.12"/>
    <n v="46256.283710000003"/>
    <n v="128998.15180000001"/>
    <n v="2.6971913000000001"/>
    <n v="0.47826845600000001"/>
    <n v="-2.723006490886017"/>
    <n v="6.7906874902093725E-2"/>
  </r>
  <r>
    <x v="5"/>
    <x v="63"/>
    <x v="2"/>
    <n v="85649"/>
    <n v="1163249"/>
    <n v="7.3629E-2"/>
    <n v="0.92637100000000006"/>
    <n v="44685.731520000001"/>
    <n v="3290.17"/>
    <n v="43040.648659999999"/>
    <n v="82741.868109999996"/>
    <n v="1.8516395569999999"/>
    <n v="0.44685731499999998"/>
    <n v="-2.6087163091143566"/>
    <n v="7.6443322935461203E-2"/>
  </r>
  <r>
    <x v="5"/>
    <x v="64"/>
    <x v="2"/>
    <n v="87616"/>
    <n v="1070307"/>
    <n v="8.1861000000000003E-2"/>
    <n v="0.91813900000000004"/>
    <n v="41395.560440000001"/>
    <n v="3388.68"/>
    <n v="39701.219449999997"/>
    <n v="39701.219449999997"/>
    <n v="0.95906950000000002"/>
    <n v="0.41395560399999998"/>
    <n v="-2.5027325920139947"/>
    <n v="0.1637219046671276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5D61853-433C-4988-8ABC-560E87B9DE73}"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7" rowHeaderCaption="Age" colHeaderCaption="Sex">
  <location ref="E3:G69" firstHeaderRow="1" firstDataRow="2" firstDataCol="1" rowPageCount="1" colPageCount="1"/>
  <pivotFields count="15">
    <pivotField axis="axisPage" multipleItemSelectionAllowed="1" showAll="0">
      <items count="7">
        <item x="0"/>
        <item x="1"/>
        <item x="2"/>
        <item x="3"/>
        <item x="4"/>
        <item x="5"/>
        <item t="default"/>
      </items>
    </pivotField>
    <pivotField axis="axisRow"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axis="axisCol" showAll="0">
      <items count="4">
        <item x="0"/>
        <item x="1"/>
        <item h="1" x="2"/>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1"/>
  </rowFields>
  <rowItems count="6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rowItems>
  <colFields count="1">
    <field x="2"/>
  </colFields>
  <colItems count="2">
    <i>
      <x/>
    </i>
    <i>
      <x v="1"/>
    </i>
  </colItems>
  <pageFields count="1">
    <pageField fld="0" hier="-1"/>
  </pageFields>
  <dataFields count="1">
    <dataField name="LN Mortality qx by Age and Sex" fld="13" subtotal="average" baseField="0" baseItem="0"/>
  </dataFields>
  <chartFormats count="4">
    <chartFormat chart="7" format="4" series="1">
      <pivotArea type="data" outline="0" fieldPosition="0">
        <references count="2">
          <reference field="4294967294" count="1" selected="0">
            <x v="0"/>
          </reference>
          <reference field="2" count="1" selected="0">
            <x v="0"/>
          </reference>
        </references>
      </pivotArea>
    </chartFormat>
    <chartFormat chart="7" format="5" series="1">
      <pivotArea type="data" outline="0" fieldPosition="0">
        <references count="2">
          <reference field="4294967294" count="1" selected="0">
            <x v="0"/>
          </reference>
          <reference field="2" count="1" selected="0">
            <x v="1"/>
          </reference>
        </references>
      </pivotArea>
    </chartFormat>
    <chartFormat chart="16" format="12" series="1">
      <pivotArea type="data" outline="0" fieldPosition="0">
        <references count="2">
          <reference field="4294967294" count="1" selected="0">
            <x v="0"/>
          </reference>
          <reference field="2" count="1" selected="0">
            <x v="0"/>
          </reference>
        </references>
      </pivotArea>
    </chartFormat>
    <chartFormat chart="16" format="13"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197A10B-894A-4BCC-8DC2-6CA54612E0A1}"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6" rowHeaderCaption="Age" colHeaderCaption="Sex">
  <location ref="Q3:S69" firstHeaderRow="1" firstDataRow="2" firstDataCol="1" rowPageCount="1" colPageCount="1"/>
  <pivotFields count="15">
    <pivotField axis="axisPage" multipleItemSelectionAllowed="1" showAll="0">
      <items count="7">
        <item x="0"/>
        <item x="1"/>
        <item x="2"/>
        <item x="3"/>
        <item x="4"/>
        <item x="5"/>
        <item t="default"/>
      </items>
    </pivotField>
    <pivotField axis="axisRow"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axis="axisCol" showAll="0">
      <items count="4">
        <item x="0"/>
        <item x="1"/>
        <item h="1" x="2"/>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1"/>
  </rowFields>
  <rowItems count="6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rowItems>
  <colFields count="1">
    <field x="2"/>
  </colFields>
  <colItems count="2">
    <i>
      <x/>
    </i>
    <i>
      <x v="1"/>
    </i>
  </colItems>
  <pageFields count="1">
    <pageField fld="0" hier="-1"/>
  </pageFields>
  <dataFields count="1">
    <dataField name="Distriubtion of Death Rate (dx)" fld="8" subtotal="average" baseField="0" baseItem="0"/>
  </dataFields>
  <chartFormats count="6">
    <chartFormat chart="5" format="4" series="1">
      <pivotArea type="data" outline="0" fieldPosition="0">
        <references count="2">
          <reference field="4294967294" count="1" selected="0">
            <x v="0"/>
          </reference>
          <reference field="2" count="1" selected="0">
            <x v="0"/>
          </reference>
        </references>
      </pivotArea>
    </chartFormat>
    <chartFormat chart="5" format="5" series="1">
      <pivotArea type="data" outline="0" fieldPosition="0">
        <references count="2">
          <reference field="4294967294" count="1" selected="0">
            <x v="0"/>
          </reference>
          <reference field="2" count="1" selected="0">
            <x v="1"/>
          </reference>
        </references>
      </pivotArea>
    </chartFormat>
    <chartFormat chart="12" format="6" series="1">
      <pivotArea type="data" outline="0" fieldPosition="0">
        <references count="2">
          <reference field="4294967294" count="1" selected="0">
            <x v="0"/>
          </reference>
          <reference field="2" count="1" selected="0">
            <x v="0"/>
          </reference>
        </references>
      </pivotArea>
    </chartFormat>
    <chartFormat chart="12" format="7" series="1">
      <pivotArea type="data" outline="0" fieldPosition="0">
        <references count="2">
          <reference field="4294967294" count="1" selected="0">
            <x v="0"/>
          </reference>
          <reference field="2" count="1" selected="0">
            <x v="1"/>
          </reference>
        </references>
      </pivotArea>
    </chartFormat>
    <chartFormat chart="15" format="12" series="1">
      <pivotArea type="data" outline="0" fieldPosition="0">
        <references count="2">
          <reference field="4294967294" count="1" selected="0">
            <x v="0"/>
          </reference>
          <reference field="2" count="1" selected="0">
            <x v="0"/>
          </reference>
        </references>
      </pivotArea>
    </chartFormat>
    <chartFormat chart="15" format="13"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AD194F3-10B9-4C6D-96A4-64B6B1D50F3C}" name="PivotTable2"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7">
  <location ref="A3:C69" firstHeaderRow="1" firstDataRow="2" firstDataCol="1" rowPageCount="1" colPageCount="1"/>
  <pivotFields count="15">
    <pivotField axis="axisPage" showAll="0">
      <items count="7">
        <item x="0"/>
        <item x="1"/>
        <item x="2"/>
        <item x="3"/>
        <item x="4"/>
        <item x="5"/>
        <item t="default"/>
      </items>
    </pivotField>
    <pivotField axis="axisRow"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axis="axisCol" showAll="0">
      <items count="4">
        <item x="0"/>
        <item x="1"/>
        <item h="1" x="2"/>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s>
  <rowFields count="1">
    <field x="1"/>
  </rowFields>
  <rowItems count="6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rowItems>
  <colFields count="1">
    <field x="2"/>
  </colFields>
  <colItems count="2">
    <i>
      <x/>
    </i>
    <i>
      <x v="1"/>
    </i>
  </colItems>
  <pageFields count="1">
    <pageField fld="0" hier="-1"/>
  </pageFields>
  <dataFields count="1">
    <dataField name="Estimated Mortality Rate" fld="5" subtotal="average" baseField="1" baseItem="0"/>
  </dataFields>
  <chartFormats count="8">
    <chartFormat chart="1" format="0" series="1">
      <pivotArea type="data" outline="0" fieldPosition="0">
        <references count="2">
          <reference field="4294967294" count="1" selected="0">
            <x v="0"/>
          </reference>
          <reference field="2" count="1" selected="0">
            <x v="0"/>
          </reference>
        </references>
      </pivotArea>
    </chartFormat>
    <chartFormat chart="1" format="1" series="1">
      <pivotArea type="data" outline="0" fieldPosition="0">
        <references count="2">
          <reference field="4294967294" count="1" selected="0">
            <x v="0"/>
          </reference>
          <reference field="2" count="1" selected="0">
            <x v="1"/>
          </reference>
        </references>
      </pivotArea>
    </chartFormat>
    <chartFormat chart="4" format="4" series="1">
      <pivotArea type="data" outline="0" fieldPosition="0">
        <references count="2">
          <reference field="4294967294" count="1" selected="0">
            <x v="0"/>
          </reference>
          <reference field="2" count="1" selected="0">
            <x v="0"/>
          </reference>
        </references>
      </pivotArea>
    </chartFormat>
    <chartFormat chart="4" format="5" series="1">
      <pivotArea type="data" outline="0" fieldPosition="0">
        <references count="2">
          <reference field="4294967294" count="1" selected="0">
            <x v="0"/>
          </reference>
          <reference field="2" count="1" selected="0">
            <x v="1"/>
          </reference>
        </references>
      </pivotArea>
    </chartFormat>
    <chartFormat chart="5" format="6" series="1">
      <pivotArea type="data" outline="0" fieldPosition="0">
        <references count="2">
          <reference field="4294967294" count="1" selected="0">
            <x v="0"/>
          </reference>
          <reference field="2" count="1" selected="0">
            <x v="0"/>
          </reference>
        </references>
      </pivotArea>
    </chartFormat>
    <chartFormat chart="5" format="7" series="1">
      <pivotArea type="data" outline="0" fieldPosition="0">
        <references count="2">
          <reference field="4294967294" count="1" selected="0">
            <x v="0"/>
          </reference>
          <reference field="2" count="1" selected="0">
            <x v="1"/>
          </reference>
        </references>
      </pivotArea>
    </chartFormat>
    <chartFormat chart="6" format="8" series="1">
      <pivotArea type="data" outline="0" fieldPosition="0">
        <references count="2">
          <reference field="4294967294" count="1" selected="0">
            <x v="0"/>
          </reference>
          <reference field="2" count="1" selected="0">
            <x v="0"/>
          </reference>
        </references>
      </pivotArea>
    </chartFormat>
    <chartFormat chart="6" format="9"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9580D6C-C36D-4E8C-9BD5-24F4816F3928}"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8" rowHeaderCaption="Age" colHeaderCaption="Sex">
  <location ref="M3:O69" firstHeaderRow="1" firstDataRow="2" firstDataCol="1" rowPageCount="1" colPageCount="1"/>
  <pivotFields count="15">
    <pivotField axis="axisPage" multipleItemSelectionAllowed="1" showAll="0">
      <items count="7">
        <item x="0"/>
        <item x="1"/>
        <item x="2"/>
        <item x="3"/>
        <item x="4"/>
        <item x="5"/>
        <item t="default"/>
      </items>
    </pivotField>
    <pivotField axis="axisRow"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axis="axisCol" showAll="0">
      <items count="4">
        <item x="0"/>
        <item x="1"/>
        <item h="1" x="2"/>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1"/>
  </rowFields>
  <rowItems count="6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rowItems>
  <colFields count="1">
    <field x="2"/>
  </colFields>
  <colItems count="2">
    <i>
      <x/>
    </i>
    <i>
      <x v="1"/>
    </i>
  </colItems>
  <pageFields count="1">
    <pageField fld="0" hier="-1"/>
  </pageFields>
  <dataFields count="1">
    <dataField name="Life Expectancy (ex) by Age and Sex" fld="11" subtotal="average" baseField="1" baseItem="0"/>
  </dataFields>
  <chartFormats count="4">
    <chartFormat chart="5" format="4" series="1">
      <pivotArea type="data" outline="0" fieldPosition="0">
        <references count="2">
          <reference field="4294967294" count="1" selected="0">
            <x v="0"/>
          </reference>
          <reference field="2" count="1" selected="0">
            <x v="0"/>
          </reference>
        </references>
      </pivotArea>
    </chartFormat>
    <chartFormat chart="5" format="5" series="1">
      <pivotArea type="data" outline="0" fieldPosition="0">
        <references count="2">
          <reference field="4294967294" count="1" selected="0">
            <x v="0"/>
          </reference>
          <reference field="2" count="1" selected="0">
            <x v="1"/>
          </reference>
        </references>
      </pivotArea>
    </chartFormat>
    <chartFormat chart="17" format="12" series="1">
      <pivotArea type="data" outline="0" fieldPosition="0">
        <references count="2">
          <reference field="4294967294" count="1" selected="0">
            <x v="0"/>
          </reference>
          <reference field="2" count="1" selected="0">
            <x v="0"/>
          </reference>
        </references>
      </pivotArea>
    </chartFormat>
    <chartFormat chart="17" format="13"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EC412C8-3C3B-48E6-B7A8-0D622BD59300}"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8" rowHeaderCaption="Age" colHeaderCaption="Sex">
  <location ref="I3:K69" firstHeaderRow="1" firstDataRow="2" firstDataCol="1" rowPageCount="1" colPageCount="1"/>
  <pivotFields count="15">
    <pivotField axis="axisPage" multipleItemSelectionAllowed="1" showAll="0">
      <items count="7">
        <item x="0"/>
        <item x="1"/>
        <item x="2"/>
        <item x="3"/>
        <item x="4"/>
        <item x="5"/>
        <item t="default"/>
      </items>
    </pivotField>
    <pivotField axis="axisRow"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axis="axisCol" showAll="0">
      <items count="4">
        <item x="0"/>
        <item x="1"/>
        <item h="1" x="2"/>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1"/>
  </rowFields>
  <rowItems count="6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rowItems>
  <colFields count="1">
    <field x="2"/>
  </colFields>
  <colItems count="2">
    <i>
      <x/>
    </i>
    <i>
      <x v="1"/>
    </i>
  </colItems>
  <pageFields count="1">
    <pageField fld="0" hier="-1"/>
  </pageFields>
  <dataFields count="1">
    <dataField name="Survival Curve by Age and Sex" fld="12" subtotal="average" baseField="1" baseItem="0"/>
  </dataFields>
  <chartFormats count="8">
    <chartFormat chart="22" format="4" series="1">
      <pivotArea type="data" outline="0" fieldPosition="0">
        <references count="2">
          <reference field="4294967294" count="1" selected="0">
            <x v="0"/>
          </reference>
          <reference field="2" count="1" selected="0">
            <x v="0"/>
          </reference>
        </references>
      </pivotArea>
    </chartFormat>
    <chartFormat chart="22" format="5" series="1">
      <pivotArea type="data" outline="0" fieldPosition="0">
        <references count="2">
          <reference field="4294967294" count="1" selected="0">
            <x v="0"/>
          </reference>
          <reference field="2" count="1" selected="0">
            <x v="1"/>
          </reference>
        </references>
      </pivotArea>
    </chartFormat>
    <chartFormat chart="32" format="8" series="1">
      <pivotArea type="data" outline="0" fieldPosition="0">
        <references count="2">
          <reference field="4294967294" count="1" selected="0">
            <x v="0"/>
          </reference>
          <reference field="2" count="1" selected="0">
            <x v="0"/>
          </reference>
        </references>
      </pivotArea>
    </chartFormat>
    <chartFormat chart="32" format="9" series="1">
      <pivotArea type="data" outline="0" fieldPosition="0">
        <references count="2">
          <reference field="4294967294" count="1" selected="0">
            <x v="0"/>
          </reference>
          <reference field="2" count="1" selected="0">
            <x v="1"/>
          </reference>
        </references>
      </pivotArea>
    </chartFormat>
    <chartFormat chart="33" format="10" series="1">
      <pivotArea type="data" outline="0" fieldPosition="0">
        <references count="2">
          <reference field="4294967294" count="1" selected="0">
            <x v="0"/>
          </reference>
          <reference field="2" count="1" selected="0">
            <x v="0"/>
          </reference>
        </references>
      </pivotArea>
    </chartFormat>
    <chartFormat chart="33" format="11" series="1">
      <pivotArea type="data" outline="0" fieldPosition="0">
        <references count="2">
          <reference field="4294967294" count="1" selected="0">
            <x v="0"/>
          </reference>
          <reference field="2" count="1" selected="0">
            <x v="1"/>
          </reference>
        </references>
      </pivotArea>
    </chartFormat>
    <chartFormat chart="37" format="12" series="1">
      <pivotArea type="data" outline="0" fieldPosition="0">
        <references count="2">
          <reference field="4294967294" count="1" selected="0">
            <x v="0"/>
          </reference>
          <reference field="2" count="1" selected="0">
            <x v="0"/>
          </reference>
        </references>
      </pivotArea>
    </chartFormat>
    <chartFormat chart="37" format="13"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6E27F8B-9569-4889-B537-9CD70FECCBDB}"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Age" colHeaderCaption="Year">
  <location ref="A3:G69" firstHeaderRow="1" firstDataRow="2" firstDataCol="1" rowPageCount="1" colPageCount="1"/>
  <pivotFields count="15">
    <pivotField axis="axisCol" showAll="0">
      <items count="7">
        <item x="0"/>
        <item x="1"/>
        <item x="2"/>
        <item x="3"/>
        <item x="4"/>
        <item x="5"/>
        <item t="default"/>
      </items>
    </pivotField>
    <pivotField axis="axisRow"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axis="axisPage" showAll="0">
      <items count="4">
        <item x="0"/>
        <item x="1"/>
        <item x="2"/>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s>
  <rowFields count="1">
    <field x="1"/>
  </rowFields>
  <rowItems count="6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rowItems>
  <colFields count="1">
    <field x="0"/>
  </colFields>
  <colItems count="6">
    <i>
      <x/>
    </i>
    <i>
      <x v="1"/>
    </i>
    <i>
      <x v="2"/>
    </i>
    <i>
      <x v="3"/>
    </i>
    <i>
      <x v="4"/>
    </i>
    <i>
      <x v="5"/>
    </i>
  </colItems>
  <pageFields count="1">
    <pageField fld="2" item="2" hier="-1"/>
  </pageFields>
  <dataFields count="1">
    <dataField name="Average of obs_mx" fld="5" subtotal="average" baseField="1" baseItem="2"/>
  </dataFields>
  <conditionalFormats count="1">
    <conditionalFormat priority="9">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53DE1F1-5D5F-4C37-BD53-2DEDE8A054E4}"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Age" colHeaderCaption="Year">
  <location ref="Q3:W69" firstHeaderRow="1" firstDataRow="2" firstDataCol="1" rowPageCount="1" colPageCount="1"/>
  <pivotFields count="15">
    <pivotField axis="axisCol" showAll="0">
      <items count="7">
        <item x="0"/>
        <item x="1"/>
        <item x="2"/>
        <item x="3"/>
        <item x="4"/>
        <item x="5"/>
        <item t="default"/>
      </items>
    </pivotField>
    <pivotField axis="axisRow"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axis="axisPage" showAll="0">
      <items count="4">
        <item x="0"/>
        <item x="1"/>
        <item x="2"/>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s>
  <rowFields count="1">
    <field x="1"/>
  </rowFields>
  <rowItems count="6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rowItems>
  <colFields count="1">
    <field x="0"/>
  </colFields>
  <colItems count="6">
    <i>
      <x/>
    </i>
    <i>
      <x v="1"/>
    </i>
    <i>
      <x v="2"/>
    </i>
    <i>
      <x v="3"/>
    </i>
    <i>
      <x v="4"/>
    </i>
    <i>
      <x v="5"/>
    </i>
  </colItems>
  <pageFields count="1">
    <pageField fld="2" item="0" hier="-1"/>
  </pageFields>
  <dataFields count="1">
    <dataField name="Average of obs_qx" fld="5" subtotal="average" baseField="1" baseItem="2"/>
  </dataFields>
  <conditionalFormats count="1">
    <conditionalFormat priority="7">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AB6D43E-6092-4DEA-92D2-D4706A9FDBB2}"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Age" colHeaderCaption="Year">
  <location ref="I3:O69" firstHeaderRow="1" firstDataRow="2" firstDataCol="1" rowPageCount="1" colPageCount="1"/>
  <pivotFields count="15">
    <pivotField axis="axisCol" showAll="0">
      <items count="7">
        <item x="0"/>
        <item x="1"/>
        <item x="2"/>
        <item x="3"/>
        <item x="4"/>
        <item x="5"/>
        <item t="default"/>
      </items>
    </pivotField>
    <pivotField axis="axisRow"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axis="axisPage" showAll="0">
      <items count="4">
        <item x="0"/>
        <item x="1"/>
        <item x="2"/>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s>
  <rowFields count="1">
    <field x="1"/>
  </rowFields>
  <rowItems count="6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rowItems>
  <colFields count="1">
    <field x="0"/>
  </colFields>
  <colItems count="6">
    <i>
      <x/>
    </i>
    <i>
      <x v="1"/>
    </i>
    <i>
      <x v="2"/>
    </i>
    <i>
      <x v="3"/>
    </i>
    <i>
      <x v="4"/>
    </i>
    <i>
      <x v="5"/>
    </i>
  </colItems>
  <pageFields count="1">
    <pageField fld="2" item="1" hier="-1"/>
  </pageFields>
  <dataFields count="1">
    <dataField name="Average of obs_mx" fld="5" subtotal="average" baseField="1" baseItem="2"/>
  </dataFields>
  <conditionalFormats count="1">
    <conditionalFormat priority="8">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D48017F-09B6-4F2C-A329-A7DC18CDF70A}" sourceName="Year">
  <pivotTables>
    <pivotTable tabId="5" name="PivotTable1"/>
    <pivotTable tabId="5" name="PivotTable3"/>
    <pivotTable tabId="5" name="PivotTable4"/>
    <pivotTable tabId="5" name="PivotTable5"/>
    <pivotTable tabId="5" name="PivotTable2"/>
  </pivotTables>
  <data>
    <tabular pivotCacheId="1156248645">
      <items count="6">
        <i x="0" s="1"/>
        <i x="1" s="1"/>
        <i x="2" s="1"/>
        <i x="3" s="1"/>
        <i x="4"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75B23866-6243-4846-94CC-7EBAC6747666}" cache="Slicer_Year" caption="Year"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A03969D-E66B-4F22-97F8-91C493164670}" name="Table2" displayName="Table2" ref="A1:O1171" totalsRowShown="0">
  <autoFilter ref="A1:O1171" xr:uid="{BA03969D-E66B-4F22-97F8-91C493164670}"/>
  <tableColumns count="15">
    <tableColumn id="1" xr3:uid="{566F51A8-AAC4-4617-9B80-29E8F71B2021}" name="Year"/>
    <tableColumn id="2" xr3:uid="{AC44B4A1-5DF9-4C6C-A378-9E773E62D117}" name="Single-Year Ages Code"/>
    <tableColumn id="3" xr3:uid="{58DF0D41-3EC0-4542-A1E3-F23562E1F9E9}" name="Sex Code"/>
    <tableColumn id="4" xr3:uid="{91225893-B02D-4CE6-8F1A-DC8E4F0875B6}" name="Deaths"/>
    <tableColumn id="5" xr3:uid="{0B00086F-1B47-4249-A990-67205ECF1909}" name="Population"/>
    <tableColumn id="6" xr3:uid="{48B02D08-D3A1-447B-B859-0EA6C7AB7775}" name="approx_qx"/>
    <tableColumn id="7" xr3:uid="{8ACE55F9-DAEE-436E-81CD-C713F3276936}" name="px"/>
    <tableColumn id="8" xr3:uid="{A6DBD873-78D3-447A-8258-F96A237751DC}" name="lx"/>
    <tableColumn id="9" xr3:uid="{A62D434C-F91C-432C-91CF-4ADC6A923DC5}" name="dx"/>
    <tableColumn id="10" xr3:uid="{CF450CAE-83A6-49F4-AC21-249EA5D5991D}" name="Lx2"/>
    <tableColumn id="11" xr3:uid="{309F66BB-3E8A-419A-B5E8-98E5F4AC0B12}" name="Tx"/>
    <tableColumn id="12" xr3:uid="{6961155C-D825-4ACF-85D0-506B002B0386}" name="ex"/>
    <tableColumn id="13" xr3:uid="{879F1BD8-1F1D-41BA-AC81-74E4CB74F466}" name="Cumulative Survival"/>
    <tableColumn id="14" xr3:uid="{94426466-2151-457C-8497-D8ECD4AB6611}" name="log_qx" dataDxfId="1"/>
    <tableColumn id="15" xr3:uid="{CE8A54AF-B604-43FD-84AC-3A82C407C169}" name="cohort_mx"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74032-74FB-49B4-A271-5E62E66F3EAD}">
  <dimension ref="A1:O1171"/>
  <sheetViews>
    <sheetView topLeftCell="A2" zoomScaleNormal="100" workbookViewId="0">
      <selection activeCell="G11" sqref="G11"/>
    </sheetView>
  </sheetViews>
  <sheetFormatPr defaultRowHeight="14.4" x14ac:dyDescent="0.3"/>
  <cols>
    <col min="2" max="2" width="21.21875" customWidth="1"/>
    <col min="3" max="3" width="10.5546875" customWidth="1"/>
    <col min="5" max="5" width="11.88671875" customWidth="1"/>
    <col min="6" max="6" width="11.77734375" bestFit="1" customWidth="1"/>
    <col min="13" max="13" width="19.44140625" customWidth="1"/>
    <col min="15" max="15" width="12" bestFit="1" customWidth="1"/>
  </cols>
  <sheetData>
    <row r="1" spans="1:15" x14ac:dyDescent="0.3">
      <c r="A1" t="s">
        <v>0</v>
      </c>
      <c r="B1" t="s">
        <v>1</v>
      </c>
      <c r="C1" t="s">
        <v>2</v>
      </c>
      <c r="D1" t="s">
        <v>3</v>
      </c>
      <c r="E1" t="s">
        <v>4</v>
      </c>
      <c r="F1" t="s">
        <v>24</v>
      </c>
      <c r="G1" t="s">
        <v>5</v>
      </c>
      <c r="H1" t="s">
        <v>6</v>
      </c>
      <c r="I1" t="s">
        <v>7</v>
      </c>
      <c r="J1" t="s">
        <v>14</v>
      </c>
      <c r="K1" t="s">
        <v>8</v>
      </c>
      <c r="L1" t="s">
        <v>9</v>
      </c>
      <c r="M1" t="s">
        <v>10</v>
      </c>
      <c r="N1" t="s">
        <v>15</v>
      </c>
      <c r="O1" t="s">
        <v>25</v>
      </c>
    </row>
    <row r="2" spans="1:15" x14ac:dyDescent="0.3">
      <c r="A2">
        <v>2015</v>
      </c>
      <c r="B2">
        <v>20</v>
      </c>
      <c r="C2" t="s">
        <v>11</v>
      </c>
      <c r="D2">
        <v>866</v>
      </c>
      <c r="E2">
        <v>2123067</v>
      </c>
      <c r="F2">
        <v>4.08E-4</v>
      </c>
      <c r="G2">
        <v>0.99959200000000004</v>
      </c>
      <c r="H2">
        <v>100000</v>
      </c>
      <c r="I2">
        <v>40.799999999999997</v>
      </c>
      <c r="J2">
        <v>99979.6</v>
      </c>
      <c r="K2">
        <v>5835200.5470000003</v>
      </c>
      <c r="L2">
        <v>58.352005470000002</v>
      </c>
      <c r="M2">
        <v>1</v>
      </c>
      <c r="N2">
        <v>-7.8042433835601122</v>
      </c>
      <c r="O2">
        <v>4.0808322867650937E-4</v>
      </c>
    </row>
    <row r="3" spans="1:15" x14ac:dyDescent="0.3">
      <c r="A3">
        <v>2015</v>
      </c>
      <c r="B3">
        <v>21</v>
      </c>
      <c r="C3" t="s">
        <v>11</v>
      </c>
      <c r="D3">
        <v>993</v>
      </c>
      <c r="E3">
        <v>2166784</v>
      </c>
      <c r="F3">
        <v>4.5800000000000002E-4</v>
      </c>
      <c r="G3">
        <v>0.99954200000000004</v>
      </c>
      <c r="H3">
        <v>99959.209950000004</v>
      </c>
      <c r="I3">
        <v>45.78</v>
      </c>
      <c r="J3">
        <v>99936.319289999999</v>
      </c>
      <c r="K3">
        <v>5735220.9469999997</v>
      </c>
      <c r="L3">
        <v>57.375613010000002</v>
      </c>
      <c r="M3">
        <v>0.99959209999999998</v>
      </c>
      <c r="N3">
        <v>-7.6886413738500892</v>
      </c>
      <c r="O3">
        <v>4.5809178084976998E-4</v>
      </c>
    </row>
    <row r="4" spans="1:15" x14ac:dyDescent="0.3">
      <c r="A4">
        <v>2015</v>
      </c>
      <c r="B4">
        <v>22</v>
      </c>
      <c r="C4" t="s">
        <v>11</v>
      </c>
      <c r="D4">
        <v>1021</v>
      </c>
      <c r="E4">
        <v>2197776</v>
      </c>
      <c r="F4">
        <v>4.6500000000000003E-4</v>
      </c>
      <c r="G4">
        <v>0.99953499999999995</v>
      </c>
      <c r="H4">
        <v>99913.40036</v>
      </c>
      <c r="I4">
        <v>46.46</v>
      </c>
      <c r="J4">
        <v>99890.170490000004</v>
      </c>
      <c r="K4">
        <v>5635284.6270000003</v>
      </c>
      <c r="L4">
        <v>56.401689939999997</v>
      </c>
      <c r="M4">
        <v>0.99913400399999996</v>
      </c>
      <c r="N4">
        <v>-7.6734731523769177</v>
      </c>
      <c r="O4">
        <v>4.6511072669376964E-4</v>
      </c>
    </row>
    <row r="5" spans="1:15" x14ac:dyDescent="0.3">
      <c r="A5">
        <v>2015</v>
      </c>
      <c r="B5">
        <v>23</v>
      </c>
      <c r="C5" t="s">
        <v>11</v>
      </c>
      <c r="D5">
        <v>1088</v>
      </c>
      <c r="E5">
        <v>2264424</v>
      </c>
      <c r="F5">
        <v>4.8000000000000001E-4</v>
      </c>
      <c r="G5">
        <v>0.99951999999999996</v>
      </c>
      <c r="H5">
        <v>99866.984540000005</v>
      </c>
      <c r="I5">
        <v>47.94</v>
      </c>
      <c r="J5">
        <v>99843.016459999999</v>
      </c>
      <c r="K5">
        <v>5535394.4570000004</v>
      </c>
      <c r="L5">
        <v>55.427671940000003</v>
      </c>
      <c r="M5">
        <v>0.998669845</v>
      </c>
      <c r="N5">
        <v>-7.641724454062337</v>
      </c>
      <c r="O5">
        <v>4.8015387651732669E-4</v>
      </c>
    </row>
    <row r="6" spans="1:15" x14ac:dyDescent="0.3">
      <c r="A6">
        <v>2015</v>
      </c>
      <c r="B6">
        <v>24</v>
      </c>
      <c r="C6" t="s">
        <v>11</v>
      </c>
      <c r="D6">
        <v>1181</v>
      </c>
      <c r="E6">
        <v>2319408</v>
      </c>
      <c r="F6">
        <v>5.0900000000000001E-4</v>
      </c>
      <c r="G6">
        <v>0.99949100000000002</v>
      </c>
      <c r="H6">
        <v>99819.000910000002</v>
      </c>
      <c r="I6">
        <v>50.81</v>
      </c>
      <c r="J6">
        <v>99793.596969999999</v>
      </c>
      <c r="K6">
        <v>5435551.4409999996</v>
      </c>
      <c r="L6">
        <v>54.454075789999997</v>
      </c>
      <c r="M6">
        <v>0.99819000899999999</v>
      </c>
      <c r="N6">
        <v>-7.5830625414137511</v>
      </c>
      <c r="O6">
        <v>5.0915094911532376E-4</v>
      </c>
    </row>
    <row r="7" spans="1:15" x14ac:dyDescent="0.3">
      <c r="A7">
        <v>2015</v>
      </c>
      <c r="B7">
        <v>25</v>
      </c>
      <c r="C7" t="s">
        <v>11</v>
      </c>
      <c r="D7">
        <v>1285</v>
      </c>
      <c r="E7">
        <v>2322049</v>
      </c>
      <c r="F7">
        <v>5.53E-4</v>
      </c>
      <c r="G7">
        <v>0.99944699999999997</v>
      </c>
      <c r="H7">
        <v>99768.174910000002</v>
      </c>
      <c r="I7">
        <v>55.17</v>
      </c>
      <c r="J7">
        <v>99740.589009999996</v>
      </c>
      <c r="K7">
        <v>5335757.8439999996</v>
      </c>
      <c r="L7">
        <v>53.48156212</v>
      </c>
      <c r="M7">
        <v>0.99768174899999995</v>
      </c>
      <c r="N7">
        <v>-7.5001525564419396</v>
      </c>
      <c r="O7">
        <v>5.5313500075986261E-4</v>
      </c>
    </row>
    <row r="8" spans="1:15" x14ac:dyDescent="0.3">
      <c r="A8">
        <v>2015</v>
      </c>
      <c r="B8">
        <v>26</v>
      </c>
      <c r="C8" t="s">
        <v>11</v>
      </c>
      <c r="D8">
        <v>1260</v>
      </c>
      <c r="E8">
        <v>2233433</v>
      </c>
      <c r="F8">
        <v>5.6400000000000005E-4</v>
      </c>
      <c r="G8">
        <v>0.99943599999999999</v>
      </c>
      <c r="H8">
        <v>99712.964139999996</v>
      </c>
      <c r="I8">
        <v>56.24</v>
      </c>
      <c r="J8">
        <v>99684.845079999999</v>
      </c>
      <c r="K8">
        <v>5236017.2549999999</v>
      </c>
      <c r="L8">
        <v>52.510897649999997</v>
      </c>
      <c r="M8">
        <v>0.99712964100000001</v>
      </c>
      <c r="N8">
        <v>-7.4804563064662153</v>
      </c>
      <c r="O8">
        <v>5.6417807824360477E-4</v>
      </c>
    </row>
    <row r="9" spans="1:15" x14ac:dyDescent="0.3">
      <c r="A9">
        <v>2015</v>
      </c>
      <c r="B9">
        <v>27</v>
      </c>
      <c r="C9" t="s">
        <v>11</v>
      </c>
      <c r="D9">
        <v>1327</v>
      </c>
      <c r="E9">
        <v>2185163</v>
      </c>
      <c r="F9">
        <v>6.0700000000000001E-4</v>
      </c>
      <c r="G9">
        <v>0.99939299999999998</v>
      </c>
      <c r="H9">
        <v>99656.710680000004</v>
      </c>
      <c r="I9">
        <v>60.49</v>
      </c>
      <c r="J9">
        <v>99626.464869999996</v>
      </c>
      <c r="K9">
        <v>5136332.409</v>
      </c>
      <c r="L9">
        <v>51.540256290000002</v>
      </c>
      <c r="M9">
        <v>0.99656710699999995</v>
      </c>
      <c r="N9">
        <v>-7.4069817669047762</v>
      </c>
      <c r="O9">
        <v>6.0716806995003366E-4</v>
      </c>
    </row>
    <row r="10" spans="1:15" x14ac:dyDescent="0.3">
      <c r="A10">
        <v>2015</v>
      </c>
      <c r="B10">
        <v>28</v>
      </c>
      <c r="C10" t="s">
        <v>11</v>
      </c>
      <c r="D10">
        <v>1386</v>
      </c>
      <c r="E10">
        <v>2149931</v>
      </c>
      <c r="F10">
        <v>6.4499999999999996E-4</v>
      </c>
      <c r="G10">
        <v>0.99935499999999999</v>
      </c>
      <c r="H10">
        <v>99596.191420000003</v>
      </c>
      <c r="I10">
        <v>64.239999999999995</v>
      </c>
      <c r="J10">
        <v>99564.071649999998</v>
      </c>
      <c r="K10">
        <v>5036705.9450000003</v>
      </c>
      <c r="L10">
        <v>50.571270579999997</v>
      </c>
      <c r="M10">
        <v>0.995961914</v>
      </c>
      <c r="N10">
        <v>-7.3462602411685021</v>
      </c>
      <c r="O10">
        <v>6.4521255906726323E-4</v>
      </c>
    </row>
    <row r="11" spans="1:15" x14ac:dyDescent="0.3">
      <c r="A11">
        <v>2015</v>
      </c>
      <c r="B11">
        <v>29</v>
      </c>
      <c r="C11" t="s">
        <v>11</v>
      </c>
      <c r="D11">
        <v>1467</v>
      </c>
      <c r="E11">
        <v>2161579</v>
      </c>
      <c r="F11">
        <v>6.7900000000000002E-4</v>
      </c>
      <c r="G11">
        <v>0.99932100000000001</v>
      </c>
      <c r="H11">
        <v>99531.984549999994</v>
      </c>
      <c r="I11">
        <v>67.58</v>
      </c>
      <c r="J11">
        <v>99498.193440000003</v>
      </c>
      <c r="K11">
        <v>4937141.8729999997</v>
      </c>
      <c r="L11">
        <v>49.603571109999997</v>
      </c>
      <c r="M11">
        <v>0.99531984600000001</v>
      </c>
      <c r="N11">
        <v>-7.2948894304055782</v>
      </c>
      <c r="O11">
        <v>6.7920819991307692E-4</v>
      </c>
    </row>
    <row r="12" spans="1:15" x14ac:dyDescent="0.3">
      <c r="A12">
        <v>2015</v>
      </c>
      <c r="B12">
        <v>30</v>
      </c>
      <c r="C12" t="s">
        <v>11</v>
      </c>
      <c r="D12">
        <v>1601</v>
      </c>
      <c r="E12">
        <v>2185746</v>
      </c>
      <c r="F12">
        <v>7.3200000000000001E-4</v>
      </c>
      <c r="G12">
        <v>0.99926800000000005</v>
      </c>
      <c r="H12">
        <v>99464.435129999998</v>
      </c>
      <c r="I12">
        <v>72.81</v>
      </c>
      <c r="J12">
        <v>99428.031149999995</v>
      </c>
      <c r="K12">
        <v>4837643.68</v>
      </c>
      <c r="L12">
        <v>48.636919050000003</v>
      </c>
      <c r="M12">
        <v>0.99464435100000004</v>
      </c>
      <c r="N12">
        <v>-7.2197300440029624</v>
      </c>
      <c r="O12">
        <v>7.3228863519290955E-4</v>
      </c>
    </row>
    <row r="13" spans="1:15" x14ac:dyDescent="0.3">
      <c r="A13">
        <v>2015</v>
      </c>
      <c r="B13">
        <v>31</v>
      </c>
      <c r="C13" t="s">
        <v>11</v>
      </c>
      <c r="D13">
        <v>1641</v>
      </c>
      <c r="E13">
        <v>2125468</v>
      </c>
      <c r="F13">
        <v>7.7200000000000001E-4</v>
      </c>
      <c r="G13">
        <v>0.99922800000000001</v>
      </c>
      <c r="H13">
        <v>99391.580109999995</v>
      </c>
      <c r="I13">
        <v>76.73</v>
      </c>
      <c r="J13">
        <v>99353.214959999998</v>
      </c>
      <c r="K13">
        <v>4738215.648</v>
      </c>
      <c r="L13">
        <v>47.67220365</v>
      </c>
      <c r="M13">
        <v>0.99391580099999999</v>
      </c>
      <c r="N13">
        <v>-7.1665260079394981</v>
      </c>
      <c r="O13">
        <v>7.722951142862159E-4</v>
      </c>
    </row>
    <row r="14" spans="1:15" x14ac:dyDescent="0.3">
      <c r="A14">
        <v>2015</v>
      </c>
      <c r="B14">
        <v>32</v>
      </c>
      <c r="C14" t="s">
        <v>11</v>
      </c>
      <c r="D14">
        <v>1848</v>
      </c>
      <c r="E14">
        <v>2162451</v>
      </c>
      <c r="F14">
        <v>8.5499999999999997E-4</v>
      </c>
      <c r="G14">
        <v>0.99914499999999995</v>
      </c>
      <c r="H14">
        <v>99314.843330000003</v>
      </c>
      <c r="I14">
        <v>84.91</v>
      </c>
      <c r="J14">
        <v>99272.386230000004</v>
      </c>
      <c r="K14">
        <v>4638862.4330000002</v>
      </c>
      <c r="L14">
        <v>46.708651779999997</v>
      </c>
      <c r="M14">
        <v>0.993148433</v>
      </c>
      <c r="N14">
        <v>-7.0644090890275137</v>
      </c>
      <c r="O14">
        <v>8.5532327397949215E-4</v>
      </c>
    </row>
    <row r="15" spans="1:15" x14ac:dyDescent="0.3">
      <c r="A15">
        <v>2015</v>
      </c>
      <c r="B15">
        <v>33</v>
      </c>
      <c r="C15" t="s">
        <v>11</v>
      </c>
      <c r="D15">
        <v>1926</v>
      </c>
      <c r="E15">
        <v>2166123</v>
      </c>
      <c r="F15">
        <v>8.8900000000000003E-4</v>
      </c>
      <c r="G15">
        <v>0.99911099999999997</v>
      </c>
      <c r="H15">
        <v>99229.970270000005</v>
      </c>
      <c r="I15">
        <v>88.22</v>
      </c>
      <c r="J15">
        <v>99185.862550000005</v>
      </c>
      <c r="K15">
        <v>4539590.0470000003</v>
      </c>
      <c r="L15">
        <v>45.748175019999998</v>
      </c>
      <c r="M15">
        <v>0.99229970300000003</v>
      </c>
      <c r="N15">
        <v>-7.0254133224503699</v>
      </c>
      <c r="O15">
        <v>8.8944133957019177E-4</v>
      </c>
    </row>
    <row r="16" spans="1:15" x14ac:dyDescent="0.3">
      <c r="A16">
        <v>2015</v>
      </c>
      <c r="B16">
        <v>34</v>
      </c>
      <c r="C16" t="s">
        <v>11</v>
      </c>
      <c r="D16">
        <v>1995</v>
      </c>
      <c r="E16">
        <v>2146121</v>
      </c>
      <c r="F16">
        <v>9.3000000000000005E-4</v>
      </c>
      <c r="G16">
        <v>0.99907000000000001</v>
      </c>
      <c r="H16">
        <v>99141.740319999997</v>
      </c>
      <c r="I16">
        <v>92.2</v>
      </c>
      <c r="J16">
        <v>99095.639410000003</v>
      </c>
      <c r="K16">
        <v>4440404.1849999996</v>
      </c>
      <c r="L16">
        <v>44.78844299</v>
      </c>
      <c r="M16">
        <v>0.99141740300000003</v>
      </c>
      <c r="N16">
        <v>-6.9803259718169723</v>
      </c>
      <c r="O16">
        <v>9.3041410669992674E-4</v>
      </c>
    </row>
    <row r="17" spans="1:15" x14ac:dyDescent="0.3">
      <c r="A17">
        <v>2015</v>
      </c>
      <c r="B17">
        <v>35</v>
      </c>
      <c r="C17" t="s">
        <v>11</v>
      </c>
      <c r="D17">
        <v>2064</v>
      </c>
      <c r="E17">
        <v>2180134</v>
      </c>
      <c r="F17">
        <v>9.4700000000000003E-4</v>
      </c>
      <c r="G17">
        <v>0.99905299999999997</v>
      </c>
      <c r="H17">
        <v>99049.579729999998</v>
      </c>
      <c r="I17">
        <v>93.8</v>
      </c>
      <c r="J17">
        <v>99002.679749999996</v>
      </c>
      <c r="K17">
        <v>4341308.5449999999</v>
      </c>
      <c r="L17">
        <v>43.829651339999998</v>
      </c>
      <c r="M17">
        <v>0.99049579700000001</v>
      </c>
      <c r="N17">
        <v>-6.9622114647781954</v>
      </c>
      <c r="O17">
        <v>9.4744897413514629E-4</v>
      </c>
    </row>
    <row r="18" spans="1:15" x14ac:dyDescent="0.3">
      <c r="A18">
        <v>2015</v>
      </c>
      <c r="B18">
        <v>36</v>
      </c>
      <c r="C18" t="s">
        <v>11</v>
      </c>
      <c r="D18">
        <v>2243</v>
      </c>
      <c r="E18">
        <v>2055478</v>
      </c>
      <c r="F18">
        <v>1.091E-3</v>
      </c>
      <c r="G18">
        <v>0.99890900000000005</v>
      </c>
      <c r="H18">
        <v>98955.80644</v>
      </c>
      <c r="I18">
        <v>107.96</v>
      </c>
      <c r="J18">
        <v>98901.826050000003</v>
      </c>
      <c r="K18">
        <v>4242305.8650000002</v>
      </c>
      <c r="L18">
        <v>42.870711870000001</v>
      </c>
      <c r="M18">
        <v>0.98955806400000001</v>
      </c>
      <c r="N18">
        <v>-6.820660572131203</v>
      </c>
      <c r="O18">
        <v>1.0915876557174979E-3</v>
      </c>
    </row>
    <row r="19" spans="1:15" x14ac:dyDescent="0.3">
      <c r="A19">
        <v>2015</v>
      </c>
      <c r="B19">
        <v>37</v>
      </c>
      <c r="C19" t="s">
        <v>11</v>
      </c>
      <c r="D19">
        <v>2206</v>
      </c>
      <c r="E19">
        <v>2017940</v>
      </c>
      <c r="F19">
        <v>1.093E-3</v>
      </c>
      <c r="G19">
        <v>0.99890699999999999</v>
      </c>
      <c r="H19">
        <v>98847.82286</v>
      </c>
      <c r="I19">
        <v>108.04</v>
      </c>
      <c r="J19">
        <v>98793.802519999997</v>
      </c>
      <c r="K19">
        <v>4143404.0389999999</v>
      </c>
      <c r="L19">
        <v>41.916998470000003</v>
      </c>
      <c r="M19">
        <v>0.98847822900000004</v>
      </c>
      <c r="N19">
        <v>-6.8188290697877356</v>
      </c>
      <c r="O19">
        <v>1.0935909715611731E-3</v>
      </c>
    </row>
    <row r="20" spans="1:15" x14ac:dyDescent="0.3">
      <c r="A20">
        <v>2015</v>
      </c>
      <c r="B20">
        <v>38</v>
      </c>
      <c r="C20" t="s">
        <v>11</v>
      </c>
      <c r="D20">
        <v>2387</v>
      </c>
      <c r="E20">
        <v>2003325</v>
      </c>
      <c r="F20">
        <v>1.1919999999999999E-3</v>
      </c>
      <c r="G20">
        <v>0.99880800000000003</v>
      </c>
      <c r="H20">
        <v>98739.763009999995</v>
      </c>
      <c r="I20">
        <v>117.7</v>
      </c>
      <c r="J20">
        <v>98680.914109999998</v>
      </c>
      <c r="K20">
        <v>4044610.2370000002</v>
      </c>
      <c r="L20">
        <v>40.96232474</v>
      </c>
      <c r="M20">
        <v>0.98739763000000003</v>
      </c>
      <c r="N20">
        <v>-6.7321227103389791</v>
      </c>
      <c r="O20">
        <v>1.1927328880167948E-3</v>
      </c>
    </row>
    <row r="21" spans="1:15" x14ac:dyDescent="0.3">
      <c r="A21">
        <v>2015</v>
      </c>
      <c r="B21">
        <v>39</v>
      </c>
      <c r="C21" t="s">
        <v>11</v>
      </c>
      <c r="D21">
        <v>2327</v>
      </c>
      <c r="E21">
        <v>1944284</v>
      </c>
      <c r="F21">
        <v>1.1969999999999999E-3</v>
      </c>
      <c r="G21">
        <v>0.998803</v>
      </c>
      <c r="H21">
        <v>98622.112699999998</v>
      </c>
      <c r="I21">
        <v>118.05</v>
      </c>
      <c r="J21">
        <v>98563.087369999994</v>
      </c>
      <c r="K21">
        <v>3945929.3229999999</v>
      </c>
      <c r="L21">
        <v>40.01059412</v>
      </c>
      <c r="M21">
        <v>0.98622112699999998</v>
      </c>
      <c r="N21">
        <v>-6.7279368524063008</v>
      </c>
      <c r="O21">
        <v>1.1977099520911023E-3</v>
      </c>
    </row>
    <row r="22" spans="1:15" x14ac:dyDescent="0.3">
      <c r="A22">
        <v>2015</v>
      </c>
      <c r="B22">
        <v>40</v>
      </c>
      <c r="C22" t="s">
        <v>11</v>
      </c>
      <c r="D22">
        <v>2602</v>
      </c>
      <c r="E22">
        <v>2000626</v>
      </c>
      <c r="F22">
        <v>1.3010000000000001E-3</v>
      </c>
      <c r="G22">
        <v>0.998699</v>
      </c>
      <c r="H22">
        <v>98504.077650000007</v>
      </c>
      <c r="I22">
        <v>128.15</v>
      </c>
      <c r="J22">
        <v>98440.000750000007</v>
      </c>
      <c r="K22">
        <v>3847366.2349999999</v>
      </c>
      <c r="L22">
        <v>39.057938790000001</v>
      </c>
      <c r="M22">
        <v>0.98504077700000003</v>
      </c>
      <c r="N22">
        <v>-6.6446220794517687</v>
      </c>
      <c r="O22">
        <v>1.3018079330445352E-3</v>
      </c>
    </row>
    <row r="23" spans="1:15" x14ac:dyDescent="0.3">
      <c r="A23">
        <v>2015</v>
      </c>
      <c r="B23">
        <v>41</v>
      </c>
      <c r="C23" t="s">
        <v>11</v>
      </c>
      <c r="D23">
        <v>2833</v>
      </c>
      <c r="E23">
        <v>1946164</v>
      </c>
      <c r="F23">
        <v>1.456E-3</v>
      </c>
      <c r="G23">
        <v>0.99854399999999999</v>
      </c>
      <c r="H23">
        <v>98375.963940000001</v>
      </c>
      <c r="I23">
        <v>143.24</v>
      </c>
      <c r="J23">
        <v>98304.346239999999</v>
      </c>
      <c r="K23">
        <v>3748926.2349999999</v>
      </c>
      <c r="L23">
        <v>38.108152480000001</v>
      </c>
      <c r="M23">
        <v>0.98375963899999996</v>
      </c>
      <c r="N23">
        <v>-6.5320623292076432</v>
      </c>
      <c r="O23">
        <v>1.4571072677381661E-3</v>
      </c>
    </row>
    <row r="24" spans="1:15" x14ac:dyDescent="0.3">
      <c r="A24">
        <v>2015</v>
      </c>
      <c r="B24">
        <v>42</v>
      </c>
      <c r="C24" t="s">
        <v>11</v>
      </c>
      <c r="D24">
        <v>3182</v>
      </c>
      <c r="E24">
        <v>1981947</v>
      </c>
      <c r="F24">
        <v>1.6050000000000001E-3</v>
      </c>
      <c r="G24">
        <v>0.99839500000000003</v>
      </c>
      <c r="H24">
        <v>98232.759619999997</v>
      </c>
      <c r="I24">
        <v>157.66</v>
      </c>
      <c r="J24">
        <v>98153.927830000001</v>
      </c>
      <c r="K24">
        <v>3650621.8879999998</v>
      </c>
      <c r="L24">
        <v>37.162978039999999</v>
      </c>
      <c r="M24">
        <v>0.98232759599999997</v>
      </c>
      <c r="N24">
        <v>-6.4346315224001582</v>
      </c>
      <c r="O24">
        <v>1.6062529773456058E-3</v>
      </c>
    </row>
    <row r="25" spans="1:15" x14ac:dyDescent="0.3">
      <c r="A25">
        <v>2015</v>
      </c>
      <c r="B25">
        <v>43</v>
      </c>
      <c r="C25" t="s">
        <v>11</v>
      </c>
      <c r="D25">
        <v>3488</v>
      </c>
      <c r="E25">
        <v>2068346</v>
      </c>
      <c r="F25">
        <v>1.686E-3</v>
      </c>
      <c r="G25">
        <v>0.99831400000000003</v>
      </c>
      <c r="H25">
        <v>98075.047709999999</v>
      </c>
      <c r="I25">
        <v>165.35</v>
      </c>
      <c r="J25">
        <v>97992.370439999999</v>
      </c>
      <c r="K25">
        <v>3552467.9610000001</v>
      </c>
      <c r="L25">
        <v>36.221934560000001</v>
      </c>
      <c r="M25">
        <v>0.98075047699999995</v>
      </c>
      <c r="N25">
        <v>-6.3853964194024737</v>
      </c>
      <c r="O25">
        <v>1.6873765784168253E-3</v>
      </c>
    </row>
    <row r="26" spans="1:15" x14ac:dyDescent="0.3">
      <c r="A26">
        <v>2015</v>
      </c>
      <c r="B26">
        <v>44</v>
      </c>
      <c r="C26" t="s">
        <v>11</v>
      </c>
      <c r="D26">
        <v>4086</v>
      </c>
      <c r="E26">
        <v>2187962</v>
      </c>
      <c r="F26">
        <v>1.867E-3</v>
      </c>
      <c r="G26">
        <v>0.99813300000000005</v>
      </c>
      <c r="H26">
        <v>97909.656730000002</v>
      </c>
      <c r="I26">
        <v>182.8</v>
      </c>
      <c r="J26">
        <v>97818.258069999996</v>
      </c>
      <c r="K26">
        <v>3454475.59</v>
      </c>
      <c r="L26">
        <v>35.282276600000003</v>
      </c>
      <c r="M26">
        <v>0.97909656700000003</v>
      </c>
      <c r="N26">
        <v>-6.2834224144225512</v>
      </c>
      <c r="O26">
        <v>1.8687722370040788E-3</v>
      </c>
    </row>
    <row r="27" spans="1:15" x14ac:dyDescent="0.3">
      <c r="A27">
        <v>2015</v>
      </c>
      <c r="B27">
        <v>45</v>
      </c>
      <c r="C27" t="s">
        <v>11</v>
      </c>
      <c r="D27">
        <v>4386</v>
      </c>
      <c r="E27">
        <v>2206861</v>
      </c>
      <c r="F27">
        <v>1.9870000000000001E-3</v>
      </c>
      <c r="G27">
        <v>0.99801300000000004</v>
      </c>
      <c r="H27">
        <v>97726.811300000001</v>
      </c>
      <c r="I27">
        <v>194.18</v>
      </c>
      <c r="J27">
        <v>97629.719710000005</v>
      </c>
      <c r="K27">
        <v>3356657.3319999999</v>
      </c>
      <c r="L27">
        <v>34.347353480000002</v>
      </c>
      <c r="M27">
        <v>0.97726811300000005</v>
      </c>
      <c r="N27">
        <v>-6.2211293154124574</v>
      </c>
      <c r="O27">
        <v>1.988943972901171E-3</v>
      </c>
    </row>
    <row r="28" spans="1:15" x14ac:dyDescent="0.3">
      <c r="A28">
        <v>2015</v>
      </c>
      <c r="B28">
        <v>46</v>
      </c>
      <c r="C28" t="s">
        <v>11</v>
      </c>
      <c r="D28">
        <v>4655</v>
      </c>
      <c r="E28">
        <v>2095675</v>
      </c>
      <c r="F28">
        <v>2.2209999999999999E-3</v>
      </c>
      <c r="G28">
        <v>0.99777899999999997</v>
      </c>
      <c r="H28">
        <v>97532.585290000003</v>
      </c>
      <c r="I28">
        <v>216.62</v>
      </c>
      <c r="J28">
        <v>97424.275349999996</v>
      </c>
      <c r="K28">
        <v>3259027.6120000002</v>
      </c>
      <c r="L28">
        <v>33.414756750000002</v>
      </c>
      <c r="M28">
        <v>0.97532585299999996</v>
      </c>
      <c r="N28">
        <v>-6.1097977340698471</v>
      </c>
      <c r="O28">
        <v>2.2234707456731759E-3</v>
      </c>
    </row>
    <row r="29" spans="1:15" x14ac:dyDescent="0.3">
      <c r="A29">
        <v>2015</v>
      </c>
      <c r="B29">
        <v>47</v>
      </c>
      <c r="C29" t="s">
        <v>11</v>
      </c>
      <c r="D29">
        <v>4891</v>
      </c>
      <c r="E29">
        <v>2054083</v>
      </c>
      <c r="F29">
        <v>2.3809999999999999E-3</v>
      </c>
      <c r="G29">
        <v>0.99761900000000003</v>
      </c>
      <c r="H29">
        <v>97315.941879999998</v>
      </c>
      <c r="I29">
        <v>231.71</v>
      </c>
      <c r="J29">
        <v>97200.087249999997</v>
      </c>
      <c r="K29">
        <v>3161603.3369999998</v>
      </c>
      <c r="L29">
        <v>32.488030999999999</v>
      </c>
      <c r="M29">
        <v>0.97315941900000003</v>
      </c>
      <c r="N29">
        <v>-6.0402347114774111</v>
      </c>
      <c r="O29">
        <v>2.3838457294862708E-3</v>
      </c>
    </row>
    <row r="30" spans="1:15" x14ac:dyDescent="0.3">
      <c r="A30">
        <v>2015</v>
      </c>
      <c r="B30">
        <v>48</v>
      </c>
      <c r="C30" t="s">
        <v>11</v>
      </c>
      <c r="D30">
        <v>5534</v>
      </c>
      <c r="E30">
        <v>2062616</v>
      </c>
      <c r="F30">
        <v>2.6830000000000001E-3</v>
      </c>
      <c r="G30">
        <v>0.99731700000000001</v>
      </c>
      <c r="H30">
        <v>97084.221799999999</v>
      </c>
      <c r="I30">
        <v>260.48</v>
      </c>
      <c r="J30">
        <v>96953.983319999999</v>
      </c>
      <c r="K30">
        <v>3064403.25</v>
      </c>
      <c r="L30">
        <v>31.564379800000001</v>
      </c>
      <c r="M30">
        <v>0.97084221800000003</v>
      </c>
      <c r="N30">
        <v>-5.9208197075386497</v>
      </c>
      <c r="O30">
        <v>2.6866353620652772E-3</v>
      </c>
    </row>
    <row r="31" spans="1:15" x14ac:dyDescent="0.3">
      <c r="A31">
        <v>2015</v>
      </c>
      <c r="B31">
        <v>49</v>
      </c>
      <c r="C31" t="s">
        <v>11</v>
      </c>
      <c r="D31">
        <v>6104</v>
      </c>
      <c r="E31">
        <v>2099680</v>
      </c>
      <c r="F31">
        <v>2.9069999999999999E-3</v>
      </c>
      <c r="G31">
        <v>0.99709300000000001</v>
      </c>
      <c r="H31">
        <v>96823.744779999994</v>
      </c>
      <c r="I31">
        <v>281.47000000000003</v>
      </c>
      <c r="J31">
        <v>96683.011469999998</v>
      </c>
      <c r="K31">
        <v>2967449.2659999998</v>
      </c>
      <c r="L31">
        <v>30.64794977</v>
      </c>
      <c r="M31">
        <v>0.968237448</v>
      </c>
      <c r="N31">
        <v>-5.8406336574053981</v>
      </c>
      <c r="O31">
        <v>2.9112665316669375E-3</v>
      </c>
    </row>
    <row r="32" spans="1:15" x14ac:dyDescent="0.3">
      <c r="A32">
        <v>2015</v>
      </c>
      <c r="B32">
        <v>50</v>
      </c>
      <c r="C32" t="s">
        <v>11</v>
      </c>
      <c r="D32">
        <v>7051</v>
      </c>
      <c r="E32">
        <v>2227286</v>
      </c>
      <c r="F32">
        <v>3.166E-3</v>
      </c>
      <c r="G32">
        <v>0.996834</v>
      </c>
      <c r="H32">
        <v>96542.267529999997</v>
      </c>
      <c r="I32">
        <v>305.64999999999998</v>
      </c>
      <c r="J32">
        <v>96389.441120000003</v>
      </c>
      <c r="K32">
        <v>2870766.2549999999</v>
      </c>
      <c r="L32">
        <v>29.73584864</v>
      </c>
      <c r="M32">
        <v>0.96542267500000001</v>
      </c>
      <c r="N32">
        <v>-5.7552863175233169</v>
      </c>
      <c r="O32">
        <v>3.1709900593460518E-3</v>
      </c>
    </row>
    <row r="33" spans="1:15" x14ac:dyDescent="0.3">
      <c r="A33">
        <v>2015</v>
      </c>
      <c r="B33">
        <v>51</v>
      </c>
      <c r="C33" t="s">
        <v>11</v>
      </c>
      <c r="D33">
        <v>7852</v>
      </c>
      <c r="E33">
        <v>2276939</v>
      </c>
      <c r="F33">
        <v>3.4480000000000001E-3</v>
      </c>
      <c r="G33">
        <v>0.99655199999999999</v>
      </c>
      <c r="H33">
        <v>96236.640180000002</v>
      </c>
      <c r="I33">
        <v>331.82</v>
      </c>
      <c r="J33">
        <v>96070.728210000001</v>
      </c>
      <c r="K33">
        <v>2774376.8139999998</v>
      </c>
      <c r="L33">
        <v>28.82869569</v>
      </c>
      <c r="M33">
        <v>0.96236640200000001</v>
      </c>
      <c r="N33">
        <v>-5.66996092618069</v>
      </c>
      <c r="O33">
        <v>3.4539145013775152E-3</v>
      </c>
    </row>
    <row r="34" spans="1:15" x14ac:dyDescent="0.3">
      <c r="A34">
        <v>2015</v>
      </c>
      <c r="B34">
        <v>52</v>
      </c>
      <c r="C34" t="s">
        <v>11</v>
      </c>
      <c r="D34">
        <v>8731</v>
      </c>
      <c r="E34">
        <v>2279256</v>
      </c>
      <c r="F34">
        <v>3.8310000000000002E-3</v>
      </c>
      <c r="G34">
        <v>0.99616899999999997</v>
      </c>
      <c r="H34">
        <v>95904.769149999993</v>
      </c>
      <c r="I34">
        <v>367.41</v>
      </c>
      <c r="J34">
        <v>95721.063559999995</v>
      </c>
      <c r="K34">
        <v>2678306.0860000001</v>
      </c>
      <c r="L34">
        <v>27.926724700000001</v>
      </c>
      <c r="M34">
        <v>0.95904769199999995</v>
      </c>
      <c r="N34">
        <v>-5.5646294132636251</v>
      </c>
      <c r="O34">
        <v>3.8383394345832059E-3</v>
      </c>
    </row>
    <row r="35" spans="1:15" x14ac:dyDescent="0.3">
      <c r="A35">
        <v>2015</v>
      </c>
      <c r="B35">
        <v>53</v>
      </c>
      <c r="C35" t="s">
        <v>11</v>
      </c>
      <c r="D35">
        <v>9482</v>
      </c>
      <c r="E35">
        <v>2277046</v>
      </c>
      <c r="F35">
        <v>4.1640000000000002E-3</v>
      </c>
      <c r="G35">
        <v>0.99583600000000005</v>
      </c>
      <c r="H35">
        <v>95537.392890000003</v>
      </c>
      <c r="I35">
        <v>397.82</v>
      </c>
      <c r="J35">
        <v>95338.484039999996</v>
      </c>
      <c r="K35">
        <v>2582585.0219999999</v>
      </c>
      <c r="L35">
        <v>27.032190679999999</v>
      </c>
      <c r="M35">
        <v>0.95537392899999996</v>
      </c>
      <c r="N35">
        <v>-5.4812791282294144</v>
      </c>
      <c r="O35">
        <v>4.1727119675219141E-3</v>
      </c>
    </row>
    <row r="36" spans="1:15" x14ac:dyDescent="0.3">
      <c r="A36">
        <v>2015</v>
      </c>
      <c r="B36">
        <v>54</v>
      </c>
      <c r="C36" t="s">
        <v>11</v>
      </c>
      <c r="D36">
        <v>10261</v>
      </c>
      <c r="E36">
        <v>2309943</v>
      </c>
      <c r="F36">
        <v>4.4419999999999998E-3</v>
      </c>
      <c r="G36">
        <v>0.99555800000000005</v>
      </c>
      <c r="H36">
        <v>95139.559219999996</v>
      </c>
      <c r="I36">
        <v>422.61</v>
      </c>
      <c r="J36">
        <v>94928.254260000002</v>
      </c>
      <c r="K36">
        <v>2487246.5380000002</v>
      </c>
      <c r="L36">
        <v>26.143137079999999</v>
      </c>
      <c r="M36">
        <v>0.95139559200000001</v>
      </c>
      <c r="N36">
        <v>-5.4166505535099017</v>
      </c>
      <c r="O36">
        <v>4.4518886886044983E-3</v>
      </c>
    </row>
    <row r="37" spans="1:15" x14ac:dyDescent="0.3">
      <c r="A37">
        <v>2015</v>
      </c>
      <c r="B37">
        <v>55</v>
      </c>
      <c r="C37" t="s">
        <v>11</v>
      </c>
      <c r="D37">
        <v>10922</v>
      </c>
      <c r="E37">
        <v>2324887</v>
      </c>
      <c r="F37">
        <v>4.6979999999999999E-3</v>
      </c>
      <c r="G37">
        <v>0.99530200000000002</v>
      </c>
      <c r="H37">
        <v>94716.939700000003</v>
      </c>
      <c r="I37">
        <v>444.98</v>
      </c>
      <c r="J37">
        <v>94494.449609999996</v>
      </c>
      <c r="K37">
        <v>2392318.284</v>
      </c>
      <c r="L37">
        <v>25.257554679999998</v>
      </c>
      <c r="M37">
        <v>0.94716939700000002</v>
      </c>
      <c r="N37">
        <v>-5.3606183927454163</v>
      </c>
      <c r="O37">
        <v>4.7090593283647111E-3</v>
      </c>
    </row>
    <row r="38" spans="1:15" x14ac:dyDescent="0.3">
      <c r="A38">
        <v>2015</v>
      </c>
      <c r="B38">
        <v>56</v>
      </c>
      <c r="C38" t="s">
        <v>11</v>
      </c>
      <c r="D38">
        <v>11834</v>
      </c>
      <c r="E38">
        <v>2255835</v>
      </c>
      <c r="F38">
        <v>5.2459999999999998E-3</v>
      </c>
      <c r="G38">
        <v>0.99475400000000003</v>
      </c>
      <c r="H38">
        <v>94271.972510000007</v>
      </c>
      <c r="I38">
        <v>494.55</v>
      </c>
      <c r="J38">
        <v>94024.69713</v>
      </c>
      <c r="K38">
        <v>2297823.8339999998</v>
      </c>
      <c r="L38">
        <v>24.37441132</v>
      </c>
      <c r="M38">
        <v>0.94271972500000001</v>
      </c>
      <c r="N38">
        <v>-5.2502893975374549</v>
      </c>
      <c r="O38">
        <v>5.2597881511111475E-3</v>
      </c>
    </row>
    <row r="39" spans="1:15" x14ac:dyDescent="0.3">
      <c r="A39">
        <v>2015</v>
      </c>
      <c r="B39">
        <v>57</v>
      </c>
      <c r="C39" t="s">
        <v>11</v>
      </c>
      <c r="D39">
        <v>12584</v>
      </c>
      <c r="E39">
        <v>2246694</v>
      </c>
      <c r="F39">
        <v>5.6010000000000001E-3</v>
      </c>
      <c r="G39">
        <v>0.99439900000000003</v>
      </c>
      <c r="H39">
        <v>93777.426359999998</v>
      </c>
      <c r="I39">
        <v>525.25</v>
      </c>
      <c r="J39">
        <v>93514.802679999993</v>
      </c>
      <c r="K39">
        <v>2203799.1370000001</v>
      </c>
      <c r="L39">
        <v>23.500315830000002</v>
      </c>
      <c r="M39">
        <v>0.93777426399999997</v>
      </c>
      <c r="N39">
        <v>-5.1848101257544421</v>
      </c>
      <c r="O39">
        <v>5.6167581629914714E-3</v>
      </c>
    </row>
    <row r="40" spans="1:15" x14ac:dyDescent="0.3">
      <c r="A40">
        <v>2015</v>
      </c>
      <c r="B40">
        <v>58</v>
      </c>
      <c r="C40" t="s">
        <v>11</v>
      </c>
      <c r="D40">
        <v>13361</v>
      </c>
      <c r="E40">
        <v>2228294</v>
      </c>
      <c r="F40">
        <v>5.9959999999999996E-3</v>
      </c>
      <c r="G40">
        <v>0.994004</v>
      </c>
      <c r="H40">
        <v>93252.167849999998</v>
      </c>
      <c r="I40">
        <v>559.14</v>
      </c>
      <c r="J40">
        <v>92972.597850000006</v>
      </c>
      <c r="K40">
        <v>2110284.3339999998</v>
      </c>
      <c r="L40">
        <v>22.629868909999999</v>
      </c>
      <c r="M40">
        <v>0.93252167900000005</v>
      </c>
      <c r="N40">
        <v>-5.116662698741786</v>
      </c>
      <c r="O40">
        <v>6.0140302808993143E-3</v>
      </c>
    </row>
    <row r="41" spans="1:15" x14ac:dyDescent="0.3">
      <c r="A41">
        <v>2015</v>
      </c>
      <c r="B41">
        <v>59</v>
      </c>
      <c r="C41" t="s">
        <v>11</v>
      </c>
      <c r="D41">
        <v>13716</v>
      </c>
      <c r="E41">
        <v>2154665</v>
      </c>
      <c r="F41">
        <v>6.3660000000000001E-3</v>
      </c>
      <c r="G41">
        <v>0.99363400000000002</v>
      </c>
      <c r="H41">
        <v>92693.021609999996</v>
      </c>
      <c r="I41">
        <v>590.08000000000004</v>
      </c>
      <c r="J41">
        <v>92397.979720000003</v>
      </c>
      <c r="K41">
        <v>2017311.737</v>
      </c>
      <c r="L41">
        <v>21.763361490000001</v>
      </c>
      <c r="M41">
        <v>0.92693021600000003</v>
      </c>
      <c r="N41">
        <v>-5.0567839501222362</v>
      </c>
      <c r="O41">
        <v>6.3862859306280774E-3</v>
      </c>
    </row>
    <row r="42" spans="1:15" x14ac:dyDescent="0.3">
      <c r="A42">
        <v>2015</v>
      </c>
      <c r="B42">
        <v>60</v>
      </c>
      <c r="C42" t="s">
        <v>11</v>
      </c>
      <c r="D42">
        <v>14201</v>
      </c>
      <c r="E42">
        <v>2138784</v>
      </c>
      <c r="F42">
        <v>6.6400000000000001E-3</v>
      </c>
      <c r="G42">
        <v>0.99336000000000002</v>
      </c>
      <c r="H42">
        <v>92102.963539999997</v>
      </c>
      <c r="I42">
        <v>611.55999999999995</v>
      </c>
      <c r="J42">
        <v>91797.181700000001</v>
      </c>
      <c r="K42">
        <v>1924913.757</v>
      </c>
      <c r="L42">
        <v>20.89958545</v>
      </c>
      <c r="M42">
        <v>0.92102963500000001</v>
      </c>
      <c r="N42">
        <v>-5.0146433154937942</v>
      </c>
      <c r="O42">
        <v>6.6620773455105357E-3</v>
      </c>
    </row>
    <row r="43" spans="1:15" x14ac:dyDescent="0.3">
      <c r="A43">
        <v>2015</v>
      </c>
      <c r="B43">
        <v>61</v>
      </c>
      <c r="C43" t="s">
        <v>11</v>
      </c>
      <c r="D43">
        <v>14911</v>
      </c>
      <c r="E43">
        <v>2060944</v>
      </c>
      <c r="F43">
        <v>7.2350000000000001E-3</v>
      </c>
      <c r="G43">
        <v>0.99276500000000001</v>
      </c>
      <c r="H43">
        <v>91491.422500000001</v>
      </c>
      <c r="I43">
        <v>661.94</v>
      </c>
      <c r="J43">
        <v>91160.452279999998</v>
      </c>
      <c r="K43">
        <v>1833116.575</v>
      </c>
      <c r="L43">
        <v>20.035939160000002</v>
      </c>
      <c r="M43">
        <v>0.91491422499999997</v>
      </c>
      <c r="N43">
        <v>-4.9288249188986901</v>
      </c>
      <c r="O43">
        <v>7.2612629135978468E-3</v>
      </c>
    </row>
    <row r="44" spans="1:15" x14ac:dyDescent="0.3">
      <c r="A44">
        <v>2015</v>
      </c>
      <c r="B44">
        <v>62</v>
      </c>
      <c r="C44" t="s">
        <v>11</v>
      </c>
      <c r="D44">
        <v>15645</v>
      </c>
      <c r="E44">
        <v>1986021</v>
      </c>
      <c r="F44">
        <v>7.8779999999999996E-3</v>
      </c>
      <c r="G44">
        <v>0.99212199999999995</v>
      </c>
      <c r="H44">
        <v>90829.478940000001</v>
      </c>
      <c r="I44">
        <v>715.55</v>
      </c>
      <c r="J44">
        <v>90471.701620000007</v>
      </c>
      <c r="K44">
        <v>1741956.1229999999</v>
      </c>
      <c r="L44">
        <v>19.17831241</v>
      </c>
      <c r="M44">
        <v>0.90829478900000005</v>
      </c>
      <c r="N44">
        <v>-4.8436812144334231</v>
      </c>
      <c r="O44">
        <v>7.9091011797386354E-3</v>
      </c>
    </row>
    <row r="45" spans="1:15" x14ac:dyDescent="0.3">
      <c r="A45">
        <v>2015</v>
      </c>
      <c r="B45">
        <v>63</v>
      </c>
      <c r="C45" t="s">
        <v>11</v>
      </c>
      <c r="D45">
        <v>16212</v>
      </c>
      <c r="E45">
        <v>1909879</v>
      </c>
      <c r="F45">
        <v>8.4880000000000008E-3</v>
      </c>
      <c r="G45">
        <v>0.99151199999999995</v>
      </c>
      <c r="H45">
        <v>90113.964250000005</v>
      </c>
      <c r="I45">
        <v>764.89</v>
      </c>
      <c r="J45">
        <v>89731.52059</v>
      </c>
      <c r="K45">
        <v>1651484.4210000001</v>
      </c>
      <c r="L45">
        <v>18.326620460000001</v>
      </c>
      <c r="M45">
        <v>0.90113964300000005</v>
      </c>
      <c r="N45">
        <v>-4.7691018776704546</v>
      </c>
      <c r="O45">
        <v>8.5242084993562561E-3</v>
      </c>
    </row>
    <row r="46" spans="1:15" x14ac:dyDescent="0.3">
      <c r="A46">
        <v>2015</v>
      </c>
      <c r="B46">
        <v>64</v>
      </c>
      <c r="C46" t="s">
        <v>11</v>
      </c>
      <c r="D46">
        <v>16773</v>
      </c>
      <c r="E46">
        <v>1857069</v>
      </c>
      <c r="F46">
        <v>9.0320000000000001E-3</v>
      </c>
      <c r="G46">
        <v>0.99096799999999996</v>
      </c>
      <c r="H46">
        <v>89349.03224</v>
      </c>
      <c r="I46">
        <v>807</v>
      </c>
      <c r="J46">
        <v>88945.532009999995</v>
      </c>
      <c r="K46">
        <v>1561752.9010000001</v>
      </c>
      <c r="L46">
        <v>17.479236889999999</v>
      </c>
      <c r="M46">
        <v>0.893490322</v>
      </c>
      <c r="N46">
        <v>-4.7069814521347766</v>
      </c>
      <c r="O46">
        <v>9.0729682701931724E-3</v>
      </c>
    </row>
    <row r="47" spans="1:15" x14ac:dyDescent="0.3">
      <c r="A47">
        <v>2015</v>
      </c>
      <c r="B47">
        <v>65</v>
      </c>
      <c r="C47" t="s">
        <v>11</v>
      </c>
      <c r="D47">
        <v>17507</v>
      </c>
      <c r="E47">
        <v>1812107</v>
      </c>
      <c r="F47">
        <v>9.6609999999999994E-3</v>
      </c>
      <c r="G47">
        <v>0.99033899999999997</v>
      </c>
      <c r="H47">
        <v>88542.034050000002</v>
      </c>
      <c r="I47">
        <v>855.4</v>
      </c>
      <c r="J47">
        <v>88114.331749999998</v>
      </c>
      <c r="K47">
        <v>1472807.3689999999</v>
      </c>
      <c r="L47">
        <v>16.633990669999999</v>
      </c>
      <c r="M47">
        <v>0.885420341</v>
      </c>
      <c r="N47">
        <v>-4.639658116446765</v>
      </c>
      <c r="O47">
        <v>9.7078425097438231E-3</v>
      </c>
    </row>
    <row r="48" spans="1:15" x14ac:dyDescent="0.3">
      <c r="A48">
        <v>2015</v>
      </c>
      <c r="B48">
        <v>66</v>
      </c>
      <c r="C48" t="s">
        <v>11</v>
      </c>
      <c r="D48">
        <v>18684</v>
      </c>
      <c r="E48">
        <v>1760795</v>
      </c>
      <c r="F48">
        <v>1.0611000000000001E-2</v>
      </c>
      <c r="G48">
        <v>0.98938899999999996</v>
      </c>
      <c r="H48">
        <v>87686.618019999994</v>
      </c>
      <c r="I48">
        <v>930.44</v>
      </c>
      <c r="J48">
        <v>87221.396670000002</v>
      </c>
      <c r="K48">
        <v>1384693.037</v>
      </c>
      <c r="L48">
        <v>15.791383769999999</v>
      </c>
      <c r="M48">
        <v>0.87686618000000005</v>
      </c>
      <c r="N48">
        <v>-4.5458640800906833</v>
      </c>
      <c r="O48">
        <v>1.0667566558446787E-2</v>
      </c>
    </row>
    <row r="49" spans="1:15" x14ac:dyDescent="0.3">
      <c r="A49">
        <v>2015</v>
      </c>
      <c r="B49">
        <v>67</v>
      </c>
      <c r="C49" t="s">
        <v>11</v>
      </c>
      <c r="D49">
        <v>20246</v>
      </c>
      <c r="E49">
        <v>1741227</v>
      </c>
      <c r="F49">
        <v>1.1627E-2</v>
      </c>
      <c r="G49">
        <v>0.98837299999999995</v>
      </c>
      <c r="H49">
        <v>86756.165139999997</v>
      </c>
      <c r="I49">
        <v>1008.71</v>
      </c>
      <c r="J49">
        <v>86251.808170000004</v>
      </c>
      <c r="K49">
        <v>1297471.6399999999</v>
      </c>
      <c r="L49">
        <v>14.955382569999999</v>
      </c>
      <c r="M49">
        <v>0.86756165100000004</v>
      </c>
      <c r="N49">
        <v>-4.4544252992956661</v>
      </c>
      <c r="O49">
        <v>1.1694945774655428E-2</v>
      </c>
    </row>
    <row r="50" spans="1:15" x14ac:dyDescent="0.3">
      <c r="A50">
        <v>2015</v>
      </c>
      <c r="B50">
        <v>68</v>
      </c>
      <c r="C50" t="s">
        <v>11</v>
      </c>
      <c r="D50">
        <v>22174</v>
      </c>
      <c r="E50">
        <v>1812428</v>
      </c>
      <c r="F50">
        <v>1.2234E-2</v>
      </c>
      <c r="G50">
        <v>0.98776600000000003</v>
      </c>
      <c r="H50">
        <v>85747.413660000006</v>
      </c>
      <c r="I50">
        <v>1049.03</v>
      </c>
      <c r="J50">
        <v>85222.896729999993</v>
      </c>
      <c r="K50">
        <v>1211219.8319999999</v>
      </c>
      <c r="L50">
        <v>14.12543866</v>
      </c>
      <c r="M50">
        <v>0.85747413699999997</v>
      </c>
      <c r="N50">
        <v>-4.4035363181617635</v>
      </c>
      <c r="O50">
        <v>1.2309253268085298E-2</v>
      </c>
    </row>
    <row r="51" spans="1:15" x14ac:dyDescent="0.3">
      <c r="A51">
        <v>2015</v>
      </c>
      <c r="B51">
        <v>69</v>
      </c>
      <c r="C51" t="s">
        <v>11</v>
      </c>
      <c r="D51">
        <v>19241</v>
      </c>
      <c r="E51">
        <v>1344721</v>
      </c>
      <c r="F51">
        <v>1.4309000000000001E-2</v>
      </c>
      <c r="G51">
        <v>0.98569099999999998</v>
      </c>
      <c r="H51">
        <v>84698.344039999996</v>
      </c>
      <c r="I51">
        <v>1211.95</v>
      </c>
      <c r="J51">
        <v>84092.369739999995</v>
      </c>
      <c r="K51">
        <v>1125996.9350000001</v>
      </c>
      <c r="L51">
        <v>13.294202479999999</v>
      </c>
      <c r="M51">
        <v>0.84698344000000003</v>
      </c>
      <c r="N51">
        <v>-4.2468665690575387</v>
      </c>
      <c r="O51">
        <v>1.4412124734565166E-2</v>
      </c>
    </row>
    <row r="52" spans="1:15" x14ac:dyDescent="0.3">
      <c r="A52">
        <v>2015</v>
      </c>
      <c r="B52">
        <v>70</v>
      </c>
      <c r="C52" t="s">
        <v>11</v>
      </c>
      <c r="D52">
        <v>20339</v>
      </c>
      <c r="E52">
        <v>1329818</v>
      </c>
      <c r="F52">
        <v>1.5295E-2</v>
      </c>
      <c r="G52">
        <v>0.98470500000000005</v>
      </c>
      <c r="H52">
        <v>83486.434030000004</v>
      </c>
      <c r="I52">
        <v>1276.93</v>
      </c>
      <c r="J52">
        <v>82847.971529999995</v>
      </c>
      <c r="K52">
        <v>1041904.566</v>
      </c>
      <c r="L52">
        <v>12.479926559999999</v>
      </c>
      <c r="M52">
        <v>0.83486433999999998</v>
      </c>
      <c r="N52">
        <v>-4.1802293013792706</v>
      </c>
      <c r="O52">
        <v>1.5412926865082048E-2</v>
      </c>
    </row>
    <row r="53" spans="1:15" x14ac:dyDescent="0.3">
      <c r="A53">
        <v>2015</v>
      </c>
      <c r="B53">
        <v>71</v>
      </c>
      <c r="C53" t="s">
        <v>11</v>
      </c>
      <c r="D53">
        <v>22047</v>
      </c>
      <c r="E53">
        <v>1298089</v>
      </c>
      <c r="F53">
        <v>1.6983999999999999E-2</v>
      </c>
      <c r="G53">
        <v>0.983016</v>
      </c>
      <c r="H53">
        <v>82209.544569999998</v>
      </c>
      <c r="I53">
        <v>1396.25</v>
      </c>
      <c r="J53">
        <v>81511.421119999999</v>
      </c>
      <c r="K53">
        <v>959056.59400000004</v>
      </c>
      <c r="L53">
        <v>11.66600057</v>
      </c>
      <c r="M53">
        <v>0.82209544599999995</v>
      </c>
      <c r="N53">
        <v>-4.0754835545811821</v>
      </c>
      <c r="O53">
        <v>1.7129503079525807E-2</v>
      </c>
    </row>
    <row r="54" spans="1:15" x14ac:dyDescent="0.3">
      <c r="A54">
        <v>2015</v>
      </c>
      <c r="B54">
        <v>72</v>
      </c>
      <c r="C54" t="s">
        <v>11</v>
      </c>
      <c r="D54">
        <v>24821</v>
      </c>
      <c r="E54">
        <v>1328954</v>
      </c>
      <c r="F54">
        <v>1.8676999999999999E-2</v>
      </c>
      <c r="G54">
        <v>0.98132299999999995</v>
      </c>
      <c r="H54">
        <v>80813.281430000003</v>
      </c>
      <c r="I54">
        <v>1509.35</v>
      </c>
      <c r="J54">
        <v>80058.606599999999</v>
      </c>
      <c r="K54">
        <v>877545.17290000001</v>
      </c>
      <c r="L54">
        <v>10.858922659999999</v>
      </c>
      <c r="M54">
        <v>0.80813281400000003</v>
      </c>
      <c r="N54">
        <v>-3.9804624586506669</v>
      </c>
      <c r="O54">
        <v>1.885306447866034E-2</v>
      </c>
    </row>
    <row r="55" spans="1:15" x14ac:dyDescent="0.3">
      <c r="A55">
        <v>2015</v>
      </c>
      <c r="B55">
        <v>73</v>
      </c>
      <c r="C55" t="s">
        <v>11</v>
      </c>
      <c r="D55">
        <v>23855</v>
      </c>
      <c r="E55">
        <v>1162411</v>
      </c>
      <c r="F55">
        <v>2.0521999999999999E-2</v>
      </c>
      <c r="G55">
        <v>0.97947799999999996</v>
      </c>
      <c r="H55">
        <v>79303.924100000004</v>
      </c>
      <c r="I55">
        <v>1627.48</v>
      </c>
      <c r="J55">
        <v>78490.186530000006</v>
      </c>
      <c r="K55">
        <v>797486.56629999995</v>
      </c>
      <c r="L55">
        <v>10.05607951</v>
      </c>
      <c r="M55">
        <v>0.79303924100000001</v>
      </c>
      <c r="N55">
        <v>-3.8862577975421195</v>
      </c>
      <c r="O55">
        <v>2.0734821420140496E-2</v>
      </c>
    </row>
    <row r="56" spans="1:15" x14ac:dyDescent="0.3">
      <c r="A56">
        <v>2015</v>
      </c>
      <c r="B56">
        <v>74</v>
      </c>
      <c r="C56" t="s">
        <v>11</v>
      </c>
      <c r="D56">
        <v>23755</v>
      </c>
      <c r="E56">
        <v>1067619</v>
      </c>
      <c r="F56">
        <v>2.2249999999999999E-2</v>
      </c>
      <c r="G56">
        <v>0.97775000000000001</v>
      </c>
      <c r="H56">
        <v>77676.448869999993</v>
      </c>
      <c r="I56">
        <v>1728.3</v>
      </c>
      <c r="J56">
        <v>76812.298379999993</v>
      </c>
      <c r="K56">
        <v>718996.37970000005</v>
      </c>
      <c r="L56">
        <v>9.2562982760000008</v>
      </c>
      <c r="M56">
        <v>0.77676448899999995</v>
      </c>
      <c r="N56">
        <v>-3.805413270369888</v>
      </c>
      <c r="O56">
        <v>2.2500308247095223E-2</v>
      </c>
    </row>
    <row r="57" spans="1:15" x14ac:dyDescent="0.3">
      <c r="A57">
        <v>2015</v>
      </c>
      <c r="B57">
        <v>75</v>
      </c>
      <c r="C57" t="s">
        <v>11</v>
      </c>
      <c r="D57">
        <v>24903</v>
      </c>
      <c r="E57">
        <v>1010164</v>
      </c>
      <c r="F57">
        <v>2.4652E-2</v>
      </c>
      <c r="G57">
        <v>0.97534799999999999</v>
      </c>
      <c r="H57">
        <v>75948.113159999994</v>
      </c>
      <c r="I57">
        <v>1872.27</v>
      </c>
      <c r="J57">
        <v>75011.976720000006</v>
      </c>
      <c r="K57">
        <v>642184.08140000002</v>
      </c>
      <c r="L57">
        <v>8.4555633399999994</v>
      </c>
      <c r="M57">
        <v>0.759481132</v>
      </c>
      <c r="N57">
        <v>-3.7028972458821405</v>
      </c>
      <c r="O57">
        <v>2.4959619676138453E-2</v>
      </c>
    </row>
    <row r="58" spans="1:15" x14ac:dyDescent="0.3">
      <c r="A58">
        <v>2015</v>
      </c>
      <c r="B58">
        <v>76</v>
      </c>
      <c r="C58" t="s">
        <v>11</v>
      </c>
      <c r="D58">
        <v>25854</v>
      </c>
      <c r="E58">
        <v>947283</v>
      </c>
      <c r="F58">
        <v>2.7293000000000001E-2</v>
      </c>
      <c r="G58">
        <v>0.97270699999999999</v>
      </c>
      <c r="H58">
        <v>74075.807419999997</v>
      </c>
      <c r="I58">
        <v>2021.75</v>
      </c>
      <c r="J58">
        <v>73064.931909999999</v>
      </c>
      <c r="K58">
        <v>567172.10470000003</v>
      </c>
      <c r="L58">
        <v>7.6566442459999999</v>
      </c>
      <c r="M58">
        <v>0.74075807400000004</v>
      </c>
      <c r="N58">
        <v>-3.6011250199263634</v>
      </c>
      <c r="O58">
        <v>2.7670590201905654E-2</v>
      </c>
    </row>
    <row r="59" spans="1:15" x14ac:dyDescent="0.3">
      <c r="A59">
        <v>2015</v>
      </c>
      <c r="B59">
        <v>77</v>
      </c>
      <c r="C59" t="s">
        <v>11</v>
      </c>
      <c r="D59">
        <v>27548</v>
      </c>
      <c r="E59">
        <v>910536</v>
      </c>
      <c r="F59">
        <v>3.0255000000000001E-2</v>
      </c>
      <c r="G59">
        <v>0.96974499999999997</v>
      </c>
      <c r="H59">
        <v>72054.071649999998</v>
      </c>
      <c r="I59">
        <v>2180</v>
      </c>
      <c r="J59">
        <v>70964.073680000001</v>
      </c>
      <c r="K59">
        <v>494107.1727</v>
      </c>
      <c r="L59">
        <v>6.85744971</v>
      </c>
      <c r="M59">
        <v>0.720540717</v>
      </c>
      <c r="N59">
        <v>-3.4980938189078521</v>
      </c>
      <c r="O59">
        <v>3.0719765127024734E-2</v>
      </c>
    </row>
    <row r="60" spans="1:15" x14ac:dyDescent="0.3">
      <c r="A60">
        <v>2015</v>
      </c>
      <c r="B60">
        <v>78</v>
      </c>
      <c r="C60" t="s">
        <v>11</v>
      </c>
      <c r="D60">
        <v>28172</v>
      </c>
      <c r="E60">
        <v>840960</v>
      </c>
      <c r="F60">
        <v>3.3500000000000002E-2</v>
      </c>
      <c r="G60">
        <v>0.96650000000000003</v>
      </c>
      <c r="H60">
        <v>69874.096810000003</v>
      </c>
      <c r="I60">
        <v>2340.7800000000002</v>
      </c>
      <c r="J60">
        <v>68703.705690000003</v>
      </c>
      <c r="K60">
        <v>423143.09909999999</v>
      </c>
      <c r="L60">
        <v>6.0557934680000001</v>
      </c>
      <c r="M60">
        <v>0.69874096799999996</v>
      </c>
      <c r="N60">
        <v>-3.396209840151116</v>
      </c>
      <c r="O60">
        <v>3.4070648010784819E-2</v>
      </c>
    </row>
    <row r="61" spans="1:15" x14ac:dyDescent="0.3">
      <c r="A61">
        <v>2015</v>
      </c>
      <c r="B61">
        <v>79</v>
      </c>
      <c r="C61" t="s">
        <v>11</v>
      </c>
      <c r="D61">
        <v>30209</v>
      </c>
      <c r="E61">
        <v>803984</v>
      </c>
      <c r="F61">
        <v>3.7574000000000003E-2</v>
      </c>
      <c r="G61">
        <v>0.962426</v>
      </c>
      <c r="H61">
        <v>67533.327860000005</v>
      </c>
      <c r="I61">
        <v>2537.5</v>
      </c>
      <c r="J61">
        <v>66264.579230000003</v>
      </c>
      <c r="K61">
        <v>354439.3934</v>
      </c>
      <c r="L61">
        <v>5.2483626169999997</v>
      </c>
      <c r="M61">
        <v>0.67533327899999995</v>
      </c>
      <c r="N61">
        <v>-3.2814429571370298</v>
      </c>
      <c r="O61">
        <v>3.8293462337671232E-2</v>
      </c>
    </row>
    <row r="62" spans="1:15" x14ac:dyDescent="0.3">
      <c r="A62">
        <v>2015</v>
      </c>
      <c r="B62">
        <v>80</v>
      </c>
      <c r="C62" t="s">
        <v>11</v>
      </c>
      <c r="D62">
        <v>32182</v>
      </c>
      <c r="E62">
        <v>772956</v>
      </c>
      <c r="F62">
        <v>4.1634999999999998E-2</v>
      </c>
      <c r="G62">
        <v>0.95836500000000002</v>
      </c>
      <c r="H62">
        <v>64995.821770000002</v>
      </c>
      <c r="I62">
        <v>2706.1</v>
      </c>
      <c r="J62">
        <v>63642.771249999998</v>
      </c>
      <c r="K62">
        <v>288174.81410000002</v>
      </c>
      <c r="L62">
        <v>4.4337436820000002</v>
      </c>
      <c r="M62">
        <v>0.64995821799999998</v>
      </c>
      <c r="N62">
        <v>-3.1788141192943544</v>
      </c>
      <c r="O62">
        <v>4.2520146524189228E-2</v>
      </c>
    </row>
    <row r="63" spans="1:15" x14ac:dyDescent="0.3">
      <c r="A63">
        <v>2015</v>
      </c>
      <c r="B63">
        <v>81</v>
      </c>
      <c r="C63" t="s">
        <v>11</v>
      </c>
      <c r="D63">
        <v>32253</v>
      </c>
      <c r="E63">
        <v>693056</v>
      </c>
      <c r="F63">
        <v>4.6537000000000002E-2</v>
      </c>
      <c r="G63">
        <v>0.95346299999999995</v>
      </c>
      <c r="H63">
        <v>62289.722670000003</v>
      </c>
      <c r="I63">
        <v>2898.78</v>
      </c>
      <c r="J63">
        <v>60840.334260000003</v>
      </c>
      <c r="K63">
        <v>224532.0429</v>
      </c>
      <c r="L63">
        <v>3.6046402720000001</v>
      </c>
      <c r="M63">
        <v>0.62289722700000005</v>
      </c>
      <c r="N63">
        <v>-3.0675075838646562</v>
      </c>
      <c r="O63">
        <v>4.7645703742253756E-2</v>
      </c>
    </row>
    <row r="64" spans="1:15" x14ac:dyDescent="0.3">
      <c r="A64">
        <v>2015</v>
      </c>
      <c r="B64">
        <v>82</v>
      </c>
      <c r="C64" t="s">
        <v>11</v>
      </c>
      <c r="D64">
        <v>35303</v>
      </c>
      <c r="E64">
        <v>671319</v>
      </c>
      <c r="F64">
        <v>5.2588000000000003E-2</v>
      </c>
      <c r="G64">
        <v>0.94741200000000003</v>
      </c>
      <c r="H64">
        <v>59390.923110000003</v>
      </c>
      <c r="I64">
        <v>3123.25</v>
      </c>
      <c r="J64">
        <v>57829.298179999998</v>
      </c>
      <c r="K64">
        <v>163691.70860000001</v>
      </c>
      <c r="L64">
        <v>2.7561738400000002</v>
      </c>
      <c r="M64">
        <v>0.59390923100000004</v>
      </c>
      <c r="N64">
        <v>-2.945267322147779</v>
      </c>
      <c r="O64">
        <v>5.4008077660271006E-2</v>
      </c>
    </row>
    <row r="65" spans="1:15" x14ac:dyDescent="0.3">
      <c r="A65">
        <v>2015</v>
      </c>
      <c r="B65">
        <v>83</v>
      </c>
      <c r="C65" t="s">
        <v>11</v>
      </c>
      <c r="D65">
        <v>37496</v>
      </c>
      <c r="E65">
        <v>640387</v>
      </c>
      <c r="F65">
        <v>5.8552E-2</v>
      </c>
      <c r="G65">
        <v>0.94144799999999995</v>
      </c>
      <c r="H65">
        <v>56267.701869999997</v>
      </c>
      <c r="I65">
        <v>3294.59</v>
      </c>
      <c r="J65">
        <v>54620.408629999998</v>
      </c>
      <c r="K65">
        <v>105862.4105</v>
      </c>
      <c r="L65">
        <v>1.8814063299999999</v>
      </c>
      <c r="M65">
        <v>0.562677019</v>
      </c>
      <c r="N65">
        <v>-2.837840030683211</v>
      </c>
      <c r="O65">
        <v>6.0317933213575141E-2</v>
      </c>
    </row>
    <row r="66" spans="1:15" x14ac:dyDescent="0.3">
      <c r="A66">
        <v>2015</v>
      </c>
      <c r="B66">
        <v>84</v>
      </c>
      <c r="C66" t="s">
        <v>11</v>
      </c>
      <c r="D66">
        <v>39800</v>
      </c>
      <c r="E66">
        <v>608958</v>
      </c>
      <c r="F66">
        <v>6.5357999999999999E-2</v>
      </c>
      <c r="G66">
        <v>0.93464199999999997</v>
      </c>
      <c r="H66">
        <v>52973.110090000002</v>
      </c>
      <c r="I66">
        <v>3462.22</v>
      </c>
      <c r="J66">
        <v>51242.001830000001</v>
      </c>
      <c r="K66">
        <v>51242.001830000001</v>
      </c>
      <c r="L66">
        <v>0.96732099999999999</v>
      </c>
      <c r="M66">
        <v>0.52973110099999998</v>
      </c>
      <c r="N66">
        <v>-2.7278754286537734</v>
      </c>
      <c r="O66">
        <v>4.526573327773805E-2</v>
      </c>
    </row>
    <row r="67" spans="1:15" x14ac:dyDescent="0.3">
      <c r="A67">
        <v>2015</v>
      </c>
      <c r="B67">
        <v>20</v>
      </c>
      <c r="C67" t="s">
        <v>12</v>
      </c>
      <c r="D67">
        <v>2500</v>
      </c>
      <c r="E67">
        <v>2240373</v>
      </c>
      <c r="F67">
        <v>1.116E-3</v>
      </c>
      <c r="G67">
        <v>0.99888399999999999</v>
      </c>
      <c r="H67">
        <v>100000</v>
      </c>
      <c r="I67">
        <v>111.6</v>
      </c>
      <c r="J67">
        <v>99944.2</v>
      </c>
      <c r="K67">
        <v>5501048.7180000003</v>
      </c>
      <c r="L67">
        <v>55.010487179999998</v>
      </c>
      <c r="M67">
        <v>1</v>
      </c>
      <c r="N67">
        <v>-6.7980044150230174</v>
      </c>
      <c r="O67">
        <v>1.1166230117697312E-3</v>
      </c>
    </row>
    <row r="68" spans="1:15" x14ac:dyDescent="0.3">
      <c r="A68">
        <v>2015</v>
      </c>
      <c r="B68">
        <v>21</v>
      </c>
      <c r="C68" t="s">
        <v>12</v>
      </c>
      <c r="D68">
        <v>2851</v>
      </c>
      <c r="E68">
        <v>2290006</v>
      </c>
      <c r="F68">
        <v>1.245E-3</v>
      </c>
      <c r="G68">
        <v>0.99875499999999995</v>
      </c>
      <c r="H68">
        <v>99888.411439999996</v>
      </c>
      <c r="I68">
        <v>124.36</v>
      </c>
      <c r="J68">
        <v>99826.230899999995</v>
      </c>
      <c r="K68">
        <v>5401104.5180000002</v>
      </c>
      <c r="L68">
        <v>54.071382659999998</v>
      </c>
      <c r="M68">
        <v>0.99888411399999999</v>
      </c>
      <c r="N68">
        <v>-6.6886197490654657</v>
      </c>
      <c r="O68">
        <v>1.2457647385399307E-3</v>
      </c>
    </row>
    <row r="69" spans="1:15" x14ac:dyDescent="0.3">
      <c r="A69">
        <v>2015</v>
      </c>
      <c r="B69">
        <v>22</v>
      </c>
      <c r="C69" t="s">
        <v>12</v>
      </c>
      <c r="D69">
        <v>3134</v>
      </c>
      <c r="E69">
        <v>2331696</v>
      </c>
      <c r="F69">
        <v>1.3439999999999999E-3</v>
      </c>
      <c r="G69">
        <v>0.99865599999999999</v>
      </c>
      <c r="H69">
        <v>99764.05287</v>
      </c>
      <c r="I69">
        <v>134.08000000000001</v>
      </c>
      <c r="J69">
        <v>99697.011429999999</v>
      </c>
      <c r="K69">
        <v>5301278.2869999995</v>
      </c>
      <c r="L69">
        <v>53.138160839999998</v>
      </c>
      <c r="M69">
        <v>0.997640529</v>
      </c>
      <c r="N69">
        <v>-6.6121050368811796</v>
      </c>
      <c r="O69">
        <v>1.3448748749141678E-3</v>
      </c>
    </row>
    <row r="70" spans="1:15" x14ac:dyDescent="0.3">
      <c r="A70">
        <v>2015</v>
      </c>
      <c r="B70">
        <v>23</v>
      </c>
      <c r="C70" t="s">
        <v>12</v>
      </c>
      <c r="D70">
        <v>3251</v>
      </c>
      <c r="E70">
        <v>2387842</v>
      </c>
      <c r="F70">
        <v>1.361E-3</v>
      </c>
      <c r="G70">
        <v>0.99863900000000005</v>
      </c>
      <c r="H70">
        <v>99629.9614</v>
      </c>
      <c r="I70">
        <v>135.6</v>
      </c>
      <c r="J70">
        <v>99562.163209999999</v>
      </c>
      <c r="K70">
        <v>5201581.2759999996</v>
      </c>
      <c r="L70">
        <v>52.20900623</v>
      </c>
      <c r="M70">
        <v>0.996299614</v>
      </c>
      <c r="N70">
        <v>-6.5995355553128077</v>
      </c>
      <c r="O70">
        <v>1.3619635031328564E-3</v>
      </c>
    </row>
    <row r="71" spans="1:15" x14ac:dyDescent="0.3">
      <c r="A71">
        <v>2015</v>
      </c>
      <c r="B71">
        <v>24</v>
      </c>
      <c r="C71" t="s">
        <v>12</v>
      </c>
      <c r="D71">
        <v>3423</v>
      </c>
      <c r="E71">
        <v>2417937</v>
      </c>
      <c r="F71">
        <v>1.4159999999999999E-3</v>
      </c>
      <c r="G71">
        <v>0.99858400000000003</v>
      </c>
      <c r="H71">
        <v>99494.317169999995</v>
      </c>
      <c r="I71">
        <v>140.88</v>
      </c>
      <c r="J71">
        <v>99423.875190000006</v>
      </c>
      <c r="K71">
        <v>5102019.1119999997</v>
      </c>
      <c r="L71">
        <v>51.279502770000001</v>
      </c>
      <c r="M71">
        <v>0.99494317200000004</v>
      </c>
      <c r="N71">
        <v>-6.5599192837106095</v>
      </c>
      <c r="O71">
        <v>1.4169632439188886E-3</v>
      </c>
    </row>
    <row r="72" spans="1:15" x14ac:dyDescent="0.3">
      <c r="A72">
        <v>2015</v>
      </c>
      <c r="B72">
        <v>25</v>
      </c>
      <c r="C72" t="s">
        <v>12</v>
      </c>
      <c r="D72">
        <v>3471</v>
      </c>
      <c r="E72">
        <v>2407515</v>
      </c>
      <c r="F72">
        <v>1.4419999999999999E-3</v>
      </c>
      <c r="G72">
        <v>0.99855799999999995</v>
      </c>
      <c r="H72">
        <v>99353.466079999998</v>
      </c>
      <c r="I72">
        <v>143.27000000000001</v>
      </c>
      <c r="J72">
        <v>99281.83223</v>
      </c>
      <c r="K72">
        <v>5002595.2369999997</v>
      </c>
      <c r="L72">
        <v>50.351491850000002</v>
      </c>
      <c r="M72">
        <v>0.99353466099999999</v>
      </c>
      <c r="N72">
        <v>-6.5417242401193798</v>
      </c>
      <c r="O72">
        <v>1.443063426813498E-3</v>
      </c>
    </row>
    <row r="73" spans="1:15" x14ac:dyDescent="0.3">
      <c r="A73">
        <v>2015</v>
      </c>
      <c r="B73">
        <v>26</v>
      </c>
      <c r="C73" t="s">
        <v>12</v>
      </c>
      <c r="D73">
        <v>3296</v>
      </c>
      <c r="E73">
        <v>2310983</v>
      </c>
      <c r="F73">
        <v>1.426E-3</v>
      </c>
      <c r="G73">
        <v>0.99857399999999996</v>
      </c>
      <c r="H73">
        <v>99210.224660000007</v>
      </c>
      <c r="I73">
        <v>141.47</v>
      </c>
      <c r="J73">
        <v>99139.487770000007</v>
      </c>
      <c r="K73">
        <v>4903313.4050000003</v>
      </c>
      <c r="L73">
        <v>49.423468419999999</v>
      </c>
      <c r="M73">
        <v>0.99210224700000005</v>
      </c>
      <c r="N73">
        <v>-6.5528819569900332</v>
      </c>
      <c r="O73">
        <v>1.426979497987254E-3</v>
      </c>
    </row>
    <row r="74" spans="1:15" x14ac:dyDescent="0.3">
      <c r="A74">
        <v>2015</v>
      </c>
      <c r="B74">
        <v>27</v>
      </c>
      <c r="C74" t="s">
        <v>12</v>
      </c>
      <c r="D74">
        <v>3412</v>
      </c>
      <c r="E74">
        <v>2254603</v>
      </c>
      <c r="F74">
        <v>1.513E-3</v>
      </c>
      <c r="G74">
        <v>0.99848700000000001</v>
      </c>
      <c r="H74">
        <v>99068.727769999998</v>
      </c>
      <c r="I74">
        <v>149.88999999999999</v>
      </c>
      <c r="J74">
        <v>98993.782279999999</v>
      </c>
      <c r="K74">
        <v>4804173.9170000004</v>
      </c>
      <c r="L74">
        <v>48.493344219999997</v>
      </c>
      <c r="M74">
        <v>0.990687278</v>
      </c>
      <c r="N74">
        <v>-6.4936608441759178</v>
      </c>
      <c r="O74">
        <v>1.514135763775506E-3</v>
      </c>
    </row>
    <row r="75" spans="1:15" x14ac:dyDescent="0.3">
      <c r="A75">
        <v>2015</v>
      </c>
      <c r="B75">
        <v>28</v>
      </c>
      <c r="C75" t="s">
        <v>12</v>
      </c>
      <c r="D75">
        <v>3364</v>
      </c>
      <c r="E75">
        <v>2214738</v>
      </c>
      <c r="F75">
        <v>1.519E-3</v>
      </c>
      <c r="G75">
        <v>0.99848099999999995</v>
      </c>
      <c r="H75">
        <v>98918.802259999997</v>
      </c>
      <c r="I75">
        <v>150.26</v>
      </c>
      <c r="J75">
        <v>98843.673429999995</v>
      </c>
      <c r="K75">
        <v>4705180.1349999998</v>
      </c>
      <c r="L75">
        <v>47.566084779999997</v>
      </c>
      <c r="M75">
        <v>0.98918802299999997</v>
      </c>
      <c r="N75">
        <v>-6.4897030553685013</v>
      </c>
      <c r="O75">
        <v>1.5201781604370233E-3</v>
      </c>
    </row>
    <row r="76" spans="1:15" x14ac:dyDescent="0.3">
      <c r="A76">
        <v>2015</v>
      </c>
      <c r="B76">
        <v>29</v>
      </c>
      <c r="C76" t="s">
        <v>12</v>
      </c>
      <c r="D76">
        <v>3630</v>
      </c>
      <c r="E76">
        <v>2221560</v>
      </c>
      <c r="F76">
        <v>1.634E-3</v>
      </c>
      <c r="G76">
        <v>0.99836599999999998</v>
      </c>
      <c r="H76">
        <v>98768.552960000001</v>
      </c>
      <c r="I76">
        <v>161.38999999999999</v>
      </c>
      <c r="J76">
        <v>98687.859049999999</v>
      </c>
      <c r="K76">
        <v>4606336.4620000003</v>
      </c>
      <c r="L76">
        <v>46.637682980000001</v>
      </c>
      <c r="M76">
        <v>0.98768553000000003</v>
      </c>
      <c r="N76">
        <v>-6.416724282544326</v>
      </c>
      <c r="O76">
        <v>1.6353581939945222E-3</v>
      </c>
    </row>
    <row r="77" spans="1:15" x14ac:dyDescent="0.3">
      <c r="A77">
        <v>2015</v>
      </c>
      <c r="B77">
        <v>30</v>
      </c>
      <c r="C77" t="s">
        <v>12</v>
      </c>
      <c r="D77">
        <v>3506</v>
      </c>
      <c r="E77">
        <v>2231463</v>
      </c>
      <c r="F77">
        <v>1.5709999999999999E-3</v>
      </c>
      <c r="G77">
        <v>0.99842900000000001</v>
      </c>
      <c r="H77">
        <v>98607.166429999997</v>
      </c>
      <c r="I77">
        <v>154.91</v>
      </c>
      <c r="J77">
        <v>98529.710500000001</v>
      </c>
      <c r="K77">
        <v>4507648.6030000001</v>
      </c>
      <c r="L77">
        <v>45.71319475</v>
      </c>
      <c r="M77">
        <v>0.98607166400000001</v>
      </c>
      <c r="N77">
        <v>-6.4560429197086533</v>
      </c>
      <c r="O77">
        <v>1.5722162596620588E-3</v>
      </c>
    </row>
    <row r="78" spans="1:15" x14ac:dyDescent="0.3">
      <c r="A78">
        <v>2015</v>
      </c>
      <c r="B78">
        <v>31</v>
      </c>
      <c r="C78" t="s">
        <v>12</v>
      </c>
      <c r="D78">
        <v>3575</v>
      </c>
      <c r="E78">
        <v>2152765</v>
      </c>
      <c r="F78">
        <v>1.6609999999999999E-3</v>
      </c>
      <c r="G78">
        <v>0.99833899999999998</v>
      </c>
      <c r="H78">
        <v>98452.238150000005</v>
      </c>
      <c r="I78">
        <v>163.53</v>
      </c>
      <c r="J78">
        <v>98370.473570000002</v>
      </c>
      <c r="K78">
        <v>4409118.892</v>
      </c>
      <c r="L78">
        <v>44.784343909999997</v>
      </c>
      <c r="M78">
        <v>0.98452238199999997</v>
      </c>
      <c r="N78">
        <v>-6.4003354483509796</v>
      </c>
      <c r="O78">
        <v>1.6623887823033734E-3</v>
      </c>
    </row>
    <row r="79" spans="1:15" x14ac:dyDescent="0.3">
      <c r="A79">
        <v>2015</v>
      </c>
      <c r="B79">
        <v>32</v>
      </c>
      <c r="C79" t="s">
        <v>12</v>
      </c>
      <c r="D79">
        <v>3738</v>
      </c>
      <c r="E79">
        <v>2181163</v>
      </c>
      <c r="F79">
        <v>1.714E-3</v>
      </c>
      <c r="G79">
        <v>0.99828600000000001</v>
      </c>
      <c r="H79">
        <v>98288.74295</v>
      </c>
      <c r="I79">
        <v>168.47</v>
      </c>
      <c r="J79">
        <v>98204.5095</v>
      </c>
      <c r="K79">
        <v>4310748.4179999996</v>
      </c>
      <c r="L79">
        <v>43.858007430000001</v>
      </c>
      <c r="M79">
        <v>0.98288743000000001</v>
      </c>
      <c r="N79">
        <v>-6.3689254588065491</v>
      </c>
      <c r="O79">
        <v>1.7155014674781865E-3</v>
      </c>
    </row>
    <row r="80" spans="1:15" x14ac:dyDescent="0.3">
      <c r="A80">
        <v>2015</v>
      </c>
      <c r="B80">
        <v>33</v>
      </c>
      <c r="C80" t="s">
        <v>12</v>
      </c>
      <c r="D80">
        <v>3832</v>
      </c>
      <c r="E80">
        <v>2175631</v>
      </c>
      <c r="F80">
        <v>1.761E-3</v>
      </c>
      <c r="G80">
        <v>0.99823899999999999</v>
      </c>
      <c r="H80">
        <v>98120.299180000002</v>
      </c>
      <c r="I80">
        <v>172.79</v>
      </c>
      <c r="J80">
        <v>98033.904259999996</v>
      </c>
      <c r="K80">
        <v>4212543.909</v>
      </c>
      <c r="L80">
        <v>42.932440530000001</v>
      </c>
      <c r="M80">
        <v>0.98120299200000005</v>
      </c>
      <c r="N80">
        <v>-6.3418734494680677</v>
      </c>
      <c r="O80">
        <v>1.7625537785259664E-3</v>
      </c>
    </row>
    <row r="81" spans="1:15" x14ac:dyDescent="0.3">
      <c r="A81">
        <v>2015</v>
      </c>
      <c r="B81">
        <v>34</v>
      </c>
      <c r="C81" t="s">
        <v>12</v>
      </c>
      <c r="D81">
        <v>3957</v>
      </c>
      <c r="E81">
        <v>2148717</v>
      </c>
      <c r="F81">
        <v>1.8420000000000001E-3</v>
      </c>
      <c r="G81">
        <v>0.99815799999999999</v>
      </c>
      <c r="H81">
        <v>97947.477140000003</v>
      </c>
      <c r="I81">
        <v>180.42</v>
      </c>
      <c r="J81">
        <v>97857.267510000005</v>
      </c>
      <c r="K81">
        <v>4114510.0049999999</v>
      </c>
      <c r="L81">
        <v>42.007309679999999</v>
      </c>
      <c r="M81">
        <v>0.97947477100000002</v>
      </c>
      <c r="N81">
        <v>-6.2969033411490223</v>
      </c>
      <c r="O81">
        <v>1.8437052783888048E-3</v>
      </c>
    </row>
    <row r="82" spans="1:15" x14ac:dyDescent="0.3">
      <c r="A82">
        <v>2015</v>
      </c>
      <c r="B82">
        <v>35</v>
      </c>
      <c r="C82" t="s">
        <v>12</v>
      </c>
      <c r="D82">
        <v>4026</v>
      </c>
      <c r="E82">
        <v>2199270</v>
      </c>
      <c r="F82">
        <v>1.8309999999999999E-3</v>
      </c>
      <c r="G82">
        <v>0.99816899999999997</v>
      </c>
      <c r="H82">
        <v>97767.100579999998</v>
      </c>
      <c r="I82">
        <v>179.01</v>
      </c>
      <c r="J82">
        <v>97677.594800000006</v>
      </c>
      <c r="K82">
        <v>4016652.7370000002</v>
      </c>
      <c r="L82">
        <v>41.083889300000003</v>
      </c>
      <c r="M82">
        <v>0.97767100600000001</v>
      </c>
      <c r="N82">
        <v>-6.3028930132897631</v>
      </c>
      <c r="O82">
        <v>1.8326614736752949E-3</v>
      </c>
    </row>
    <row r="83" spans="1:15" x14ac:dyDescent="0.3">
      <c r="A83">
        <v>2015</v>
      </c>
      <c r="B83">
        <v>36</v>
      </c>
      <c r="C83" t="s">
        <v>12</v>
      </c>
      <c r="D83">
        <v>3949</v>
      </c>
      <c r="E83">
        <v>2053297</v>
      </c>
      <c r="F83">
        <v>1.923E-3</v>
      </c>
      <c r="G83">
        <v>0.99807699999999999</v>
      </c>
      <c r="H83">
        <v>97588.127399999998</v>
      </c>
      <c r="I83">
        <v>187.66</v>
      </c>
      <c r="J83">
        <v>97494.296419999999</v>
      </c>
      <c r="K83">
        <v>3918975.142</v>
      </c>
      <c r="L83">
        <v>40.158318909999998</v>
      </c>
      <c r="M83">
        <v>0.97588127400000002</v>
      </c>
      <c r="N83">
        <v>-6.2538688123754946</v>
      </c>
      <c r="O83">
        <v>1.92483078723416E-3</v>
      </c>
    </row>
    <row r="84" spans="1:15" x14ac:dyDescent="0.3">
      <c r="A84">
        <v>2015</v>
      </c>
      <c r="B84">
        <v>37</v>
      </c>
      <c r="C84" t="s">
        <v>12</v>
      </c>
      <c r="D84">
        <v>4015</v>
      </c>
      <c r="E84">
        <v>2010463</v>
      </c>
      <c r="F84">
        <v>1.9970000000000001E-3</v>
      </c>
      <c r="G84">
        <v>0.99800299999999997</v>
      </c>
      <c r="H84">
        <v>97400.441200000001</v>
      </c>
      <c r="I84">
        <v>194.51</v>
      </c>
      <c r="J84">
        <v>97303.186860000002</v>
      </c>
      <c r="K84">
        <v>3821480.8459999999</v>
      </c>
      <c r="L84">
        <v>39.234738559999997</v>
      </c>
      <c r="M84">
        <v>0.97400441199999999</v>
      </c>
      <c r="N84">
        <v>-6.2161092245484593</v>
      </c>
      <c r="O84">
        <v>1.9990096047658836E-3</v>
      </c>
    </row>
    <row r="85" spans="1:15" x14ac:dyDescent="0.3">
      <c r="A85">
        <v>2015</v>
      </c>
      <c r="B85">
        <v>38</v>
      </c>
      <c r="C85" t="s">
        <v>12</v>
      </c>
      <c r="D85">
        <v>4058</v>
      </c>
      <c r="E85">
        <v>1983816</v>
      </c>
      <c r="F85">
        <v>2.0460000000000001E-3</v>
      </c>
      <c r="G85">
        <v>0.99795400000000001</v>
      </c>
      <c r="H85">
        <v>97205.927410000004</v>
      </c>
      <c r="I85">
        <v>198.88</v>
      </c>
      <c r="J85">
        <v>97106.485750000007</v>
      </c>
      <c r="K85">
        <v>3724177.659</v>
      </c>
      <c r="L85">
        <v>38.312248629999999</v>
      </c>
      <c r="M85">
        <v>0.97205927400000003</v>
      </c>
      <c r="N85">
        <v>-6.1918686114527022</v>
      </c>
      <c r="O85">
        <v>2.0480604763819799E-3</v>
      </c>
    </row>
    <row r="86" spans="1:15" x14ac:dyDescent="0.3">
      <c r="A86">
        <v>2015</v>
      </c>
      <c r="B86">
        <v>39</v>
      </c>
      <c r="C86" t="s">
        <v>12</v>
      </c>
      <c r="D86">
        <v>4142</v>
      </c>
      <c r="E86">
        <v>1926578</v>
      </c>
      <c r="F86">
        <v>2.15E-3</v>
      </c>
      <c r="G86">
        <v>0.99785000000000001</v>
      </c>
      <c r="H86">
        <v>97007.087580000007</v>
      </c>
      <c r="I86">
        <v>208.57</v>
      </c>
      <c r="J86">
        <v>96902.804959999994</v>
      </c>
      <c r="K86">
        <v>3627071.173</v>
      </c>
      <c r="L86">
        <v>37.389754340000003</v>
      </c>
      <c r="M86">
        <v>0.97007087599999997</v>
      </c>
      <c r="N86">
        <v>-6.1422874368425653</v>
      </c>
      <c r="O86">
        <v>2.1523627965063762E-3</v>
      </c>
    </row>
    <row r="87" spans="1:15" x14ac:dyDescent="0.3">
      <c r="A87">
        <v>2015</v>
      </c>
      <c r="B87">
        <v>40</v>
      </c>
      <c r="C87" t="s">
        <v>12</v>
      </c>
      <c r="D87">
        <v>4282</v>
      </c>
      <c r="E87">
        <v>1989213</v>
      </c>
      <c r="F87">
        <v>2.153E-3</v>
      </c>
      <c r="G87">
        <v>0.99784700000000004</v>
      </c>
      <c r="H87">
        <v>96798.529519999996</v>
      </c>
      <c r="I87">
        <v>208.41</v>
      </c>
      <c r="J87">
        <v>96694.325899999996</v>
      </c>
      <c r="K87">
        <v>3530168.3679999998</v>
      </c>
      <c r="L87">
        <v>36.469235490000003</v>
      </c>
      <c r="M87">
        <v>0.96798529499999997</v>
      </c>
      <c r="N87">
        <v>-6.140893060599911</v>
      </c>
      <c r="O87">
        <v>2.1553483865571804E-3</v>
      </c>
    </row>
    <row r="88" spans="1:15" x14ac:dyDescent="0.3">
      <c r="A88">
        <v>2015</v>
      </c>
      <c r="B88">
        <v>41</v>
      </c>
      <c r="C88" t="s">
        <v>12</v>
      </c>
      <c r="D88">
        <v>4547</v>
      </c>
      <c r="E88">
        <v>1919064</v>
      </c>
      <c r="F88">
        <v>2.369E-3</v>
      </c>
      <c r="G88">
        <v>0.99763100000000005</v>
      </c>
      <c r="H88">
        <v>96590.160029999999</v>
      </c>
      <c r="I88">
        <v>228.82</v>
      </c>
      <c r="J88">
        <v>96475.748989999993</v>
      </c>
      <c r="K88">
        <v>3433474.0430000001</v>
      </c>
      <c r="L88">
        <v>35.546830460000002</v>
      </c>
      <c r="M88">
        <v>0.96590160000000003</v>
      </c>
      <c r="N88">
        <v>-6.045287353805489</v>
      </c>
      <c r="O88">
        <v>2.3717882101553529E-3</v>
      </c>
    </row>
    <row r="89" spans="1:15" x14ac:dyDescent="0.3">
      <c r="A89">
        <v>2015</v>
      </c>
      <c r="B89">
        <v>42</v>
      </c>
      <c r="C89" t="s">
        <v>12</v>
      </c>
      <c r="D89">
        <v>4933</v>
      </c>
      <c r="E89">
        <v>1942311</v>
      </c>
      <c r="F89">
        <v>2.5400000000000002E-3</v>
      </c>
      <c r="G89">
        <v>0.99746000000000001</v>
      </c>
      <c r="H89">
        <v>96361.300829999993</v>
      </c>
      <c r="I89">
        <v>244.76</v>
      </c>
      <c r="J89">
        <v>96238.921979999999</v>
      </c>
      <c r="K89">
        <v>3336998.2940000002</v>
      </c>
      <c r="L89">
        <v>34.630066890000002</v>
      </c>
      <c r="M89">
        <v>0.96361300800000005</v>
      </c>
      <c r="N89">
        <v>-5.975591197951692</v>
      </c>
      <c r="O89">
        <v>2.5432534500879605E-3</v>
      </c>
    </row>
    <row r="90" spans="1:15" x14ac:dyDescent="0.3">
      <c r="A90">
        <v>2015</v>
      </c>
      <c r="B90">
        <v>43</v>
      </c>
      <c r="C90" t="s">
        <v>12</v>
      </c>
      <c r="D90">
        <v>5401</v>
      </c>
      <c r="E90">
        <v>2032362</v>
      </c>
      <c r="F90">
        <v>2.6570000000000001E-3</v>
      </c>
      <c r="G90">
        <v>0.99734299999999998</v>
      </c>
      <c r="H90">
        <v>96116.566439999995</v>
      </c>
      <c r="I90">
        <v>255.38</v>
      </c>
      <c r="J90">
        <v>95988.875580000007</v>
      </c>
      <c r="K90">
        <v>3240759.372</v>
      </c>
      <c r="L90">
        <v>33.716969839999997</v>
      </c>
      <c r="M90">
        <v>0.96116566400000003</v>
      </c>
      <c r="N90">
        <v>-5.9305576122044608</v>
      </c>
      <c r="O90">
        <v>2.6605172969899351E-3</v>
      </c>
    </row>
    <row r="91" spans="1:15" x14ac:dyDescent="0.3">
      <c r="A91">
        <v>2015</v>
      </c>
      <c r="B91">
        <v>44</v>
      </c>
      <c r="C91" t="s">
        <v>12</v>
      </c>
      <c r="D91">
        <v>6317</v>
      </c>
      <c r="E91">
        <v>2147203</v>
      </c>
      <c r="F91">
        <v>2.9420000000000002E-3</v>
      </c>
      <c r="G91">
        <v>0.997058</v>
      </c>
      <c r="H91">
        <v>95861.136759999994</v>
      </c>
      <c r="I91">
        <v>282.02</v>
      </c>
      <c r="J91">
        <v>95720.125029999996</v>
      </c>
      <c r="K91">
        <v>3144770.4959999998</v>
      </c>
      <c r="L91">
        <v>32.805478870000002</v>
      </c>
      <c r="M91">
        <v>0.95861136800000002</v>
      </c>
      <c r="N91">
        <v>-5.8286656568028912</v>
      </c>
      <c r="O91">
        <v>2.9462978160729424E-3</v>
      </c>
    </row>
    <row r="92" spans="1:15" x14ac:dyDescent="0.3">
      <c r="A92">
        <v>2015</v>
      </c>
      <c r="B92">
        <v>45</v>
      </c>
      <c r="C92" t="s">
        <v>12</v>
      </c>
      <c r="D92">
        <v>6635</v>
      </c>
      <c r="E92">
        <v>2182484</v>
      </c>
      <c r="F92">
        <v>3.0400000000000002E-3</v>
      </c>
      <c r="G92">
        <v>0.99695999999999996</v>
      </c>
      <c r="H92">
        <v>95579.116469999994</v>
      </c>
      <c r="I92">
        <v>290.56</v>
      </c>
      <c r="J92">
        <v>95433.836209999994</v>
      </c>
      <c r="K92">
        <v>3049050.3709999998</v>
      </c>
      <c r="L92">
        <v>31.900800969999999</v>
      </c>
      <c r="M92">
        <v>0.95579116500000005</v>
      </c>
      <c r="N92">
        <v>-5.7958977635640068</v>
      </c>
      <c r="O92">
        <v>3.0446226213035835E-3</v>
      </c>
    </row>
    <row r="93" spans="1:15" x14ac:dyDescent="0.3">
      <c r="A93">
        <v>2015</v>
      </c>
      <c r="B93">
        <v>46</v>
      </c>
      <c r="C93" t="s">
        <v>12</v>
      </c>
      <c r="D93">
        <v>7135</v>
      </c>
      <c r="E93">
        <v>2064898</v>
      </c>
      <c r="F93">
        <v>3.4550000000000002E-3</v>
      </c>
      <c r="G93">
        <v>0.99654500000000001</v>
      </c>
      <c r="H93">
        <v>95288.545069999993</v>
      </c>
      <c r="I93">
        <v>329.22</v>
      </c>
      <c r="J93">
        <v>95123.934110000002</v>
      </c>
      <c r="K93">
        <v>2953616.5350000001</v>
      </c>
      <c r="L93">
        <v>30.996554020000001</v>
      </c>
      <c r="M93">
        <v>0.95288545099999999</v>
      </c>
      <c r="N93">
        <v>-5.6679328217625038</v>
      </c>
      <c r="O93">
        <v>3.4609592756004383E-3</v>
      </c>
    </row>
    <row r="94" spans="1:15" x14ac:dyDescent="0.3">
      <c r="A94">
        <v>2015</v>
      </c>
      <c r="B94">
        <v>47</v>
      </c>
      <c r="C94" t="s">
        <v>12</v>
      </c>
      <c r="D94">
        <v>7407</v>
      </c>
      <c r="E94">
        <v>2019602</v>
      </c>
      <c r="F94">
        <v>3.6679999999999998E-3</v>
      </c>
      <c r="G94">
        <v>0.996332</v>
      </c>
      <c r="H94">
        <v>94959.287270000001</v>
      </c>
      <c r="I94">
        <v>348.31</v>
      </c>
      <c r="J94">
        <v>94785.131940000007</v>
      </c>
      <c r="K94">
        <v>2858492.6009999998</v>
      </c>
      <c r="L94">
        <v>30.102296290000002</v>
      </c>
      <c r="M94">
        <v>0.94959287299999995</v>
      </c>
      <c r="N94">
        <v>-5.6081087245879191</v>
      </c>
      <c r="O94">
        <v>3.6747316284073189E-3</v>
      </c>
    </row>
    <row r="95" spans="1:15" x14ac:dyDescent="0.3">
      <c r="A95">
        <v>2015</v>
      </c>
      <c r="B95">
        <v>48</v>
      </c>
      <c r="C95" t="s">
        <v>12</v>
      </c>
      <c r="D95">
        <v>8202</v>
      </c>
      <c r="E95">
        <v>2015073</v>
      </c>
      <c r="F95">
        <v>4.0699999999999998E-3</v>
      </c>
      <c r="G95">
        <v>0.99592999999999998</v>
      </c>
      <c r="H95">
        <v>94611.018930000006</v>
      </c>
      <c r="I95">
        <v>385.07</v>
      </c>
      <c r="J95">
        <v>94418.485509999999</v>
      </c>
      <c r="K95">
        <v>2763707.469</v>
      </c>
      <c r="L95">
        <v>29.211264180000001</v>
      </c>
      <c r="M95">
        <v>0.94611018899999999</v>
      </c>
      <c r="N95">
        <v>-5.5041122795276332</v>
      </c>
      <c r="O95">
        <v>4.0783333945773534E-3</v>
      </c>
    </row>
    <row r="96" spans="1:15" x14ac:dyDescent="0.3">
      <c r="A96">
        <v>2015</v>
      </c>
      <c r="B96">
        <v>49</v>
      </c>
      <c r="C96" t="s">
        <v>12</v>
      </c>
      <c r="D96">
        <v>9428</v>
      </c>
      <c r="E96">
        <v>2052872</v>
      </c>
      <c r="F96">
        <v>4.5929999999999999E-3</v>
      </c>
      <c r="G96">
        <v>0.99540700000000004</v>
      </c>
      <c r="H96">
        <v>94225.921430000002</v>
      </c>
      <c r="I96">
        <v>432.78</v>
      </c>
      <c r="J96">
        <v>94009.531600000002</v>
      </c>
      <c r="K96">
        <v>2669288.983</v>
      </c>
      <c r="L96">
        <v>28.328605790000001</v>
      </c>
      <c r="M96">
        <v>0.94225921400000001</v>
      </c>
      <c r="N96">
        <v>-5.3832218736384805</v>
      </c>
      <c r="O96">
        <v>4.6035748052593028E-3</v>
      </c>
    </row>
    <row r="97" spans="1:15" x14ac:dyDescent="0.3">
      <c r="A97">
        <v>2015</v>
      </c>
      <c r="B97">
        <v>50</v>
      </c>
      <c r="C97" t="s">
        <v>12</v>
      </c>
      <c r="D97">
        <v>10767</v>
      </c>
      <c r="E97">
        <v>2173002</v>
      </c>
      <c r="F97">
        <v>4.9550000000000002E-3</v>
      </c>
      <c r="G97">
        <v>0.99504499999999996</v>
      </c>
      <c r="H97">
        <v>93793.180380000005</v>
      </c>
      <c r="I97">
        <v>464.75</v>
      </c>
      <c r="J97">
        <v>93560.807780000003</v>
      </c>
      <c r="K97">
        <v>2575279.452</v>
      </c>
      <c r="L97">
        <v>27.457001040000002</v>
      </c>
      <c r="M97">
        <v>0.93793180399999998</v>
      </c>
      <c r="N97">
        <v>-5.3073581112001857</v>
      </c>
      <c r="O97">
        <v>4.9673574537870066E-3</v>
      </c>
    </row>
    <row r="98" spans="1:15" x14ac:dyDescent="0.3">
      <c r="A98">
        <v>2015</v>
      </c>
      <c r="B98">
        <v>51</v>
      </c>
      <c r="C98" t="s">
        <v>12</v>
      </c>
      <c r="D98">
        <v>12164</v>
      </c>
      <c r="E98">
        <v>2202725</v>
      </c>
      <c r="F98">
        <v>5.522E-3</v>
      </c>
      <c r="G98">
        <v>0.99447799999999997</v>
      </c>
      <c r="H98">
        <v>93328.444879999995</v>
      </c>
      <c r="I98">
        <v>515.36</v>
      </c>
      <c r="J98">
        <v>93070.765039999998</v>
      </c>
      <c r="K98">
        <v>2481718.6439999999</v>
      </c>
      <c r="L98">
        <v>26.591235359999999</v>
      </c>
      <c r="M98">
        <v>0.93328444899999996</v>
      </c>
      <c r="N98">
        <v>-5.1990151654741741</v>
      </c>
      <c r="O98">
        <v>5.5372926674935891E-3</v>
      </c>
    </row>
    <row r="99" spans="1:15" x14ac:dyDescent="0.3">
      <c r="A99">
        <v>2015</v>
      </c>
      <c r="B99">
        <v>52</v>
      </c>
      <c r="C99" t="s">
        <v>12</v>
      </c>
      <c r="D99">
        <v>13209</v>
      </c>
      <c r="E99">
        <v>2195088</v>
      </c>
      <c r="F99">
        <v>6.0179999999999999E-3</v>
      </c>
      <c r="G99">
        <v>0.99398200000000003</v>
      </c>
      <c r="H99">
        <v>92813.061790000007</v>
      </c>
      <c r="I99">
        <v>558.54999999999995</v>
      </c>
      <c r="J99">
        <v>92533.787289999993</v>
      </c>
      <c r="K99">
        <v>2388647.8790000002</v>
      </c>
      <c r="L99">
        <v>25.736117660000001</v>
      </c>
      <c r="M99">
        <v>0.92813061799999996</v>
      </c>
      <c r="N99">
        <v>-5.1130003007742832</v>
      </c>
      <c r="O99">
        <v>6.0361721238603103E-3</v>
      </c>
    </row>
    <row r="100" spans="1:15" x14ac:dyDescent="0.3">
      <c r="A100">
        <v>2015</v>
      </c>
      <c r="B100">
        <v>53</v>
      </c>
      <c r="C100" t="s">
        <v>12</v>
      </c>
      <c r="D100">
        <v>14524</v>
      </c>
      <c r="E100">
        <v>2186448</v>
      </c>
      <c r="F100">
        <v>6.6429999999999996E-3</v>
      </c>
      <c r="G100">
        <v>0.99335700000000005</v>
      </c>
      <c r="H100">
        <v>92254.55674</v>
      </c>
      <c r="I100">
        <v>612.85</v>
      </c>
      <c r="J100">
        <v>91948.133230000007</v>
      </c>
      <c r="K100">
        <v>2296114.091</v>
      </c>
      <c r="L100">
        <v>24.888896249999998</v>
      </c>
      <c r="M100">
        <v>0.92254556700000001</v>
      </c>
      <c r="N100">
        <v>-5.0141916102990329</v>
      </c>
      <c r="O100">
        <v>6.6651697838367736E-3</v>
      </c>
    </row>
    <row r="101" spans="1:15" x14ac:dyDescent="0.3">
      <c r="A101">
        <v>2015</v>
      </c>
      <c r="B101">
        <v>54</v>
      </c>
      <c r="C101" t="s">
        <v>12</v>
      </c>
      <c r="D101">
        <v>16076</v>
      </c>
      <c r="E101">
        <v>2206584</v>
      </c>
      <c r="F101">
        <v>7.2849999999999998E-3</v>
      </c>
      <c r="G101">
        <v>0.99271500000000001</v>
      </c>
      <c r="H101">
        <v>91641.733940000006</v>
      </c>
      <c r="I101">
        <v>667.61</v>
      </c>
      <c r="J101">
        <v>91307.928920000006</v>
      </c>
      <c r="K101">
        <v>2204165.9580000001</v>
      </c>
      <c r="L101">
        <v>24.0519888</v>
      </c>
      <c r="M101">
        <v>0.916417339</v>
      </c>
      <c r="N101">
        <v>-4.9219378393349693</v>
      </c>
      <c r="O101">
        <v>7.3116339960471741E-3</v>
      </c>
    </row>
    <row r="102" spans="1:15" x14ac:dyDescent="0.3">
      <c r="A102">
        <v>2015</v>
      </c>
      <c r="B102">
        <v>55</v>
      </c>
      <c r="C102" t="s">
        <v>12</v>
      </c>
      <c r="D102">
        <v>17123</v>
      </c>
      <c r="E102">
        <v>2228498</v>
      </c>
      <c r="F102">
        <v>7.6839999999999999E-3</v>
      </c>
      <c r="G102">
        <v>0.99231599999999998</v>
      </c>
      <c r="H102">
        <v>90974.080900000001</v>
      </c>
      <c r="I102">
        <v>699.04</v>
      </c>
      <c r="J102">
        <v>90624.558480000007</v>
      </c>
      <c r="K102">
        <v>2112858.0290000001</v>
      </c>
      <c r="L102">
        <v>23.224835120000002</v>
      </c>
      <c r="M102">
        <v>0.90974080899999998</v>
      </c>
      <c r="N102">
        <v>-4.8686150340758267</v>
      </c>
      <c r="O102">
        <v>7.7135810548186095E-3</v>
      </c>
    </row>
    <row r="103" spans="1:15" x14ac:dyDescent="0.3">
      <c r="A103">
        <v>2015</v>
      </c>
      <c r="B103">
        <v>56</v>
      </c>
      <c r="C103" t="s">
        <v>12</v>
      </c>
      <c r="D103">
        <v>18224</v>
      </c>
      <c r="E103">
        <v>2143285</v>
      </c>
      <c r="F103">
        <v>8.5030000000000001E-3</v>
      </c>
      <c r="G103">
        <v>0.99149699999999996</v>
      </c>
      <c r="H103">
        <v>90275.067850000007</v>
      </c>
      <c r="I103">
        <v>767.61</v>
      </c>
      <c r="J103">
        <v>89891.263399999996</v>
      </c>
      <c r="K103">
        <v>2022233.4709999999</v>
      </c>
      <c r="L103">
        <v>22.400797019999999</v>
      </c>
      <c r="M103">
        <v>0.90275067899999994</v>
      </c>
      <c r="N103">
        <v>-4.7673362365784815</v>
      </c>
      <c r="O103">
        <v>8.5393163651794057E-3</v>
      </c>
    </row>
    <row r="104" spans="1:15" x14ac:dyDescent="0.3">
      <c r="A104">
        <v>2015</v>
      </c>
      <c r="B104">
        <v>57</v>
      </c>
      <c r="C104" t="s">
        <v>12</v>
      </c>
      <c r="D104">
        <v>19693</v>
      </c>
      <c r="E104">
        <v>2124551</v>
      </c>
      <c r="F104">
        <v>9.2689999999999995E-3</v>
      </c>
      <c r="G104">
        <v>0.99073100000000003</v>
      </c>
      <c r="H104">
        <v>89507.473790000004</v>
      </c>
      <c r="I104">
        <v>829.64</v>
      </c>
      <c r="J104">
        <v>89092.651400000002</v>
      </c>
      <c r="K104">
        <v>1932342.2069999999</v>
      </c>
      <c r="L104">
        <v>21.588612950000002</v>
      </c>
      <c r="M104">
        <v>0.89507473800000004</v>
      </c>
      <c r="N104">
        <v>-4.6810797800884414</v>
      </c>
      <c r="O104">
        <v>9.3121047834630322E-3</v>
      </c>
    </row>
    <row r="105" spans="1:15" x14ac:dyDescent="0.3">
      <c r="A105">
        <v>2015</v>
      </c>
      <c r="B105">
        <v>58</v>
      </c>
      <c r="C105" t="s">
        <v>12</v>
      </c>
      <c r="D105">
        <v>20611</v>
      </c>
      <c r="E105">
        <v>2092228</v>
      </c>
      <c r="F105">
        <v>9.8510000000000004E-3</v>
      </c>
      <c r="G105">
        <v>0.99014899999999995</v>
      </c>
      <c r="H105">
        <v>88677.806400000001</v>
      </c>
      <c r="I105">
        <v>873.57</v>
      </c>
      <c r="J105">
        <v>88241.023860000001</v>
      </c>
      <c r="K105">
        <v>1843249.5560000001</v>
      </c>
      <c r="L105">
        <v>20.78591737</v>
      </c>
      <c r="M105">
        <v>0.88677806400000003</v>
      </c>
      <c r="N105">
        <v>-4.6201823061085951</v>
      </c>
      <c r="O105">
        <v>9.8998182325682887E-3</v>
      </c>
    </row>
    <row r="106" spans="1:15" x14ac:dyDescent="0.3">
      <c r="A106">
        <v>2015</v>
      </c>
      <c r="B106">
        <v>59</v>
      </c>
      <c r="C106" t="s">
        <v>12</v>
      </c>
      <c r="D106">
        <v>21521</v>
      </c>
      <c r="E106">
        <v>2009005</v>
      </c>
      <c r="F106">
        <v>1.0711999999999999E-2</v>
      </c>
      <c r="G106">
        <v>0.98928799999999995</v>
      </c>
      <c r="H106">
        <v>87804.221749999997</v>
      </c>
      <c r="I106">
        <v>940.56</v>
      </c>
      <c r="J106">
        <v>87333.942339999994</v>
      </c>
      <c r="K106">
        <v>1755008.5319999999</v>
      </c>
      <c r="L106">
        <v>19.987746569999999</v>
      </c>
      <c r="M106">
        <v>0.87804221800000004</v>
      </c>
      <c r="N106">
        <v>-4.5363906705932662</v>
      </c>
      <c r="O106">
        <v>1.0769697342229118E-2</v>
      </c>
    </row>
    <row r="107" spans="1:15" x14ac:dyDescent="0.3">
      <c r="A107">
        <v>2015</v>
      </c>
      <c r="B107">
        <v>60</v>
      </c>
      <c r="C107" t="s">
        <v>12</v>
      </c>
      <c r="D107">
        <v>22515</v>
      </c>
      <c r="E107">
        <v>1987008</v>
      </c>
      <c r="F107">
        <v>1.1331000000000001E-2</v>
      </c>
      <c r="G107">
        <v>0.98866900000000002</v>
      </c>
      <c r="H107">
        <v>86863.6394</v>
      </c>
      <c r="I107">
        <v>984.25</v>
      </c>
      <c r="J107">
        <v>86371.513449999999</v>
      </c>
      <c r="K107">
        <v>1667674.59</v>
      </c>
      <c r="L107">
        <v>19.198764879999999</v>
      </c>
      <c r="M107">
        <v>0.86863639400000003</v>
      </c>
      <c r="N107">
        <v>-4.4802129465837073</v>
      </c>
      <c r="O107">
        <v>1.1395540191640399E-2</v>
      </c>
    </row>
    <row r="108" spans="1:15" x14ac:dyDescent="0.3">
      <c r="A108">
        <v>2015</v>
      </c>
      <c r="B108">
        <v>61</v>
      </c>
      <c r="C108" t="s">
        <v>12</v>
      </c>
      <c r="D108">
        <v>23323</v>
      </c>
      <c r="E108">
        <v>1893657</v>
      </c>
      <c r="F108">
        <v>1.2316000000000001E-2</v>
      </c>
      <c r="G108">
        <v>0.98768400000000001</v>
      </c>
      <c r="H108">
        <v>85879.378209999995</v>
      </c>
      <c r="I108">
        <v>1057.69</v>
      </c>
      <c r="J108">
        <v>85350.532999999996</v>
      </c>
      <c r="K108">
        <v>1581303.0759999999</v>
      </c>
      <c r="L108">
        <v>18.413070860000001</v>
      </c>
      <c r="M108">
        <v>0.85879378200000001</v>
      </c>
      <c r="N108">
        <v>-4.3968560489198829</v>
      </c>
      <c r="O108">
        <v>1.2392309283275034E-2</v>
      </c>
    </row>
    <row r="109" spans="1:15" x14ac:dyDescent="0.3">
      <c r="A109">
        <v>2015</v>
      </c>
      <c r="B109">
        <v>62</v>
      </c>
      <c r="C109" t="s">
        <v>12</v>
      </c>
      <c r="D109">
        <v>24065</v>
      </c>
      <c r="E109">
        <v>1815914</v>
      </c>
      <c r="F109">
        <v>1.3252E-2</v>
      </c>
      <c r="G109">
        <v>0.98674799999999996</v>
      </c>
      <c r="H109">
        <v>84821.655119999996</v>
      </c>
      <c r="I109">
        <v>1124.06</v>
      </c>
      <c r="J109">
        <v>84259.626829999994</v>
      </c>
      <c r="K109">
        <v>1495952.5430000001</v>
      </c>
      <c r="L109">
        <v>17.636446039999999</v>
      </c>
      <c r="M109">
        <v>0.84821655100000004</v>
      </c>
      <c r="N109">
        <v>-4.3236067945444878</v>
      </c>
      <c r="O109">
        <v>1.334043598862291E-2</v>
      </c>
    </row>
    <row r="110" spans="1:15" x14ac:dyDescent="0.3">
      <c r="A110">
        <v>2015</v>
      </c>
      <c r="B110">
        <v>63</v>
      </c>
      <c r="C110" t="s">
        <v>12</v>
      </c>
      <c r="D110">
        <v>25306</v>
      </c>
      <c r="E110">
        <v>1741514</v>
      </c>
      <c r="F110">
        <v>1.4531000000000001E-2</v>
      </c>
      <c r="G110">
        <v>0.98546900000000004</v>
      </c>
      <c r="H110">
        <v>83697.574829999998</v>
      </c>
      <c r="I110">
        <v>1216.21</v>
      </c>
      <c r="J110">
        <v>83089.470100000006</v>
      </c>
      <c r="K110">
        <v>1411692.9169999999</v>
      </c>
      <c r="L110">
        <v>16.866592839999999</v>
      </c>
      <c r="M110">
        <v>0.83697574799999996</v>
      </c>
      <c r="N110">
        <v>-4.2314709806435786</v>
      </c>
      <c r="O110">
        <v>1.4637354403801768E-2</v>
      </c>
    </row>
    <row r="111" spans="1:15" x14ac:dyDescent="0.3">
      <c r="A111">
        <v>2015</v>
      </c>
      <c r="B111">
        <v>64</v>
      </c>
      <c r="C111" t="s">
        <v>12</v>
      </c>
      <c r="D111">
        <v>25245</v>
      </c>
      <c r="E111">
        <v>1679087</v>
      </c>
      <c r="F111">
        <v>1.5035E-2</v>
      </c>
      <c r="G111">
        <v>0.98496499999999998</v>
      </c>
      <c r="H111">
        <v>82481.36249</v>
      </c>
      <c r="I111">
        <v>1240.1099999999999</v>
      </c>
      <c r="J111">
        <v>81861.308850000001</v>
      </c>
      <c r="K111">
        <v>1328603.446</v>
      </c>
      <c r="L111">
        <v>16.10792313</v>
      </c>
      <c r="M111">
        <v>0.82481362499999999</v>
      </c>
      <c r="N111">
        <v>-4.1973744625416449</v>
      </c>
      <c r="O111">
        <v>1.5148914551998916E-2</v>
      </c>
    </row>
    <row r="112" spans="1:15" x14ac:dyDescent="0.3">
      <c r="A112">
        <v>2015</v>
      </c>
      <c r="B112">
        <v>65</v>
      </c>
      <c r="C112" t="s">
        <v>12</v>
      </c>
      <c r="D112">
        <v>25976</v>
      </c>
      <c r="E112">
        <v>1637936</v>
      </c>
      <c r="F112">
        <v>1.5859000000000002E-2</v>
      </c>
      <c r="G112">
        <v>0.98414100000000004</v>
      </c>
      <c r="H112">
        <v>81241.258790000007</v>
      </c>
      <c r="I112">
        <v>1288.4100000000001</v>
      </c>
      <c r="J112">
        <v>80597.056230000002</v>
      </c>
      <c r="K112">
        <v>1246742.138</v>
      </c>
      <c r="L112">
        <v>15.34616962</v>
      </c>
      <c r="M112">
        <v>0.81241258800000005</v>
      </c>
      <c r="N112">
        <v>-4.1440181164656735</v>
      </c>
      <c r="O112">
        <v>1.5985819452422216E-2</v>
      </c>
    </row>
    <row r="113" spans="1:15" x14ac:dyDescent="0.3">
      <c r="A113">
        <v>2015</v>
      </c>
      <c r="B113">
        <v>66</v>
      </c>
      <c r="C113" t="s">
        <v>12</v>
      </c>
      <c r="D113">
        <v>26986</v>
      </c>
      <c r="E113">
        <v>1583339</v>
      </c>
      <c r="F113">
        <v>1.7044E-2</v>
      </c>
      <c r="G113">
        <v>0.98295600000000005</v>
      </c>
      <c r="H113">
        <v>79952.855009999999</v>
      </c>
      <c r="I113">
        <v>1362.72</v>
      </c>
      <c r="J113">
        <v>79271.496780000001</v>
      </c>
      <c r="K113">
        <v>1166145.081</v>
      </c>
      <c r="L113">
        <v>14.585408879999999</v>
      </c>
      <c r="M113">
        <v>0.79952855</v>
      </c>
      <c r="N113">
        <v>-4.0719570433444714</v>
      </c>
      <c r="O113">
        <v>1.719053971162687E-2</v>
      </c>
    </row>
    <row r="114" spans="1:15" x14ac:dyDescent="0.3">
      <c r="A114">
        <v>2015</v>
      </c>
      <c r="B114">
        <v>67</v>
      </c>
      <c r="C114" t="s">
        <v>12</v>
      </c>
      <c r="D114">
        <v>28284</v>
      </c>
      <c r="E114">
        <v>1562960</v>
      </c>
      <c r="F114">
        <v>1.8096000000000001E-2</v>
      </c>
      <c r="G114">
        <v>0.981904</v>
      </c>
      <c r="H114">
        <v>78590.160260000004</v>
      </c>
      <c r="I114">
        <v>1422.17</v>
      </c>
      <c r="J114">
        <v>77879.076490000007</v>
      </c>
      <c r="K114">
        <v>1086873.585</v>
      </c>
      <c r="L114">
        <v>13.829639500000001</v>
      </c>
      <c r="M114">
        <v>0.785901603</v>
      </c>
      <c r="N114">
        <v>-4.012064359608372</v>
      </c>
      <c r="O114">
        <v>1.826126315882521E-2</v>
      </c>
    </row>
    <row r="115" spans="1:15" x14ac:dyDescent="0.3">
      <c r="A115">
        <v>2015</v>
      </c>
      <c r="B115">
        <v>68</v>
      </c>
      <c r="C115" t="s">
        <v>12</v>
      </c>
      <c r="D115">
        <v>30528</v>
      </c>
      <c r="E115">
        <v>1623929</v>
      </c>
      <c r="F115">
        <v>1.8799E-2</v>
      </c>
      <c r="G115">
        <v>0.98120099999999999</v>
      </c>
      <c r="H115">
        <v>77167.958729999998</v>
      </c>
      <c r="I115">
        <v>1450.68</v>
      </c>
      <c r="J115">
        <v>76442.618499999997</v>
      </c>
      <c r="K115">
        <v>1008994.508</v>
      </c>
      <c r="L115">
        <v>13.075303849999999</v>
      </c>
      <c r="M115">
        <v>0.77167958699999994</v>
      </c>
      <c r="N115">
        <v>-3.9739516020503127</v>
      </c>
      <c r="O115">
        <v>1.8977370472530064E-2</v>
      </c>
    </row>
    <row r="116" spans="1:15" x14ac:dyDescent="0.3">
      <c r="A116">
        <v>2015</v>
      </c>
      <c r="B116">
        <v>69</v>
      </c>
      <c r="C116" t="s">
        <v>12</v>
      </c>
      <c r="D116">
        <v>25856</v>
      </c>
      <c r="E116">
        <v>1188026</v>
      </c>
      <c r="F116">
        <v>2.1763999999999999E-2</v>
      </c>
      <c r="G116">
        <v>0.97823599999999999</v>
      </c>
      <c r="H116">
        <v>75717.289739999993</v>
      </c>
      <c r="I116">
        <v>1647.91</v>
      </c>
      <c r="J116">
        <v>74893.334189999994</v>
      </c>
      <c r="K116">
        <v>932551.88959999999</v>
      </c>
      <c r="L116">
        <v>12.31623441</v>
      </c>
      <c r="M116">
        <v>0.75717289700000001</v>
      </c>
      <c r="N116">
        <v>-3.8274980503584581</v>
      </c>
      <c r="O116">
        <v>2.2003424990770713E-2</v>
      </c>
    </row>
    <row r="117" spans="1:15" x14ac:dyDescent="0.3">
      <c r="A117">
        <v>2015</v>
      </c>
      <c r="B117">
        <v>70</v>
      </c>
      <c r="C117" t="s">
        <v>12</v>
      </c>
      <c r="D117">
        <v>26504</v>
      </c>
      <c r="E117">
        <v>1162672</v>
      </c>
      <c r="F117">
        <v>2.2796E-2</v>
      </c>
      <c r="G117">
        <v>0.97720399999999996</v>
      </c>
      <c r="H117">
        <v>74069.391260000004</v>
      </c>
      <c r="I117">
        <v>1688.49</v>
      </c>
      <c r="J117">
        <v>73225.14834</v>
      </c>
      <c r="K117">
        <v>857658.55539999995</v>
      </c>
      <c r="L117">
        <v>11.579122509999999</v>
      </c>
      <c r="M117">
        <v>0.74069391299999998</v>
      </c>
      <c r="N117">
        <v>-3.7811701970093838</v>
      </c>
      <c r="O117">
        <v>2.3058878532784311E-2</v>
      </c>
    </row>
    <row r="118" spans="1:15" x14ac:dyDescent="0.3">
      <c r="A118">
        <v>2015</v>
      </c>
      <c r="B118">
        <v>71</v>
      </c>
      <c r="C118" t="s">
        <v>12</v>
      </c>
      <c r="D118">
        <v>28756</v>
      </c>
      <c r="E118">
        <v>1123102</v>
      </c>
      <c r="F118">
        <v>2.5603999999999998E-2</v>
      </c>
      <c r="G118">
        <v>0.97439600000000004</v>
      </c>
      <c r="H118">
        <v>72380.92267</v>
      </c>
      <c r="I118">
        <v>1853.24</v>
      </c>
      <c r="J118">
        <v>71454.302100000001</v>
      </c>
      <c r="K118">
        <v>784433.40709999995</v>
      </c>
      <c r="L118">
        <v>10.837571260000001</v>
      </c>
      <c r="M118">
        <v>0.72380922700000005</v>
      </c>
      <c r="N118">
        <v>-3.6650066897023801</v>
      </c>
      <c r="O118">
        <v>2.5936018211160119E-2</v>
      </c>
    </row>
    <row r="119" spans="1:15" x14ac:dyDescent="0.3">
      <c r="A119">
        <v>2015</v>
      </c>
      <c r="B119">
        <v>72</v>
      </c>
      <c r="C119" t="s">
        <v>12</v>
      </c>
      <c r="D119">
        <v>30898</v>
      </c>
      <c r="E119">
        <v>1140651</v>
      </c>
      <c r="F119">
        <v>2.7088000000000001E-2</v>
      </c>
      <c r="G119">
        <v>0.972912</v>
      </c>
      <c r="H119">
        <v>70527.675319999995</v>
      </c>
      <c r="I119">
        <v>1910.45</v>
      </c>
      <c r="J119">
        <v>69572.448489999995</v>
      </c>
      <c r="K119">
        <v>712979.10499999998</v>
      </c>
      <c r="L119">
        <v>10.10921035</v>
      </c>
      <c r="M119">
        <v>0.70527675300000003</v>
      </c>
      <c r="N119">
        <v>-3.6086644535913575</v>
      </c>
      <c r="O119">
        <v>2.7459864938742338E-2</v>
      </c>
    </row>
    <row r="120" spans="1:15" x14ac:dyDescent="0.3">
      <c r="A120">
        <v>2015</v>
      </c>
      <c r="B120">
        <v>73</v>
      </c>
      <c r="C120" t="s">
        <v>12</v>
      </c>
      <c r="D120">
        <v>29580</v>
      </c>
      <c r="E120">
        <v>983641</v>
      </c>
      <c r="F120">
        <v>3.0072000000000002E-2</v>
      </c>
      <c r="G120">
        <v>0.96992800000000001</v>
      </c>
      <c r="H120">
        <v>68617.218819999995</v>
      </c>
      <c r="I120">
        <v>2063.46</v>
      </c>
      <c r="J120">
        <v>67585.490319999997</v>
      </c>
      <c r="K120">
        <v>643406.65650000004</v>
      </c>
      <c r="L120">
        <v>9.3767521850000008</v>
      </c>
      <c r="M120">
        <v>0.68617218800000002</v>
      </c>
      <c r="N120">
        <v>-3.5041607727202599</v>
      </c>
      <c r="O120">
        <v>3.0531108595401587E-2</v>
      </c>
    </row>
    <row r="121" spans="1:15" x14ac:dyDescent="0.3">
      <c r="A121">
        <v>2015</v>
      </c>
      <c r="B121">
        <v>74</v>
      </c>
      <c r="C121" t="s">
        <v>12</v>
      </c>
      <c r="D121">
        <v>28979</v>
      </c>
      <c r="E121">
        <v>886092</v>
      </c>
      <c r="F121">
        <v>3.2703999999999997E-2</v>
      </c>
      <c r="G121">
        <v>0.96729600000000004</v>
      </c>
      <c r="H121">
        <v>66553.765459999995</v>
      </c>
      <c r="I121">
        <v>2176.5700000000002</v>
      </c>
      <c r="J121">
        <v>65465.478289999999</v>
      </c>
      <c r="K121">
        <v>575821.16619999998</v>
      </c>
      <c r="L121">
        <v>8.6519697600000001</v>
      </c>
      <c r="M121">
        <v>0.66553765499999995</v>
      </c>
      <c r="N121">
        <v>-3.4202578844008977</v>
      </c>
      <c r="O121">
        <v>3.3247604168237153E-2</v>
      </c>
    </row>
    <row r="122" spans="1:15" x14ac:dyDescent="0.3">
      <c r="A122">
        <v>2015</v>
      </c>
      <c r="B122">
        <v>75</v>
      </c>
      <c r="C122" t="s">
        <v>12</v>
      </c>
      <c r="D122">
        <v>29511</v>
      </c>
      <c r="E122">
        <v>829659</v>
      </c>
      <c r="F122">
        <v>3.5569999999999997E-2</v>
      </c>
      <c r="G122">
        <v>0.96443000000000001</v>
      </c>
      <c r="H122">
        <v>64377.17254</v>
      </c>
      <c r="I122">
        <v>2289.9</v>
      </c>
      <c r="J122">
        <v>63232.22453</v>
      </c>
      <c r="K122">
        <v>510355.68790000002</v>
      </c>
      <c r="L122">
        <v>7.9275878039999998</v>
      </c>
      <c r="M122">
        <v>0.64377172500000002</v>
      </c>
      <c r="N122">
        <v>-3.3362526930217733</v>
      </c>
      <c r="O122">
        <v>3.6214130663672683E-2</v>
      </c>
    </row>
    <row r="123" spans="1:15" x14ac:dyDescent="0.3">
      <c r="A123">
        <v>2015</v>
      </c>
      <c r="B123">
        <v>76</v>
      </c>
      <c r="C123" t="s">
        <v>12</v>
      </c>
      <c r="D123">
        <v>30203</v>
      </c>
      <c r="E123">
        <v>774758</v>
      </c>
      <c r="F123">
        <v>3.8983999999999998E-2</v>
      </c>
      <c r="G123">
        <v>0.96101599999999998</v>
      </c>
      <c r="H123">
        <v>62087.274239999999</v>
      </c>
      <c r="I123">
        <v>2420.41</v>
      </c>
      <c r="J123">
        <v>60877.069089999997</v>
      </c>
      <c r="K123">
        <v>447123.46340000001</v>
      </c>
      <c r="L123">
        <v>7.201531535</v>
      </c>
      <c r="M123">
        <v>0.62087274199999998</v>
      </c>
      <c r="N123">
        <v>-3.244603973440932</v>
      </c>
      <c r="O123">
        <v>3.9758972828066313E-2</v>
      </c>
    </row>
    <row r="124" spans="1:15" x14ac:dyDescent="0.3">
      <c r="A124">
        <v>2015</v>
      </c>
      <c r="B124">
        <v>77</v>
      </c>
      <c r="C124" t="s">
        <v>12</v>
      </c>
      <c r="D124">
        <v>31079</v>
      </c>
      <c r="E124">
        <v>728549</v>
      </c>
      <c r="F124">
        <v>4.2659000000000002E-2</v>
      </c>
      <c r="G124">
        <v>0.957341</v>
      </c>
      <c r="H124">
        <v>59666.877229999998</v>
      </c>
      <c r="I124">
        <v>2545.33</v>
      </c>
      <c r="J124">
        <v>58394.212570000003</v>
      </c>
      <c r="K124">
        <v>386246.39429999999</v>
      </c>
      <c r="L124">
        <v>6.4733804109999999</v>
      </c>
      <c r="M124">
        <v>0.59666877200000001</v>
      </c>
      <c r="N124">
        <v>-3.1545170073763624</v>
      </c>
      <c r="O124">
        <v>4.3588732193315521E-2</v>
      </c>
    </row>
    <row r="125" spans="1:15" x14ac:dyDescent="0.3">
      <c r="A125">
        <v>2015</v>
      </c>
      <c r="B125">
        <v>78</v>
      </c>
      <c r="C125" t="s">
        <v>12</v>
      </c>
      <c r="D125">
        <v>31046</v>
      </c>
      <c r="E125">
        <v>659853</v>
      </c>
      <c r="F125">
        <v>4.7050000000000002E-2</v>
      </c>
      <c r="G125">
        <v>0.95294999999999996</v>
      </c>
      <c r="H125">
        <v>57121.561979999999</v>
      </c>
      <c r="I125">
        <v>2687.57</v>
      </c>
      <c r="J125">
        <v>55777.77723</v>
      </c>
      <c r="K125">
        <v>327852.18170000002</v>
      </c>
      <c r="L125">
        <v>5.7395521120000002</v>
      </c>
      <c r="M125">
        <v>0.57121562000000004</v>
      </c>
      <c r="N125">
        <v>-3.0565444129507484</v>
      </c>
      <c r="O125">
        <v>4.8183523238161996E-2</v>
      </c>
    </row>
    <row r="126" spans="1:15" x14ac:dyDescent="0.3">
      <c r="A126">
        <v>2015</v>
      </c>
      <c r="B126">
        <v>79</v>
      </c>
      <c r="C126" t="s">
        <v>12</v>
      </c>
      <c r="D126">
        <v>31880</v>
      </c>
      <c r="E126">
        <v>618087</v>
      </c>
      <c r="F126">
        <v>5.1577999999999999E-2</v>
      </c>
      <c r="G126">
        <v>0.94842199999999999</v>
      </c>
      <c r="H126">
        <v>54433.999730000003</v>
      </c>
      <c r="I126">
        <v>2807.6</v>
      </c>
      <c r="J126">
        <v>53030.201309999997</v>
      </c>
      <c r="K126">
        <v>272074.4045</v>
      </c>
      <c r="L126">
        <v>4.9982438509999998</v>
      </c>
      <c r="M126">
        <v>0.54433999700000002</v>
      </c>
      <c r="N126">
        <v>-2.9646600539995807</v>
      </c>
      <c r="O126">
        <v>5.2943429407117319E-2</v>
      </c>
    </row>
    <row r="127" spans="1:15" x14ac:dyDescent="0.3">
      <c r="A127">
        <v>2015</v>
      </c>
      <c r="B127">
        <v>80</v>
      </c>
      <c r="C127" t="s">
        <v>12</v>
      </c>
      <c r="D127">
        <v>33120</v>
      </c>
      <c r="E127">
        <v>578240</v>
      </c>
      <c r="F127">
        <v>5.7277000000000002E-2</v>
      </c>
      <c r="G127">
        <v>0.94272299999999998</v>
      </c>
      <c r="H127">
        <v>51626.37571</v>
      </c>
      <c r="I127">
        <v>2957</v>
      </c>
      <c r="J127">
        <v>50147.873749999999</v>
      </c>
      <c r="K127">
        <v>219044.20319999999</v>
      </c>
      <c r="L127">
        <v>4.2428739210000002</v>
      </c>
      <c r="M127">
        <v>0.51626375700000005</v>
      </c>
      <c r="N127">
        <v>-2.8598561320030043</v>
      </c>
      <c r="O127">
        <v>5.8965618429304298E-2</v>
      </c>
    </row>
    <row r="128" spans="1:15" x14ac:dyDescent="0.3">
      <c r="A128">
        <v>2015</v>
      </c>
      <c r="B128">
        <v>81</v>
      </c>
      <c r="C128" t="s">
        <v>12</v>
      </c>
      <c r="D128">
        <v>32996</v>
      </c>
      <c r="E128">
        <v>507988</v>
      </c>
      <c r="F128">
        <v>6.4953999999999998E-2</v>
      </c>
      <c r="G128">
        <v>0.93504600000000004</v>
      </c>
      <c r="H128">
        <v>48669.358610000003</v>
      </c>
      <c r="I128">
        <v>3161.27</v>
      </c>
      <c r="J128">
        <v>47088.723850000002</v>
      </c>
      <c r="K128">
        <v>168896.32939999999</v>
      </c>
      <c r="L128">
        <v>3.4702805670000001</v>
      </c>
      <c r="M128">
        <v>0.48669358600000001</v>
      </c>
      <c r="N128">
        <v>-2.7340759519266005</v>
      </c>
      <c r="O128">
        <v>6.713434163216235E-2</v>
      </c>
    </row>
    <row r="129" spans="1:15" x14ac:dyDescent="0.3">
      <c r="A129">
        <v>2015</v>
      </c>
      <c r="B129">
        <v>82</v>
      </c>
      <c r="C129" t="s">
        <v>12</v>
      </c>
      <c r="D129">
        <v>33750</v>
      </c>
      <c r="E129">
        <v>477629</v>
      </c>
      <c r="F129">
        <v>7.0662000000000003E-2</v>
      </c>
      <c r="G129">
        <v>0.929338</v>
      </c>
      <c r="H129">
        <v>45508.074970000001</v>
      </c>
      <c r="I129">
        <v>3215.69</v>
      </c>
      <c r="J129">
        <v>43900.229169999999</v>
      </c>
      <c r="K129">
        <v>121807.6056</v>
      </c>
      <c r="L129">
        <v>2.6766152079999999</v>
      </c>
      <c r="M129">
        <v>0.45508074999999998</v>
      </c>
      <c r="N129">
        <v>-2.6498473328946708</v>
      </c>
      <c r="O129">
        <v>7.3249941781012615E-2</v>
      </c>
    </row>
    <row r="130" spans="1:15" x14ac:dyDescent="0.3">
      <c r="A130">
        <v>2015</v>
      </c>
      <c r="B130">
        <v>83</v>
      </c>
      <c r="C130" t="s">
        <v>12</v>
      </c>
      <c r="D130">
        <v>34644</v>
      </c>
      <c r="E130">
        <v>442175</v>
      </c>
      <c r="F130">
        <v>7.8349000000000002E-2</v>
      </c>
      <c r="G130">
        <v>0.921651</v>
      </c>
      <c r="H130">
        <v>42292.404369999997</v>
      </c>
      <c r="I130">
        <v>3313.57</v>
      </c>
      <c r="J130">
        <v>40635.620580000003</v>
      </c>
      <c r="K130">
        <v>77907.376380000002</v>
      </c>
      <c r="L130">
        <v>1.842112728</v>
      </c>
      <c r="M130">
        <v>0.422924044</v>
      </c>
      <c r="N130">
        <v>-2.5465820735034215</v>
      </c>
      <c r="O130">
        <v>8.1543485084985462E-2</v>
      </c>
    </row>
    <row r="131" spans="1:15" x14ac:dyDescent="0.3">
      <c r="A131">
        <v>2015</v>
      </c>
      <c r="B131">
        <v>84</v>
      </c>
      <c r="C131" t="s">
        <v>12</v>
      </c>
      <c r="D131">
        <v>35617</v>
      </c>
      <c r="E131">
        <v>406633</v>
      </c>
      <c r="F131">
        <v>8.7590000000000001E-2</v>
      </c>
      <c r="G131">
        <v>0.91241000000000005</v>
      </c>
      <c r="H131">
        <v>38978.833830000003</v>
      </c>
      <c r="I131">
        <v>3414.16</v>
      </c>
      <c r="J131">
        <v>37271.755799999999</v>
      </c>
      <c r="K131">
        <v>37271.755799999999</v>
      </c>
      <c r="L131">
        <v>0.95620499999999997</v>
      </c>
      <c r="M131">
        <v>0.38978833800000001</v>
      </c>
      <c r="N131">
        <v>-2.4350884428071393</v>
      </c>
      <c r="O131">
        <v>4.9132085885484213E-2</v>
      </c>
    </row>
    <row r="132" spans="1:15" x14ac:dyDescent="0.3">
      <c r="A132">
        <v>2015</v>
      </c>
      <c r="B132">
        <v>20</v>
      </c>
      <c r="C132" t="s">
        <v>13</v>
      </c>
      <c r="D132">
        <v>3366</v>
      </c>
      <c r="E132">
        <v>4363440</v>
      </c>
      <c r="F132">
        <v>7.7099999999999998E-4</v>
      </c>
      <c r="G132">
        <v>0.99922900000000003</v>
      </c>
      <c r="H132">
        <v>100000</v>
      </c>
      <c r="I132">
        <v>77.099999999999994</v>
      </c>
      <c r="J132">
        <v>99961.45</v>
      </c>
      <c r="K132">
        <v>5668431.4280000003</v>
      </c>
      <c r="L132">
        <v>56.684314280000002</v>
      </c>
      <c r="M132">
        <v>1</v>
      </c>
      <c r="N132">
        <v>-7.1678221844009444</v>
      </c>
      <c r="O132">
        <v>7.7129749318391384E-4</v>
      </c>
    </row>
    <row r="133" spans="1:15" x14ac:dyDescent="0.3">
      <c r="A133">
        <v>2015</v>
      </c>
      <c r="B133">
        <v>21</v>
      </c>
      <c r="C133" t="s">
        <v>13</v>
      </c>
      <c r="D133">
        <v>3844</v>
      </c>
      <c r="E133">
        <v>4456790</v>
      </c>
      <c r="F133">
        <v>8.6300000000000005E-4</v>
      </c>
      <c r="G133">
        <v>0.99913700000000005</v>
      </c>
      <c r="H133">
        <v>99922.859030000007</v>
      </c>
      <c r="I133">
        <v>86.23</v>
      </c>
      <c r="J133">
        <v>99879.742320000005</v>
      </c>
      <c r="K133">
        <v>5568469.9780000001</v>
      </c>
      <c r="L133">
        <v>55.727688659999998</v>
      </c>
      <c r="M133">
        <v>0.99922858999999997</v>
      </c>
      <c r="N133">
        <v>-7.0550958668808459</v>
      </c>
      <c r="O133">
        <v>8.6333801642027839E-4</v>
      </c>
    </row>
    <row r="134" spans="1:15" x14ac:dyDescent="0.3">
      <c r="A134">
        <v>2015</v>
      </c>
      <c r="B134">
        <v>22</v>
      </c>
      <c r="C134" t="s">
        <v>13</v>
      </c>
      <c r="D134">
        <v>4155</v>
      </c>
      <c r="E134">
        <v>4529472</v>
      </c>
      <c r="F134">
        <v>9.1699999999999995E-4</v>
      </c>
      <c r="G134">
        <v>0.99908300000000005</v>
      </c>
      <c r="H134">
        <v>99836.675149999995</v>
      </c>
      <c r="I134">
        <v>91.55</v>
      </c>
      <c r="J134">
        <v>99790.900030000004</v>
      </c>
      <c r="K134">
        <v>5468590.2359999996</v>
      </c>
      <c r="L134">
        <v>54.775364140000001</v>
      </c>
      <c r="M134">
        <v>0.99836675200000002</v>
      </c>
      <c r="N134">
        <v>-6.994403085707809</v>
      </c>
      <c r="O134">
        <v>9.1741847078180983E-4</v>
      </c>
    </row>
    <row r="135" spans="1:15" x14ac:dyDescent="0.3">
      <c r="A135">
        <v>2015</v>
      </c>
      <c r="B135">
        <v>23</v>
      </c>
      <c r="C135" t="s">
        <v>13</v>
      </c>
      <c r="D135">
        <v>4339</v>
      </c>
      <c r="E135">
        <v>4652266</v>
      </c>
      <c r="F135">
        <v>9.3300000000000002E-4</v>
      </c>
      <c r="G135">
        <v>0.99906700000000004</v>
      </c>
      <c r="H135">
        <v>99745.092420000001</v>
      </c>
      <c r="I135">
        <v>93.06</v>
      </c>
      <c r="J135">
        <v>99698.561329999997</v>
      </c>
      <c r="K135">
        <v>5368799.3360000001</v>
      </c>
      <c r="L135">
        <v>53.825197869999997</v>
      </c>
      <c r="M135">
        <v>0.99745092400000002</v>
      </c>
      <c r="N135">
        <v>-6.9771053571169306</v>
      </c>
      <c r="O135">
        <v>9.3341351269816096E-4</v>
      </c>
    </row>
    <row r="136" spans="1:15" x14ac:dyDescent="0.3">
      <c r="A136">
        <v>2015</v>
      </c>
      <c r="B136">
        <v>24</v>
      </c>
      <c r="C136" t="s">
        <v>13</v>
      </c>
      <c r="D136">
        <v>4604</v>
      </c>
      <c r="E136">
        <v>4737345</v>
      </c>
      <c r="F136">
        <v>9.7199999999999999E-4</v>
      </c>
      <c r="G136">
        <v>0.99902800000000003</v>
      </c>
      <c r="H136">
        <v>99652.06379</v>
      </c>
      <c r="I136">
        <v>96.86</v>
      </c>
      <c r="J136">
        <v>99603.632889999993</v>
      </c>
      <c r="K136">
        <v>5269100.7740000002</v>
      </c>
      <c r="L136">
        <v>52.874978939999998</v>
      </c>
      <c r="M136">
        <v>0.99652063800000001</v>
      </c>
      <c r="N136">
        <v>-6.9361547535038355</v>
      </c>
      <c r="O136">
        <v>9.7245441799728336E-4</v>
      </c>
    </row>
    <row r="137" spans="1:15" x14ac:dyDescent="0.3">
      <c r="A137">
        <v>2015</v>
      </c>
      <c r="B137">
        <v>25</v>
      </c>
      <c r="C137" t="s">
        <v>13</v>
      </c>
      <c r="D137">
        <v>4756</v>
      </c>
      <c r="E137">
        <v>4729564</v>
      </c>
      <c r="F137">
        <v>1.0059999999999999E-3</v>
      </c>
      <c r="G137">
        <v>0.99899400000000005</v>
      </c>
      <c r="H137">
        <v>99555.216690000001</v>
      </c>
      <c r="I137">
        <v>100.15</v>
      </c>
      <c r="J137">
        <v>99505.140419999996</v>
      </c>
      <c r="K137">
        <v>5169497.142</v>
      </c>
      <c r="L137">
        <v>51.925929279999998</v>
      </c>
      <c r="M137">
        <v>0.99555216700000004</v>
      </c>
      <c r="N137">
        <v>-6.9017732073045899</v>
      </c>
      <c r="O137">
        <v>1.0064804593499636E-3</v>
      </c>
    </row>
    <row r="138" spans="1:15" x14ac:dyDescent="0.3">
      <c r="A138">
        <v>2015</v>
      </c>
      <c r="B138">
        <v>26</v>
      </c>
      <c r="C138" t="s">
        <v>13</v>
      </c>
      <c r="D138">
        <v>4556</v>
      </c>
      <c r="E138">
        <v>4544416</v>
      </c>
      <c r="F138">
        <v>1.003E-3</v>
      </c>
      <c r="G138">
        <v>0.99899700000000002</v>
      </c>
      <c r="H138">
        <v>99455.105009999999</v>
      </c>
      <c r="I138">
        <v>99.75</v>
      </c>
      <c r="J138">
        <v>99405.228270000007</v>
      </c>
      <c r="K138">
        <v>5069992.0010000002</v>
      </c>
      <c r="L138">
        <v>50.977694919999998</v>
      </c>
      <c r="M138">
        <v>0.99455104999999999</v>
      </c>
      <c r="N138">
        <v>-6.9047597700023386</v>
      </c>
      <c r="O138">
        <v>1.003468119617146E-3</v>
      </c>
    </row>
    <row r="139" spans="1:15" x14ac:dyDescent="0.3">
      <c r="A139">
        <v>2015</v>
      </c>
      <c r="B139">
        <v>27</v>
      </c>
      <c r="C139" t="s">
        <v>13</v>
      </c>
      <c r="D139">
        <v>4739</v>
      </c>
      <c r="E139">
        <v>4439766</v>
      </c>
      <c r="F139">
        <v>1.067E-3</v>
      </c>
      <c r="G139">
        <v>0.99893299999999996</v>
      </c>
      <c r="H139">
        <v>99355.396389999994</v>
      </c>
      <c r="I139">
        <v>106.01</v>
      </c>
      <c r="J139">
        <v>99302.390289999996</v>
      </c>
      <c r="K139">
        <v>4970586.773</v>
      </c>
      <c r="L139">
        <v>50.028352290000001</v>
      </c>
      <c r="M139">
        <v>0.99355396399999996</v>
      </c>
      <c r="N139">
        <v>-6.842904306662521</v>
      </c>
      <c r="O139">
        <v>1.0675475266324404E-3</v>
      </c>
    </row>
    <row r="140" spans="1:15" x14ac:dyDescent="0.3">
      <c r="A140">
        <v>2015</v>
      </c>
      <c r="B140">
        <v>28</v>
      </c>
      <c r="C140" t="s">
        <v>13</v>
      </c>
      <c r="D140">
        <v>4750</v>
      </c>
      <c r="E140">
        <v>4364669</v>
      </c>
      <c r="F140">
        <v>1.088E-3</v>
      </c>
      <c r="G140">
        <v>0.99891200000000002</v>
      </c>
      <c r="H140">
        <v>99249.344580000004</v>
      </c>
      <c r="I140">
        <v>107.98</v>
      </c>
      <c r="J140">
        <v>99195.352939999997</v>
      </c>
      <c r="K140">
        <v>4871284.3830000004</v>
      </c>
      <c r="L140">
        <v>49.081275079999998</v>
      </c>
      <c r="M140">
        <v>0.992493446</v>
      </c>
      <c r="N140">
        <v>-6.823414130548386</v>
      </c>
      <c r="O140">
        <v>1.0885592132470283E-3</v>
      </c>
    </row>
    <row r="141" spans="1:15" x14ac:dyDescent="0.3">
      <c r="A141">
        <v>2015</v>
      </c>
      <c r="B141">
        <v>29</v>
      </c>
      <c r="C141" t="s">
        <v>13</v>
      </c>
      <c r="D141">
        <v>5097</v>
      </c>
      <c r="E141">
        <v>4383139</v>
      </c>
      <c r="F141">
        <v>1.163E-3</v>
      </c>
      <c r="G141">
        <v>0.99883699999999997</v>
      </c>
      <c r="H141">
        <v>99141.33309</v>
      </c>
      <c r="I141">
        <v>115.3</v>
      </c>
      <c r="J141">
        <v>99083.682400000005</v>
      </c>
      <c r="K141">
        <v>4772089.03</v>
      </c>
      <c r="L141">
        <v>48.134202770000002</v>
      </c>
      <c r="M141">
        <v>0.99141333099999995</v>
      </c>
      <c r="N141">
        <v>-6.7567524054456101</v>
      </c>
      <c r="O141">
        <v>1.1636627689658252E-3</v>
      </c>
    </row>
    <row r="142" spans="1:15" x14ac:dyDescent="0.3">
      <c r="A142">
        <v>2015</v>
      </c>
      <c r="B142">
        <v>30</v>
      </c>
      <c r="C142" t="s">
        <v>13</v>
      </c>
      <c r="D142">
        <v>5107</v>
      </c>
      <c r="E142">
        <v>4417209</v>
      </c>
      <c r="F142">
        <v>1.1559999999999999E-3</v>
      </c>
      <c r="G142">
        <v>0.99884399999999995</v>
      </c>
      <c r="H142">
        <v>99026.045079999996</v>
      </c>
      <c r="I142">
        <v>114.47</v>
      </c>
      <c r="J142">
        <v>98968.80803</v>
      </c>
      <c r="K142">
        <v>4673005.3470000001</v>
      </c>
      <c r="L142">
        <v>47.189659480000003</v>
      </c>
      <c r="M142">
        <v>0.99026045100000004</v>
      </c>
      <c r="N142">
        <v>-6.7627895087319514</v>
      </c>
      <c r="O142">
        <v>1.1566271378308532E-3</v>
      </c>
    </row>
    <row r="143" spans="1:15" x14ac:dyDescent="0.3">
      <c r="A143">
        <v>2015</v>
      </c>
      <c r="B143">
        <v>31</v>
      </c>
      <c r="C143" t="s">
        <v>13</v>
      </c>
      <c r="D143">
        <v>5216</v>
      </c>
      <c r="E143">
        <v>4278233</v>
      </c>
      <c r="F143">
        <v>1.219E-3</v>
      </c>
      <c r="G143">
        <v>0.99878100000000003</v>
      </c>
      <c r="H143">
        <v>98911.555129999993</v>
      </c>
      <c r="I143">
        <v>120.57</v>
      </c>
      <c r="J143">
        <v>98851.268540000005</v>
      </c>
      <c r="K143">
        <v>4574036.5389999999</v>
      </c>
      <c r="L143">
        <v>46.243702599999999</v>
      </c>
      <c r="M143">
        <v>0.98911555100000004</v>
      </c>
      <c r="N143">
        <v>-6.7097244284830024</v>
      </c>
      <c r="O143">
        <v>1.2197113252950186E-3</v>
      </c>
    </row>
    <row r="144" spans="1:15" x14ac:dyDescent="0.3">
      <c r="A144">
        <v>2015</v>
      </c>
      <c r="B144">
        <v>32</v>
      </c>
      <c r="C144" t="s">
        <v>13</v>
      </c>
      <c r="D144">
        <v>5586</v>
      </c>
      <c r="E144">
        <v>4343614</v>
      </c>
      <c r="F144">
        <v>1.286E-3</v>
      </c>
      <c r="G144">
        <v>0.99871399999999999</v>
      </c>
      <c r="H144">
        <v>98790.962669999994</v>
      </c>
      <c r="I144">
        <v>127.05</v>
      </c>
      <c r="J144">
        <v>98727.44008</v>
      </c>
      <c r="K144">
        <v>4475185.2709999997</v>
      </c>
      <c r="L144">
        <v>45.299541069999997</v>
      </c>
      <c r="M144">
        <v>0.98790962699999996</v>
      </c>
      <c r="N144">
        <v>-6.6562186531667091</v>
      </c>
      <c r="O144">
        <v>1.2868762883373815E-3</v>
      </c>
    </row>
    <row r="145" spans="1:15" x14ac:dyDescent="0.3">
      <c r="A145">
        <v>2015</v>
      </c>
      <c r="B145">
        <v>33</v>
      </c>
      <c r="C145" t="s">
        <v>13</v>
      </c>
      <c r="D145">
        <v>5758</v>
      </c>
      <c r="E145">
        <v>4341754</v>
      </c>
      <c r="F145">
        <v>1.3259999999999999E-3</v>
      </c>
      <c r="G145">
        <v>0.99867399999999995</v>
      </c>
      <c r="H145">
        <v>98663.914929999999</v>
      </c>
      <c r="I145">
        <v>130.83000000000001</v>
      </c>
      <c r="J145">
        <v>98598.500750000007</v>
      </c>
      <c r="K145">
        <v>4376457.8310000002</v>
      </c>
      <c r="L145">
        <v>44.35722861</v>
      </c>
      <c r="M145">
        <v>0.98663914900000005</v>
      </c>
      <c r="N145">
        <v>-6.6255883872184667</v>
      </c>
      <c r="O145">
        <v>1.3268965712173368E-3</v>
      </c>
    </row>
    <row r="146" spans="1:15" x14ac:dyDescent="0.3">
      <c r="A146">
        <v>2015</v>
      </c>
      <c r="B146">
        <v>34</v>
      </c>
      <c r="C146" t="s">
        <v>13</v>
      </c>
      <c r="D146">
        <v>5952</v>
      </c>
      <c r="E146">
        <v>4294838</v>
      </c>
      <c r="F146">
        <v>1.3860000000000001E-3</v>
      </c>
      <c r="G146">
        <v>0.998614</v>
      </c>
      <c r="H146">
        <v>98533.067620000002</v>
      </c>
      <c r="I146">
        <v>136.57</v>
      </c>
      <c r="J146">
        <v>98464.784199999995</v>
      </c>
      <c r="K146">
        <v>4277859.33</v>
      </c>
      <c r="L146">
        <v>43.415468869999998</v>
      </c>
      <c r="M146">
        <v>0.98533067600000002</v>
      </c>
      <c r="N146">
        <v>-6.5813333782144259</v>
      </c>
      <c r="O146">
        <v>1.3869932365360336E-3</v>
      </c>
    </row>
    <row r="147" spans="1:15" x14ac:dyDescent="0.3">
      <c r="A147">
        <v>2015</v>
      </c>
      <c r="B147">
        <v>35</v>
      </c>
      <c r="C147" t="s">
        <v>13</v>
      </c>
      <c r="D147">
        <v>6090</v>
      </c>
      <c r="E147">
        <v>4379404</v>
      </c>
      <c r="F147">
        <v>1.3910000000000001E-3</v>
      </c>
      <c r="G147">
        <v>0.99860899999999997</v>
      </c>
      <c r="H147">
        <v>98396.515599999999</v>
      </c>
      <c r="I147">
        <v>136.87</v>
      </c>
      <c r="J147">
        <v>98328.080820000003</v>
      </c>
      <c r="K147">
        <v>4179394.5460000001</v>
      </c>
      <c r="L147">
        <v>42.475025870000003</v>
      </c>
      <c r="M147">
        <v>0.98396515600000001</v>
      </c>
      <c r="N147">
        <v>-6.5777323660408316</v>
      </c>
      <c r="O147">
        <v>1.391972379319581E-3</v>
      </c>
    </row>
    <row r="148" spans="1:15" x14ac:dyDescent="0.3">
      <c r="A148">
        <v>2015</v>
      </c>
      <c r="B148">
        <v>36</v>
      </c>
      <c r="C148" t="s">
        <v>13</v>
      </c>
      <c r="D148">
        <v>6192</v>
      </c>
      <c r="E148">
        <v>4108775</v>
      </c>
      <c r="F148">
        <v>1.5070000000000001E-3</v>
      </c>
      <c r="G148">
        <v>0.99849299999999996</v>
      </c>
      <c r="H148">
        <v>98259.685389999999</v>
      </c>
      <c r="I148">
        <v>148.08000000000001</v>
      </c>
      <c r="J148">
        <v>98185.646720000004</v>
      </c>
      <c r="K148">
        <v>4081066.4649999999</v>
      </c>
      <c r="L148">
        <v>41.533477830000002</v>
      </c>
      <c r="M148">
        <v>0.98259685399999996</v>
      </c>
      <c r="N148">
        <v>-6.4976343593377788</v>
      </c>
      <c r="O148">
        <v>1.5081634263942397E-3</v>
      </c>
    </row>
    <row r="149" spans="1:15" x14ac:dyDescent="0.3">
      <c r="A149">
        <v>2015</v>
      </c>
      <c r="B149">
        <v>37</v>
      </c>
      <c r="C149" t="s">
        <v>13</v>
      </c>
      <c r="D149">
        <v>6221</v>
      </c>
      <c r="E149">
        <v>4028403</v>
      </c>
      <c r="F149">
        <v>1.544E-3</v>
      </c>
      <c r="G149">
        <v>0.99845600000000001</v>
      </c>
      <c r="H149">
        <v>98111.606220000001</v>
      </c>
      <c r="I149">
        <v>151.47999999999999</v>
      </c>
      <c r="J149">
        <v>98035.864060000007</v>
      </c>
      <c r="K149">
        <v>3982880.818</v>
      </c>
      <c r="L149">
        <v>40.595409369999999</v>
      </c>
      <c r="M149">
        <v>0.98111606200000001</v>
      </c>
      <c r="N149">
        <v>-6.4733788273795527</v>
      </c>
      <c r="O149">
        <v>1.5451490432329968E-3</v>
      </c>
    </row>
    <row r="150" spans="1:15" x14ac:dyDescent="0.3">
      <c r="A150">
        <v>2015</v>
      </c>
      <c r="B150">
        <v>38</v>
      </c>
      <c r="C150" t="s">
        <v>13</v>
      </c>
      <c r="D150">
        <v>6445</v>
      </c>
      <c r="E150">
        <v>3987141</v>
      </c>
      <c r="F150">
        <v>1.616E-3</v>
      </c>
      <c r="G150">
        <v>0.99838400000000005</v>
      </c>
      <c r="H150">
        <v>97960.093999999997</v>
      </c>
      <c r="I150">
        <v>158.30000000000001</v>
      </c>
      <c r="J150">
        <v>97880.942240000004</v>
      </c>
      <c r="K150">
        <v>3884844.9539999999</v>
      </c>
      <c r="L150">
        <v>39.657423710000003</v>
      </c>
      <c r="M150">
        <v>0.97960093999999998</v>
      </c>
      <c r="N150">
        <v>-6.4278013188832333</v>
      </c>
      <c r="O150">
        <v>1.6172712658761614E-3</v>
      </c>
    </row>
    <row r="151" spans="1:15" x14ac:dyDescent="0.3">
      <c r="A151">
        <v>2015</v>
      </c>
      <c r="B151">
        <v>39</v>
      </c>
      <c r="C151" t="s">
        <v>13</v>
      </c>
      <c r="D151">
        <v>6469</v>
      </c>
      <c r="E151">
        <v>3870862</v>
      </c>
      <c r="F151">
        <v>1.671E-3</v>
      </c>
      <c r="G151">
        <v>0.99832900000000002</v>
      </c>
      <c r="H151">
        <v>97801.746750000006</v>
      </c>
      <c r="I151">
        <v>163.43</v>
      </c>
      <c r="J151">
        <v>97720.033389999997</v>
      </c>
      <c r="K151">
        <v>3786964.0120000001</v>
      </c>
      <c r="L151">
        <v>38.720821839999999</v>
      </c>
      <c r="M151">
        <v>0.978017468</v>
      </c>
      <c r="N151">
        <v>-6.3943330293688803</v>
      </c>
      <c r="O151">
        <v>1.6724310360215647E-3</v>
      </c>
    </row>
    <row r="152" spans="1:15" x14ac:dyDescent="0.3">
      <c r="A152">
        <v>2015</v>
      </c>
      <c r="B152">
        <v>40</v>
      </c>
      <c r="C152" t="s">
        <v>13</v>
      </c>
      <c r="D152">
        <v>6884</v>
      </c>
      <c r="E152">
        <v>3989839</v>
      </c>
      <c r="F152">
        <v>1.725E-3</v>
      </c>
      <c r="G152">
        <v>0.99827500000000002</v>
      </c>
      <c r="H152">
        <v>97638.300080000001</v>
      </c>
      <c r="I152">
        <v>168.43</v>
      </c>
      <c r="J152">
        <v>97554.087050000002</v>
      </c>
      <c r="K152">
        <v>3689243.9780000001</v>
      </c>
      <c r="L152">
        <v>37.784803459999999</v>
      </c>
      <c r="M152">
        <v>0.97638300099999997</v>
      </c>
      <c r="N152">
        <v>-6.3625282284988138</v>
      </c>
      <c r="O152">
        <v>1.7265297372025732E-3</v>
      </c>
    </row>
    <row r="153" spans="1:15" x14ac:dyDescent="0.3">
      <c r="A153">
        <v>2015</v>
      </c>
      <c r="B153">
        <v>41</v>
      </c>
      <c r="C153" t="s">
        <v>13</v>
      </c>
      <c r="D153">
        <v>7380</v>
      </c>
      <c r="E153">
        <v>3865228</v>
      </c>
      <c r="F153">
        <v>1.9090000000000001E-3</v>
      </c>
      <c r="G153">
        <v>0.99809099999999995</v>
      </c>
      <c r="H153">
        <v>97469.836630000005</v>
      </c>
      <c r="I153">
        <v>186.07</v>
      </c>
      <c r="J153">
        <v>97376.801670000001</v>
      </c>
      <c r="K153">
        <v>3591689.8909999998</v>
      </c>
      <c r="L153">
        <v>36.849245009999997</v>
      </c>
      <c r="M153">
        <v>0.97469836600000004</v>
      </c>
      <c r="N153">
        <v>-6.2611757342385266</v>
      </c>
      <c r="O153">
        <v>1.9108250388191455E-3</v>
      </c>
    </row>
    <row r="154" spans="1:15" x14ac:dyDescent="0.3">
      <c r="A154">
        <v>2015</v>
      </c>
      <c r="B154">
        <v>42</v>
      </c>
      <c r="C154" t="s">
        <v>13</v>
      </c>
      <c r="D154">
        <v>8115</v>
      </c>
      <c r="E154">
        <v>3924258</v>
      </c>
      <c r="F154">
        <v>2.068E-3</v>
      </c>
      <c r="G154">
        <v>0.99793200000000004</v>
      </c>
      <c r="H154">
        <v>97283.73444</v>
      </c>
      <c r="I154">
        <v>201.18</v>
      </c>
      <c r="J154">
        <v>97183.143060000002</v>
      </c>
      <c r="K154">
        <v>3494313.09</v>
      </c>
      <c r="L154">
        <v>35.91878036</v>
      </c>
      <c r="M154">
        <v>0.97283734399999999</v>
      </c>
      <c r="N154">
        <v>-6.1811733223359546</v>
      </c>
      <c r="O154">
        <v>2.0701119997547919E-3</v>
      </c>
    </row>
    <row r="155" spans="1:15" x14ac:dyDescent="0.3">
      <c r="A155">
        <v>2015</v>
      </c>
      <c r="B155">
        <v>43</v>
      </c>
      <c r="C155" t="s">
        <v>13</v>
      </c>
      <c r="D155">
        <v>8889</v>
      </c>
      <c r="E155">
        <v>4100708</v>
      </c>
      <c r="F155">
        <v>2.1679999999999998E-3</v>
      </c>
      <c r="G155">
        <v>0.99783200000000005</v>
      </c>
      <c r="H155">
        <v>97082.560740000001</v>
      </c>
      <c r="I155">
        <v>210.47</v>
      </c>
      <c r="J155">
        <v>96977.323239999998</v>
      </c>
      <c r="K155">
        <v>3397129.9470000002</v>
      </c>
      <c r="L155">
        <v>34.992174910000003</v>
      </c>
      <c r="M155">
        <v>0.97082560699999998</v>
      </c>
      <c r="N155">
        <v>-6.1339501954047373</v>
      </c>
      <c r="O155">
        <v>2.1703008359750565E-3</v>
      </c>
    </row>
    <row r="156" spans="1:15" x14ac:dyDescent="0.3">
      <c r="A156">
        <v>2015</v>
      </c>
      <c r="B156">
        <v>44</v>
      </c>
      <c r="C156" t="s">
        <v>13</v>
      </c>
      <c r="D156">
        <v>10403</v>
      </c>
      <c r="E156">
        <v>4335165</v>
      </c>
      <c r="F156">
        <v>2.3999999999999998E-3</v>
      </c>
      <c r="G156">
        <v>0.99760000000000004</v>
      </c>
      <c r="H156">
        <v>96872.11735</v>
      </c>
      <c r="I156">
        <v>232.49</v>
      </c>
      <c r="J156">
        <v>96755.870809999993</v>
      </c>
      <c r="K156">
        <v>3300152.6230000001</v>
      </c>
      <c r="L156">
        <v>34.067105310000002</v>
      </c>
      <c r="M156">
        <v>0.96872117400000002</v>
      </c>
      <c r="N156">
        <v>-6.0322865416282374</v>
      </c>
      <c r="O156">
        <v>2.4028512231994369E-3</v>
      </c>
    </row>
    <row r="157" spans="1:15" x14ac:dyDescent="0.3">
      <c r="A157">
        <v>2015</v>
      </c>
      <c r="B157">
        <v>45</v>
      </c>
      <c r="C157" t="s">
        <v>13</v>
      </c>
      <c r="D157">
        <v>11021</v>
      </c>
      <c r="E157">
        <v>4389345</v>
      </c>
      <c r="F157">
        <v>2.5110000000000002E-3</v>
      </c>
      <c r="G157">
        <v>0.99748899999999996</v>
      </c>
      <c r="H157">
        <v>96639.655459999994</v>
      </c>
      <c r="I157">
        <v>242.66</v>
      </c>
      <c r="J157">
        <v>96518.324370000002</v>
      </c>
      <c r="K157">
        <v>3203396.753</v>
      </c>
      <c r="L157">
        <v>33.147849479999998</v>
      </c>
      <c r="M157">
        <v>0.96639655499999999</v>
      </c>
      <c r="N157">
        <v>-5.9870741988066891</v>
      </c>
      <c r="O157">
        <v>2.5141338052479976E-3</v>
      </c>
    </row>
    <row r="158" spans="1:15" x14ac:dyDescent="0.3">
      <c r="A158">
        <v>2015</v>
      </c>
      <c r="B158">
        <v>46</v>
      </c>
      <c r="C158" t="s">
        <v>13</v>
      </c>
      <c r="D158">
        <v>11790</v>
      </c>
      <c r="E158">
        <v>4160573</v>
      </c>
      <c r="F158">
        <v>2.8340000000000001E-3</v>
      </c>
      <c r="G158">
        <v>0.997166</v>
      </c>
      <c r="H158">
        <v>96397.007500000007</v>
      </c>
      <c r="I158">
        <v>273.19</v>
      </c>
      <c r="J158">
        <v>96260.412939999995</v>
      </c>
      <c r="K158">
        <v>3106878.4279999998</v>
      </c>
      <c r="L158">
        <v>32.23002984</v>
      </c>
      <c r="M158">
        <v>0.96397007499999998</v>
      </c>
      <c r="N158">
        <v>-5.8660661377136485</v>
      </c>
      <c r="O158">
        <v>2.8380302626746347E-3</v>
      </c>
    </row>
    <row r="159" spans="1:15" x14ac:dyDescent="0.3">
      <c r="A159">
        <v>2015</v>
      </c>
      <c r="B159">
        <v>47</v>
      </c>
      <c r="C159" t="s">
        <v>13</v>
      </c>
      <c r="D159">
        <v>12298</v>
      </c>
      <c r="E159">
        <v>4073685</v>
      </c>
      <c r="F159">
        <v>3.019E-3</v>
      </c>
      <c r="G159">
        <v>0.99698100000000001</v>
      </c>
      <c r="H159">
        <v>96123.843030000004</v>
      </c>
      <c r="I159">
        <v>290.2</v>
      </c>
      <c r="J159">
        <v>95978.744089999993</v>
      </c>
      <c r="K159">
        <v>3010618.0150000001</v>
      </c>
      <c r="L159">
        <v>31.320200280000002</v>
      </c>
      <c r="M159">
        <v>0.96123842999999998</v>
      </c>
      <c r="N159">
        <v>-5.8028296282574354</v>
      </c>
      <c r="O159">
        <v>3.0235859671839268E-3</v>
      </c>
    </row>
    <row r="160" spans="1:15" x14ac:dyDescent="0.3">
      <c r="A160">
        <v>2015</v>
      </c>
      <c r="B160">
        <v>48</v>
      </c>
      <c r="C160" t="s">
        <v>13</v>
      </c>
      <c r="D160">
        <v>13736</v>
      </c>
      <c r="E160">
        <v>4077689</v>
      </c>
      <c r="F160">
        <v>3.369E-3</v>
      </c>
      <c r="G160">
        <v>0.99663100000000004</v>
      </c>
      <c r="H160">
        <v>95833.655880000006</v>
      </c>
      <c r="I160">
        <v>322.86</v>
      </c>
      <c r="J160">
        <v>95672.224090000003</v>
      </c>
      <c r="K160">
        <v>2914639.2710000002</v>
      </c>
      <c r="L160">
        <v>30.413524809999998</v>
      </c>
      <c r="M160">
        <v>0.95833655900000003</v>
      </c>
      <c r="N160">
        <v>-5.6931393145577216</v>
      </c>
      <c r="O160">
        <v>3.3746464484599049E-3</v>
      </c>
    </row>
    <row r="161" spans="1:15" x14ac:dyDescent="0.3">
      <c r="A161">
        <v>2015</v>
      </c>
      <c r="B161">
        <v>49</v>
      </c>
      <c r="C161" t="s">
        <v>13</v>
      </c>
      <c r="D161">
        <v>15532</v>
      </c>
      <c r="E161">
        <v>4152552</v>
      </c>
      <c r="F161">
        <v>3.7399999999999998E-3</v>
      </c>
      <c r="G161">
        <v>0.99626000000000003</v>
      </c>
      <c r="H161">
        <v>95510.833050000001</v>
      </c>
      <c r="I161">
        <v>357.21</v>
      </c>
      <c r="J161">
        <v>95332.227790000004</v>
      </c>
      <c r="K161">
        <v>2818967.0469999998</v>
      </c>
      <c r="L161">
        <v>29.514631560000002</v>
      </c>
      <c r="M161">
        <v>0.95510833100000003</v>
      </c>
      <c r="N161">
        <v>-5.5886696675556964</v>
      </c>
      <c r="O161">
        <v>3.7470021522307386E-3</v>
      </c>
    </row>
    <row r="162" spans="1:15" x14ac:dyDescent="0.3">
      <c r="A162">
        <v>2015</v>
      </c>
      <c r="B162">
        <v>50</v>
      </c>
      <c r="C162" t="s">
        <v>13</v>
      </c>
      <c r="D162">
        <v>17818</v>
      </c>
      <c r="E162">
        <v>4400288</v>
      </c>
      <c r="F162">
        <v>4.0489999999999996E-3</v>
      </c>
      <c r="G162">
        <v>0.99595100000000003</v>
      </c>
      <c r="H162">
        <v>95153.589059999998</v>
      </c>
      <c r="I162">
        <v>385.28</v>
      </c>
      <c r="J162">
        <v>94960.950620000003</v>
      </c>
      <c r="K162">
        <v>2723634.8190000001</v>
      </c>
      <c r="L162">
        <v>28.62356372</v>
      </c>
      <c r="M162">
        <v>0.95153589100000002</v>
      </c>
      <c r="N162">
        <v>-5.5092853419321131</v>
      </c>
      <c r="O162">
        <v>4.0572472329780925E-3</v>
      </c>
    </row>
    <row r="163" spans="1:15" x14ac:dyDescent="0.3">
      <c r="A163">
        <v>2015</v>
      </c>
      <c r="B163">
        <v>51</v>
      </c>
      <c r="C163" t="s">
        <v>13</v>
      </c>
      <c r="D163">
        <v>20016</v>
      </c>
      <c r="E163">
        <v>4479664</v>
      </c>
      <c r="F163">
        <v>4.4679999999999997E-3</v>
      </c>
      <c r="G163">
        <v>0.99553199999999997</v>
      </c>
      <c r="H163">
        <v>94768.285489999995</v>
      </c>
      <c r="I163">
        <v>423.42</v>
      </c>
      <c r="J163">
        <v>94556.573139999993</v>
      </c>
      <c r="K163">
        <v>2628673.8689999999</v>
      </c>
      <c r="L163">
        <v>27.737906779999999</v>
      </c>
      <c r="M163">
        <v>0.94768285500000005</v>
      </c>
      <c r="N163">
        <v>-5.4108143977751828</v>
      </c>
      <c r="O163">
        <v>4.4779545909225445E-3</v>
      </c>
    </row>
    <row r="164" spans="1:15" x14ac:dyDescent="0.3">
      <c r="A164">
        <v>2015</v>
      </c>
      <c r="B164">
        <v>52</v>
      </c>
      <c r="C164" t="s">
        <v>13</v>
      </c>
      <c r="D164">
        <v>21940</v>
      </c>
      <c r="E164">
        <v>4474344</v>
      </c>
      <c r="F164">
        <v>4.9040000000000004E-3</v>
      </c>
      <c r="G164">
        <v>0.99509599999999998</v>
      </c>
      <c r="H164">
        <v>94344.842569999993</v>
      </c>
      <c r="I164">
        <v>462.67</v>
      </c>
      <c r="J164">
        <v>94113.509019999998</v>
      </c>
      <c r="K164">
        <v>2534117.2949999999</v>
      </c>
      <c r="L164">
        <v>26.860157130000001</v>
      </c>
      <c r="M164">
        <v>0.94344842600000001</v>
      </c>
      <c r="N164">
        <v>-5.3177040803482267</v>
      </c>
      <c r="O164">
        <v>4.9160836916410395E-3</v>
      </c>
    </row>
    <row r="165" spans="1:15" x14ac:dyDescent="0.3">
      <c r="A165">
        <v>2015</v>
      </c>
      <c r="B165">
        <v>53</v>
      </c>
      <c r="C165" t="s">
        <v>13</v>
      </c>
      <c r="D165">
        <v>24006</v>
      </c>
      <c r="E165">
        <v>4463494</v>
      </c>
      <c r="F165">
        <v>5.378E-3</v>
      </c>
      <c r="G165">
        <v>0.99462200000000001</v>
      </c>
      <c r="H165">
        <v>93882.2215</v>
      </c>
      <c r="I165">
        <v>504.9</v>
      </c>
      <c r="J165">
        <v>93629.772209999996</v>
      </c>
      <c r="K165">
        <v>2440003.7859999998</v>
      </c>
      <c r="L165">
        <v>25.990051659999999</v>
      </c>
      <c r="M165">
        <v>0.93882221499999996</v>
      </c>
      <c r="N165">
        <v>-5.2254387211354638</v>
      </c>
      <c r="O165">
        <v>5.3925163278397432E-3</v>
      </c>
    </row>
    <row r="166" spans="1:15" x14ac:dyDescent="0.3">
      <c r="A166">
        <v>2015</v>
      </c>
      <c r="B166">
        <v>54</v>
      </c>
      <c r="C166" t="s">
        <v>13</v>
      </c>
      <c r="D166">
        <v>26337</v>
      </c>
      <c r="E166">
        <v>4516527</v>
      </c>
      <c r="F166">
        <v>5.8310000000000002E-3</v>
      </c>
      <c r="G166">
        <v>0.99416899999999997</v>
      </c>
      <c r="H166">
        <v>93377.294949999996</v>
      </c>
      <c r="I166">
        <v>544.48</v>
      </c>
      <c r="J166">
        <v>93105.053450000007</v>
      </c>
      <c r="K166">
        <v>2346374.014</v>
      </c>
      <c r="L166">
        <v>25.12788591</v>
      </c>
      <c r="M166">
        <v>0.93377295000000005</v>
      </c>
      <c r="N166">
        <v>-5.144566766742118</v>
      </c>
      <c r="O166">
        <v>5.8480184288275663E-3</v>
      </c>
    </row>
    <row r="167" spans="1:15" x14ac:dyDescent="0.3">
      <c r="A167">
        <v>2015</v>
      </c>
      <c r="B167">
        <v>55</v>
      </c>
      <c r="C167" t="s">
        <v>13</v>
      </c>
      <c r="D167">
        <v>28045</v>
      </c>
      <c r="E167">
        <v>4553385</v>
      </c>
      <c r="F167">
        <v>6.1590000000000004E-3</v>
      </c>
      <c r="G167">
        <v>0.99384099999999997</v>
      </c>
      <c r="H167">
        <v>92832.788560000001</v>
      </c>
      <c r="I167">
        <v>571.76</v>
      </c>
      <c r="J167">
        <v>92546.90999</v>
      </c>
      <c r="K167">
        <v>2253268.9610000001</v>
      </c>
      <c r="L167">
        <v>24.272339500000001</v>
      </c>
      <c r="M167">
        <v>0.92832788600000005</v>
      </c>
      <c r="N167">
        <v>-5.0898408522772307</v>
      </c>
      <c r="O167">
        <v>6.1780565581906E-3</v>
      </c>
    </row>
    <row r="168" spans="1:15" x14ac:dyDescent="0.3">
      <c r="A168">
        <v>2015</v>
      </c>
      <c r="B168">
        <v>56</v>
      </c>
      <c r="C168" t="s">
        <v>13</v>
      </c>
      <c r="D168">
        <v>30058</v>
      </c>
      <c r="E168">
        <v>4399120</v>
      </c>
      <c r="F168">
        <v>6.8329999999999997E-3</v>
      </c>
      <c r="G168">
        <v>0.99316700000000002</v>
      </c>
      <c r="H168">
        <v>92261.017110000001</v>
      </c>
      <c r="I168">
        <v>630.41999999999996</v>
      </c>
      <c r="J168">
        <v>91945.807350000003</v>
      </c>
      <c r="K168">
        <v>2160722.051</v>
      </c>
      <c r="L168">
        <v>23.419664319999999</v>
      </c>
      <c r="M168">
        <v>0.92261017099999998</v>
      </c>
      <c r="N168">
        <v>-4.9859914631834963</v>
      </c>
      <c r="O168">
        <v>6.8564291605627097E-3</v>
      </c>
    </row>
    <row r="169" spans="1:15" x14ac:dyDescent="0.3">
      <c r="A169">
        <v>2015</v>
      </c>
      <c r="B169">
        <v>57</v>
      </c>
      <c r="C169" t="s">
        <v>13</v>
      </c>
      <c r="D169">
        <v>32277</v>
      </c>
      <c r="E169">
        <v>4371245</v>
      </c>
      <c r="F169">
        <v>7.3839999999999999E-3</v>
      </c>
      <c r="G169">
        <v>0.99261600000000005</v>
      </c>
      <c r="H169">
        <v>91630.622470000002</v>
      </c>
      <c r="I169">
        <v>676.6</v>
      </c>
      <c r="J169">
        <v>91292.322209999998</v>
      </c>
      <c r="K169">
        <v>2068776.243</v>
      </c>
      <c r="L169">
        <v>22.577345739999998</v>
      </c>
      <c r="M169">
        <v>0.91630622500000003</v>
      </c>
      <c r="N169">
        <v>-4.9084397817815857</v>
      </c>
      <c r="O169">
        <v>7.4113568631771426E-3</v>
      </c>
    </row>
    <row r="170" spans="1:15" x14ac:dyDescent="0.3">
      <c r="A170">
        <v>2015</v>
      </c>
      <c r="B170">
        <v>58</v>
      </c>
      <c r="C170" t="s">
        <v>13</v>
      </c>
      <c r="D170">
        <v>33972</v>
      </c>
      <c r="E170">
        <v>4320522</v>
      </c>
      <c r="F170">
        <v>7.8630000000000002E-3</v>
      </c>
      <c r="G170">
        <v>0.99213700000000005</v>
      </c>
      <c r="H170">
        <v>90954.027679999999</v>
      </c>
      <c r="I170">
        <v>715.17</v>
      </c>
      <c r="J170">
        <v>90596.441919999997</v>
      </c>
      <c r="K170">
        <v>1977483.9210000001</v>
      </c>
      <c r="L170">
        <v>21.741576179999999</v>
      </c>
      <c r="M170">
        <v>0.90954027699999995</v>
      </c>
      <c r="N170">
        <v>-4.845587065972758</v>
      </c>
      <c r="O170">
        <v>7.8940183837095963E-3</v>
      </c>
    </row>
    <row r="171" spans="1:15" x14ac:dyDescent="0.3">
      <c r="A171">
        <v>2015</v>
      </c>
      <c r="B171">
        <v>59</v>
      </c>
      <c r="C171" t="s">
        <v>13</v>
      </c>
      <c r="D171">
        <v>35237</v>
      </c>
      <c r="E171">
        <v>4163670</v>
      </c>
      <c r="F171">
        <v>8.463E-3</v>
      </c>
      <c r="G171">
        <v>0.991537</v>
      </c>
      <c r="H171">
        <v>90238.861730000004</v>
      </c>
      <c r="I171">
        <v>763.69</v>
      </c>
      <c r="J171">
        <v>89857.01599</v>
      </c>
      <c r="K171">
        <v>1886887.4790000001</v>
      </c>
      <c r="L171">
        <v>20.909921099999998</v>
      </c>
      <c r="M171">
        <v>0.90238861699999995</v>
      </c>
      <c r="N171">
        <v>-4.7720515582941685</v>
      </c>
      <c r="O171">
        <v>8.498946674281669E-3</v>
      </c>
    </row>
    <row r="172" spans="1:15" x14ac:dyDescent="0.3">
      <c r="A172">
        <v>2015</v>
      </c>
      <c r="B172">
        <v>60</v>
      </c>
      <c r="C172" t="s">
        <v>13</v>
      </c>
      <c r="D172">
        <v>36716</v>
      </c>
      <c r="E172">
        <v>4125792</v>
      </c>
      <c r="F172">
        <v>8.8990000000000007E-3</v>
      </c>
      <c r="G172">
        <v>0.99110100000000001</v>
      </c>
      <c r="H172">
        <v>89475.173259999996</v>
      </c>
      <c r="I172">
        <v>796.24</v>
      </c>
      <c r="J172">
        <v>89077.053480000002</v>
      </c>
      <c r="K172">
        <v>1797030.463</v>
      </c>
      <c r="L172">
        <v>20.084123869999999</v>
      </c>
      <c r="M172">
        <v>0.89475173299999999</v>
      </c>
      <c r="N172">
        <v>-4.7218163681074117</v>
      </c>
      <c r="O172">
        <v>8.9387785613668658E-3</v>
      </c>
    </row>
    <row r="173" spans="1:15" x14ac:dyDescent="0.3">
      <c r="A173">
        <v>2015</v>
      </c>
      <c r="B173">
        <v>61</v>
      </c>
      <c r="C173" t="s">
        <v>13</v>
      </c>
      <c r="D173">
        <v>38234</v>
      </c>
      <c r="E173">
        <v>3954601</v>
      </c>
      <c r="F173">
        <v>9.6679999999999995E-3</v>
      </c>
      <c r="G173">
        <v>0.99033199999999999</v>
      </c>
      <c r="H173">
        <v>88678.921180000005</v>
      </c>
      <c r="I173">
        <v>857.35</v>
      </c>
      <c r="J173">
        <v>88250.247279999996</v>
      </c>
      <c r="K173">
        <v>1707953.41</v>
      </c>
      <c r="L173">
        <v>19.259970540000001</v>
      </c>
      <c r="M173">
        <v>0.88678921200000005</v>
      </c>
      <c r="N173">
        <v>-4.6389338161409004</v>
      </c>
      <c r="O173">
        <v>9.7149880758476016E-3</v>
      </c>
    </row>
    <row r="174" spans="1:15" x14ac:dyDescent="0.3">
      <c r="A174">
        <v>2015</v>
      </c>
      <c r="B174">
        <v>62</v>
      </c>
      <c r="C174" t="s">
        <v>13</v>
      </c>
      <c r="D174">
        <v>39710</v>
      </c>
      <c r="E174">
        <v>3801935</v>
      </c>
      <c r="F174">
        <v>1.0444999999999999E-2</v>
      </c>
      <c r="G174">
        <v>0.98955499999999996</v>
      </c>
      <c r="H174">
        <v>87821.552790000002</v>
      </c>
      <c r="I174">
        <v>917.3</v>
      </c>
      <c r="J174">
        <v>87362.904729999995</v>
      </c>
      <c r="K174">
        <v>1619703.1629999999</v>
      </c>
      <c r="L174">
        <v>18.443116880000002</v>
      </c>
      <c r="M174">
        <v>0.87821552800000002</v>
      </c>
      <c r="N174">
        <v>-4.5616318839736083</v>
      </c>
      <c r="O174">
        <v>1.0499878134108199E-2</v>
      </c>
    </row>
    <row r="175" spans="1:15" x14ac:dyDescent="0.3">
      <c r="A175">
        <v>2015</v>
      </c>
      <c r="B175">
        <v>63</v>
      </c>
      <c r="C175" t="s">
        <v>13</v>
      </c>
      <c r="D175">
        <v>41518</v>
      </c>
      <c r="E175">
        <v>3651393</v>
      </c>
      <c r="F175">
        <v>1.137E-2</v>
      </c>
      <c r="G175">
        <v>0.98863000000000001</v>
      </c>
      <c r="H175">
        <v>86904.284650000001</v>
      </c>
      <c r="I175">
        <v>988.1</v>
      </c>
      <c r="J175">
        <v>86410.233789999998</v>
      </c>
      <c r="K175">
        <v>1532340.2579999999</v>
      </c>
      <c r="L175">
        <v>17.63250528</v>
      </c>
      <c r="M175">
        <v>0.86904284700000001</v>
      </c>
      <c r="N175">
        <v>-4.4767769712196923</v>
      </c>
      <c r="O175">
        <v>1.1434990773526785E-2</v>
      </c>
    </row>
    <row r="176" spans="1:15" x14ac:dyDescent="0.3">
      <c r="A176">
        <v>2015</v>
      </c>
      <c r="B176">
        <v>64</v>
      </c>
      <c r="C176" t="s">
        <v>13</v>
      </c>
      <c r="D176">
        <v>42018</v>
      </c>
      <c r="E176">
        <v>3536156</v>
      </c>
      <c r="F176">
        <v>1.1882E-2</v>
      </c>
      <c r="G176">
        <v>0.98811800000000005</v>
      </c>
      <c r="H176">
        <v>85916.143379999994</v>
      </c>
      <c r="I176">
        <v>1020.86</v>
      </c>
      <c r="J176">
        <v>85405.71557</v>
      </c>
      <c r="K176">
        <v>1445930.024</v>
      </c>
      <c r="L176">
        <v>16.829549920000002</v>
      </c>
      <c r="M176">
        <v>0.859161434</v>
      </c>
      <c r="N176">
        <v>-4.4327306290485877</v>
      </c>
      <c r="O176">
        <v>1.1953066555463344E-2</v>
      </c>
    </row>
    <row r="177" spans="1:15" x14ac:dyDescent="0.3">
      <c r="A177">
        <v>2015</v>
      </c>
      <c r="B177">
        <v>65</v>
      </c>
      <c r="C177" t="s">
        <v>13</v>
      </c>
      <c r="D177">
        <v>43483</v>
      </c>
      <c r="E177">
        <v>3450043</v>
      </c>
      <c r="F177">
        <v>1.2604000000000001E-2</v>
      </c>
      <c r="G177">
        <v>0.98739600000000005</v>
      </c>
      <c r="H177">
        <v>84895.253890000007</v>
      </c>
      <c r="I177">
        <v>1070.02</v>
      </c>
      <c r="J177">
        <v>84360.244000000006</v>
      </c>
      <c r="K177">
        <v>1360524.3089999999</v>
      </c>
      <c r="L177">
        <v>16.025917190000001</v>
      </c>
      <c r="M177">
        <v>0.84895253900000001</v>
      </c>
      <c r="N177">
        <v>-4.373741055087109</v>
      </c>
      <c r="O177">
        <v>1.2683934278192048E-2</v>
      </c>
    </row>
    <row r="178" spans="1:15" x14ac:dyDescent="0.3">
      <c r="A178">
        <v>2015</v>
      </c>
      <c r="B178">
        <v>66</v>
      </c>
      <c r="C178" t="s">
        <v>13</v>
      </c>
      <c r="D178">
        <v>45670</v>
      </c>
      <c r="E178">
        <v>3344134</v>
      </c>
      <c r="F178">
        <v>1.3657000000000001E-2</v>
      </c>
      <c r="G178">
        <v>0.98634299999999997</v>
      </c>
      <c r="H178">
        <v>83825.267129999993</v>
      </c>
      <c r="I178">
        <v>1144.8</v>
      </c>
      <c r="J178">
        <v>83252.866290000005</v>
      </c>
      <c r="K178">
        <v>1276164.0649999999</v>
      </c>
      <c r="L178">
        <v>15.224097799999999</v>
      </c>
      <c r="M178">
        <v>0.838252671</v>
      </c>
      <c r="N178">
        <v>-4.2935030682858493</v>
      </c>
      <c r="O178">
        <v>1.3750876173927002E-2</v>
      </c>
    </row>
    <row r="179" spans="1:15" x14ac:dyDescent="0.3">
      <c r="A179">
        <v>2015</v>
      </c>
      <c r="B179">
        <v>67</v>
      </c>
      <c r="C179" t="s">
        <v>13</v>
      </c>
      <c r="D179">
        <v>48530</v>
      </c>
      <c r="E179">
        <v>3304187</v>
      </c>
      <c r="F179">
        <v>1.4687E-2</v>
      </c>
      <c r="G179">
        <v>0.98531299999999999</v>
      </c>
      <c r="H179">
        <v>82680.486470000003</v>
      </c>
      <c r="I179">
        <v>1214.33</v>
      </c>
      <c r="J179">
        <v>82073.322320000007</v>
      </c>
      <c r="K179">
        <v>1192911.1980000001</v>
      </c>
      <c r="L179">
        <v>14.4279654</v>
      </c>
      <c r="M179">
        <v>0.82680486500000006</v>
      </c>
      <c r="N179">
        <v>-4.2207925302104119</v>
      </c>
      <c r="O179">
        <v>1.4795675694975757E-2</v>
      </c>
    </row>
    <row r="180" spans="1:15" x14ac:dyDescent="0.3">
      <c r="A180">
        <v>2015</v>
      </c>
      <c r="B180">
        <v>68</v>
      </c>
      <c r="C180" t="s">
        <v>13</v>
      </c>
      <c r="D180">
        <v>52702</v>
      </c>
      <c r="E180">
        <v>3436357</v>
      </c>
      <c r="F180">
        <v>1.5337E-2</v>
      </c>
      <c r="G180">
        <v>0.98466299999999995</v>
      </c>
      <c r="H180">
        <v>81466.122990000003</v>
      </c>
      <c r="I180">
        <v>1249.45</v>
      </c>
      <c r="J180">
        <v>80841.400030000004</v>
      </c>
      <c r="K180">
        <v>1110837.8759999999</v>
      </c>
      <c r="L180">
        <v>13.635580470000001</v>
      </c>
      <c r="M180">
        <v>0.81466123000000001</v>
      </c>
      <c r="N180">
        <v>-4.1774870693134947</v>
      </c>
      <c r="O180">
        <v>1.5455567837948615E-2</v>
      </c>
    </row>
    <row r="181" spans="1:15" x14ac:dyDescent="0.3">
      <c r="A181">
        <v>2015</v>
      </c>
      <c r="B181">
        <v>69</v>
      </c>
      <c r="C181" t="s">
        <v>13</v>
      </c>
      <c r="D181">
        <v>45097</v>
      </c>
      <c r="E181">
        <v>2532747</v>
      </c>
      <c r="F181">
        <v>1.7805999999999999E-2</v>
      </c>
      <c r="G181">
        <v>0.98219400000000001</v>
      </c>
      <c r="H181">
        <v>80216.710420000003</v>
      </c>
      <c r="I181">
        <v>1428.34</v>
      </c>
      <c r="J181">
        <v>79502.54105</v>
      </c>
      <c r="K181">
        <v>1029996.476</v>
      </c>
      <c r="L181">
        <v>12.840173460000001</v>
      </c>
      <c r="M181">
        <v>0.80216710400000002</v>
      </c>
      <c r="N181">
        <v>-4.0282197998306577</v>
      </c>
      <c r="O181">
        <v>1.7965962724523322E-2</v>
      </c>
    </row>
    <row r="182" spans="1:15" x14ac:dyDescent="0.3">
      <c r="A182">
        <v>2015</v>
      </c>
      <c r="B182">
        <v>70</v>
      </c>
      <c r="C182" t="s">
        <v>13</v>
      </c>
      <c r="D182">
        <v>46843</v>
      </c>
      <c r="E182">
        <v>2492490</v>
      </c>
      <c r="F182">
        <v>1.8794000000000002E-2</v>
      </c>
      <c r="G182">
        <v>0.98120600000000002</v>
      </c>
      <c r="H182">
        <v>78788.406300000002</v>
      </c>
      <c r="I182">
        <v>1480.75</v>
      </c>
      <c r="J182">
        <v>78048.031650000004</v>
      </c>
      <c r="K182">
        <v>950493.93480000005</v>
      </c>
      <c r="L182">
        <v>12.063880709999999</v>
      </c>
      <c r="M182">
        <v>0.78788406300000002</v>
      </c>
      <c r="N182">
        <v>-3.9742176090212635</v>
      </c>
      <c r="O182">
        <v>1.89722881129856E-2</v>
      </c>
    </row>
    <row r="183" spans="1:15" x14ac:dyDescent="0.3">
      <c r="A183">
        <v>2015</v>
      </c>
      <c r="B183">
        <v>71</v>
      </c>
      <c r="C183" t="s">
        <v>13</v>
      </c>
      <c r="D183">
        <v>50803</v>
      </c>
      <c r="E183">
        <v>2421191</v>
      </c>
      <c r="F183">
        <v>2.0983000000000002E-2</v>
      </c>
      <c r="G183">
        <v>0.97901700000000003</v>
      </c>
      <c r="H183">
        <v>77307.684080000006</v>
      </c>
      <c r="I183">
        <v>1622.15</v>
      </c>
      <c r="J183">
        <v>76496.610509999999</v>
      </c>
      <c r="K183">
        <v>872445.90319999994</v>
      </c>
      <c r="L183">
        <v>11.28537109</v>
      </c>
      <c r="M183">
        <v>0.77307684099999996</v>
      </c>
      <c r="N183">
        <v>-3.864042692909579</v>
      </c>
      <c r="O183">
        <v>2.1205510951509132E-2</v>
      </c>
    </row>
    <row r="184" spans="1:15" x14ac:dyDescent="0.3">
      <c r="A184">
        <v>2015</v>
      </c>
      <c r="B184">
        <v>72</v>
      </c>
      <c r="C184" t="s">
        <v>13</v>
      </c>
      <c r="D184">
        <v>55719</v>
      </c>
      <c r="E184">
        <v>2469605</v>
      </c>
      <c r="F184">
        <v>2.2561999999999999E-2</v>
      </c>
      <c r="G184">
        <v>0.97743800000000003</v>
      </c>
      <c r="H184">
        <v>75685.564110000007</v>
      </c>
      <c r="I184">
        <v>1707.62</v>
      </c>
      <c r="J184">
        <v>74831.755260000005</v>
      </c>
      <c r="K184">
        <v>795949.29269999999</v>
      </c>
      <c r="L184">
        <v>10.51652719</v>
      </c>
      <c r="M184">
        <v>0.75685564100000002</v>
      </c>
      <c r="N184">
        <v>-3.7914882037994087</v>
      </c>
      <c r="O184">
        <v>2.2819455648380074E-2</v>
      </c>
    </row>
    <row r="185" spans="1:15" x14ac:dyDescent="0.3">
      <c r="A185">
        <v>2015</v>
      </c>
      <c r="B185">
        <v>73</v>
      </c>
      <c r="C185" t="s">
        <v>13</v>
      </c>
      <c r="D185">
        <v>53435</v>
      </c>
      <c r="E185">
        <v>2146052</v>
      </c>
      <c r="F185">
        <v>2.4899000000000001E-2</v>
      </c>
      <c r="G185">
        <v>0.975101</v>
      </c>
      <c r="H185">
        <v>73977.953399999999</v>
      </c>
      <c r="I185">
        <v>1841.98</v>
      </c>
      <c r="J185">
        <v>73056.964869999996</v>
      </c>
      <c r="K185">
        <v>721117.53740000003</v>
      </c>
      <c r="L185">
        <v>9.7477356999999998</v>
      </c>
      <c r="M185">
        <v>0.73977953399999996</v>
      </c>
      <c r="N185">
        <v>-3.6929276369605057</v>
      </c>
      <c r="O185">
        <v>2.521293074942571E-2</v>
      </c>
    </row>
    <row r="186" spans="1:15" x14ac:dyDescent="0.3">
      <c r="A186">
        <v>2015</v>
      </c>
      <c r="B186">
        <v>74</v>
      </c>
      <c r="C186" t="s">
        <v>13</v>
      </c>
      <c r="D186">
        <v>52734</v>
      </c>
      <c r="E186">
        <v>1953711</v>
      </c>
      <c r="F186">
        <v>2.6991999999999999E-2</v>
      </c>
      <c r="G186">
        <v>0.97300799999999998</v>
      </c>
      <c r="H186">
        <v>72135.960789999997</v>
      </c>
      <c r="I186">
        <v>1947.09</v>
      </c>
      <c r="J186">
        <v>71162.413860000001</v>
      </c>
      <c r="K186">
        <v>648060.57250000001</v>
      </c>
      <c r="L186">
        <v>8.9838766329999995</v>
      </c>
      <c r="M186">
        <v>0.72135960799999999</v>
      </c>
      <c r="N186">
        <v>-3.6122147531785247</v>
      </c>
      <c r="O186">
        <v>2.7361209489350658E-2</v>
      </c>
    </row>
    <row r="187" spans="1:15" x14ac:dyDescent="0.3">
      <c r="A187">
        <v>2015</v>
      </c>
      <c r="B187">
        <v>75</v>
      </c>
      <c r="C187" t="s">
        <v>13</v>
      </c>
      <c r="D187">
        <v>54414</v>
      </c>
      <c r="E187">
        <v>1839823</v>
      </c>
      <c r="F187">
        <v>2.9576000000000002E-2</v>
      </c>
      <c r="G187">
        <v>0.97042399999999995</v>
      </c>
      <c r="H187">
        <v>70188.887879999995</v>
      </c>
      <c r="I187">
        <v>2075.91</v>
      </c>
      <c r="J187">
        <v>69150.934609999997</v>
      </c>
      <c r="K187">
        <v>576898.15870000003</v>
      </c>
      <c r="L187">
        <v>8.2192235280000006</v>
      </c>
      <c r="M187">
        <v>0.70188887899999997</v>
      </c>
      <c r="N187">
        <v>-3.5207920573478062</v>
      </c>
      <c r="O187">
        <v>3.0019979707104846E-2</v>
      </c>
    </row>
    <row r="188" spans="1:15" x14ac:dyDescent="0.3">
      <c r="A188">
        <v>2015</v>
      </c>
      <c r="B188">
        <v>76</v>
      </c>
      <c r="C188" t="s">
        <v>13</v>
      </c>
      <c r="D188">
        <v>56057</v>
      </c>
      <c r="E188">
        <v>1722041</v>
      </c>
      <c r="F188">
        <v>3.2552999999999999E-2</v>
      </c>
      <c r="G188">
        <v>0.96744699999999995</v>
      </c>
      <c r="H188">
        <v>68113.004409999994</v>
      </c>
      <c r="I188">
        <v>2217.2800000000002</v>
      </c>
      <c r="J188">
        <v>67004.363089999999</v>
      </c>
      <c r="K188">
        <v>507747.22409999999</v>
      </c>
      <c r="L188">
        <v>7.4544828619999999</v>
      </c>
      <c r="M188">
        <v>0.68113004399999999</v>
      </c>
      <c r="N188">
        <v>-3.424885748675957</v>
      </c>
      <c r="O188">
        <v>3.3091570525466275E-2</v>
      </c>
    </row>
    <row r="189" spans="1:15" x14ac:dyDescent="0.3">
      <c r="A189">
        <v>2015</v>
      </c>
      <c r="B189">
        <v>77</v>
      </c>
      <c r="C189" t="s">
        <v>13</v>
      </c>
      <c r="D189">
        <v>58627</v>
      </c>
      <c r="E189">
        <v>1639085</v>
      </c>
      <c r="F189">
        <v>3.5768000000000001E-2</v>
      </c>
      <c r="G189">
        <v>0.96423199999999998</v>
      </c>
      <c r="H189">
        <v>65895.745540000004</v>
      </c>
      <c r="I189">
        <v>2356.96</v>
      </c>
      <c r="J189">
        <v>64717.266029999999</v>
      </c>
      <c r="K189">
        <v>440742.86099999998</v>
      </c>
      <c r="L189">
        <v>6.6884873579999997</v>
      </c>
      <c r="M189">
        <v>0.65895745500000003</v>
      </c>
      <c r="N189">
        <v>-3.3307016400504574</v>
      </c>
      <c r="O189">
        <v>3.6419340568871736E-2</v>
      </c>
    </row>
    <row r="190" spans="1:15" x14ac:dyDescent="0.3">
      <c r="A190">
        <v>2015</v>
      </c>
      <c r="B190">
        <v>78</v>
      </c>
      <c r="C190" t="s">
        <v>13</v>
      </c>
      <c r="D190">
        <v>59218</v>
      </c>
      <c r="E190">
        <v>1500813</v>
      </c>
      <c r="F190">
        <v>3.9456999999999999E-2</v>
      </c>
      <c r="G190">
        <v>0.96054300000000004</v>
      </c>
      <c r="H190">
        <v>63538.778160000002</v>
      </c>
      <c r="I190">
        <v>2507.0500000000002</v>
      </c>
      <c r="J190">
        <v>62285.253380000002</v>
      </c>
      <c r="K190">
        <v>376025.59490000003</v>
      </c>
      <c r="L190">
        <v>5.9180488799999997</v>
      </c>
      <c r="M190">
        <v>0.63538778200000001</v>
      </c>
      <c r="N190">
        <v>-3.232543807633621</v>
      </c>
      <c r="O190">
        <v>4.0251106372574327E-2</v>
      </c>
    </row>
    <row r="191" spans="1:15" x14ac:dyDescent="0.3">
      <c r="A191">
        <v>2015</v>
      </c>
      <c r="B191">
        <v>79</v>
      </c>
      <c r="C191" t="s">
        <v>13</v>
      </c>
      <c r="D191">
        <v>62089</v>
      </c>
      <c r="E191">
        <v>1422071</v>
      </c>
      <c r="F191">
        <v>4.3660999999999998E-2</v>
      </c>
      <c r="G191">
        <v>0.95633900000000005</v>
      </c>
      <c r="H191">
        <v>61031.710749999998</v>
      </c>
      <c r="I191">
        <v>2664.71</v>
      </c>
      <c r="J191">
        <v>59699.357989999997</v>
      </c>
      <c r="K191">
        <v>313740.34159999999</v>
      </c>
      <c r="L191">
        <v>5.1406119490000002</v>
      </c>
      <c r="M191">
        <v>0.61031710800000005</v>
      </c>
      <c r="N191">
        <v>-3.1313000238624453</v>
      </c>
      <c r="O191">
        <v>4.4635487709506289E-2</v>
      </c>
    </row>
    <row r="192" spans="1:15" x14ac:dyDescent="0.3">
      <c r="A192">
        <v>2015</v>
      </c>
      <c r="B192">
        <v>80</v>
      </c>
      <c r="C192" t="s">
        <v>13</v>
      </c>
      <c r="D192">
        <v>65302</v>
      </c>
      <c r="E192">
        <v>1351196</v>
      </c>
      <c r="F192">
        <v>4.8328999999999997E-2</v>
      </c>
      <c r="G192">
        <v>0.95167100000000004</v>
      </c>
      <c r="H192">
        <v>58367.007030000001</v>
      </c>
      <c r="I192">
        <v>2820.82</v>
      </c>
      <c r="J192">
        <v>56956.59749</v>
      </c>
      <c r="K192">
        <v>254040.98360000001</v>
      </c>
      <c r="L192">
        <v>4.3524757650000003</v>
      </c>
      <c r="M192">
        <v>0.58367007000000004</v>
      </c>
      <c r="N192">
        <v>-3.0297234844213512</v>
      </c>
      <c r="O192">
        <v>4.9525782373101367E-2</v>
      </c>
    </row>
    <row r="193" spans="1:15" x14ac:dyDescent="0.3">
      <c r="A193">
        <v>2015</v>
      </c>
      <c r="B193">
        <v>81</v>
      </c>
      <c r="C193" t="s">
        <v>13</v>
      </c>
      <c r="D193">
        <v>65249</v>
      </c>
      <c r="E193">
        <v>1201044</v>
      </c>
      <c r="F193">
        <v>5.4327E-2</v>
      </c>
      <c r="G193">
        <v>0.94567299999999999</v>
      </c>
      <c r="H193">
        <v>55546.185850000002</v>
      </c>
      <c r="I193">
        <v>3017.66</v>
      </c>
      <c r="J193">
        <v>54037.357029999999</v>
      </c>
      <c r="K193">
        <v>197084.3861</v>
      </c>
      <c r="L193">
        <v>3.5481173560000001</v>
      </c>
      <c r="M193">
        <v>0.555461859</v>
      </c>
      <c r="N193">
        <v>-2.9127339380548221</v>
      </c>
      <c r="O193">
        <v>5.5843957111158075E-2</v>
      </c>
    </row>
    <row r="194" spans="1:15" x14ac:dyDescent="0.3">
      <c r="A194">
        <v>2015</v>
      </c>
      <c r="B194">
        <v>82</v>
      </c>
      <c r="C194" t="s">
        <v>13</v>
      </c>
      <c r="D194">
        <v>69053</v>
      </c>
      <c r="E194">
        <v>1148948</v>
      </c>
      <c r="F194">
        <v>6.0101000000000002E-2</v>
      </c>
      <c r="G194">
        <v>0.93989900000000004</v>
      </c>
      <c r="H194">
        <v>52528.533640000001</v>
      </c>
      <c r="I194">
        <v>3157.02</v>
      </c>
      <c r="J194">
        <v>50950.024940000003</v>
      </c>
      <c r="K194">
        <v>143047.02910000001</v>
      </c>
      <c r="L194">
        <v>2.7232252479999999</v>
      </c>
      <c r="M194">
        <v>0.52528533600000005</v>
      </c>
      <c r="N194">
        <v>-2.8117287986442925</v>
      </c>
      <c r="O194">
        <v>6.196307287078557E-2</v>
      </c>
    </row>
    <row r="195" spans="1:15" x14ac:dyDescent="0.3">
      <c r="A195">
        <v>2015</v>
      </c>
      <c r="B195">
        <v>83</v>
      </c>
      <c r="C195" t="s">
        <v>13</v>
      </c>
      <c r="D195">
        <v>72140</v>
      </c>
      <c r="E195">
        <v>1082562</v>
      </c>
      <c r="F195">
        <v>6.6638000000000003E-2</v>
      </c>
      <c r="G195">
        <v>0.93336200000000002</v>
      </c>
      <c r="H195">
        <v>49371.512750000002</v>
      </c>
      <c r="I195">
        <v>3290.02</v>
      </c>
      <c r="J195">
        <v>47726.503320000003</v>
      </c>
      <c r="K195">
        <v>92097.004119999998</v>
      </c>
      <c r="L195">
        <v>1.8653875280000001</v>
      </c>
      <c r="M195">
        <v>0.493715128</v>
      </c>
      <c r="N195">
        <v>-2.7084802935787211</v>
      </c>
      <c r="O195">
        <v>6.8934871365267034E-2</v>
      </c>
    </row>
    <row r="196" spans="1:15" x14ac:dyDescent="0.3">
      <c r="A196">
        <v>2015</v>
      </c>
      <c r="B196">
        <v>84</v>
      </c>
      <c r="C196" t="s">
        <v>13</v>
      </c>
      <c r="D196">
        <v>75417</v>
      </c>
      <c r="E196">
        <v>1015591</v>
      </c>
      <c r="F196">
        <v>7.4259000000000006E-2</v>
      </c>
      <c r="G196">
        <v>0.92574100000000004</v>
      </c>
      <c r="H196">
        <v>46081.483240000001</v>
      </c>
      <c r="I196">
        <v>3421.96</v>
      </c>
      <c r="J196">
        <v>44370.500809999998</v>
      </c>
      <c r="K196">
        <v>44370.500809999998</v>
      </c>
      <c r="L196">
        <v>0.96287049999999996</v>
      </c>
      <c r="M196">
        <v>0.46081483200000001</v>
      </c>
      <c r="N196">
        <v>-2.6001962965237113</v>
      </c>
      <c r="O196">
        <v>4.6850017183601537E-2</v>
      </c>
    </row>
    <row r="197" spans="1:15" x14ac:dyDescent="0.3">
      <c r="A197">
        <v>2016</v>
      </c>
      <c r="B197">
        <v>20</v>
      </c>
      <c r="C197" t="s">
        <v>11</v>
      </c>
      <c r="D197">
        <v>901</v>
      </c>
      <c r="E197">
        <v>2088855</v>
      </c>
      <c r="F197">
        <v>4.3100000000000001E-4</v>
      </c>
      <c r="G197">
        <v>0.99956900000000004</v>
      </c>
      <c r="H197">
        <v>100000</v>
      </c>
      <c r="I197">
        <v>43.1</v>
      </c>
      <c r="J197">
        <v>99978.45</v>
      </c>
      <c r="K197">
        <v>5830040.9179999996</v>
      </c>
      <c r="L197">
        <v>58.300409180000003</v>
      </c>
      <c r="M197">
        <v>1</v>
      </c>
      <c r="N197">
        <v>-7.7494024678605262</v>
      </c>
      <c r="O197">
        <v>4.3109297313176657E-4</v>
      </c>
    </row>
    <row r="198" spans="1:15" x14ac:dyDescent="0.3">
      <c r="A198">
        <v>2016</v>
      </c>
      <c r="B198">
        <v>21</v>
      </c>
      <c r="C198" t="s">
        <v>11</v>
      </c>
      <c r="D198">
        <v>1032</v>
      </c>
      <c r="E198">
        <v>2133830</v>
      </c>
      <c r="F198">
        <v>4.84E-4</v>
      </c>
      <c r="G198">
        <v>0.99951599999999996</v>
      </c>
      <c r="H198">
        <v>99956.866320000001</v>
      </c>
      <c r="I198">
        <v>48.38</v>
      </c>
      <c r="J198">
        <v>99932.676760000002</v>
      </c>
      <c r="K198">
        <v>5730062.4680000003</v>
      </c>
      <c r="L198">
        <v>57.325351210000001</v>
      </c>
      <c r="M198">
        <v>0.99956866300000002</v>
      </c>
      <c r="N198">
        <v>-7.6334256512476424</v>
      </c>
      <c r="O198">
        <v>4.8412584147855818E-4</v>
      </c>
    </row>
    <row r="199" spans="1:15" x14ac:dyDescent="0.3">
      <c r="A199">
        <v>2016</v>
      </c>
      <c r="B199">
        <v>22</v>
      </c>
      <c r="C199" t="s">
        <v>11</v>
      </c>
      <c r="D199">
        <v>1107</v>
      </c>
      <c r="E199">
        <v>2178862</v>
      </c>
      <c r="F199">
        <v>5.0799999999999999E-4</v>
      </c>
      <c r="G199">
        <v>0.99949200000000005</v>
      </c>
      <c r="H199">
        <v>99908.523440000004</v>
      </c>
      <c r="I199">
        <v>50.75</v>
      </c>
      <c r="J199">
        <v>99883.146680000005</v>
      </c>
      <c r="K199">
        <v>5630129.7910000002</v>
      </c>
      <c r="L199">
        <v>56.35284755</v>
      </c>
      <c r="M199">
        <v>0.99908523400000004</v>
      </c>
      <c r="N199">
        <v>-7.5850291103857925</v>
      </c>
      <c r="O199">
        <v>5.0809374051107102E-4</v>
      </c>
    </row>
    <row r="200" spans="1:15" x14ac:dyDescent="0.3">
      <c r="A200">
        <v>2016</v>
      </c>
      <c r="B200">
        <v>23</v>
      </c>
      <c r="C200" t="s">
        <v>11</v>
      </c>
      <c r="D200">
        <v>1198</v>
      </c>
      <c r="E200">
        <v>2210629</v>
      </c>
      <c r="F200">
        <v>5.4199999999999995E-4</v>
      </c>
      <c r="G200">
        <v>0.99945799999999996</v>
      </c>
      <c r="H200">
        <v>99857.763579999999</v>
      </c>
      <c r="I200">
        <v>54.12</v>
      </c>
      <c r="J200">
        <v>99830.702130000005</v>
      </c>
      <c r="K200">
        <v>5530246.6440000003</v>
      </c>
      <c r="L200">
        <v>55.38123873</v>
      </c>
      <c r="M200">
        <v>0.99857763600000005</v>
      </c>
      <c r="N200">
        <v>-7.5202445565246281</v>
      </c>
      <c r="O200">
        <v>5.4211777416567867E-4</v>
      </c>
    </row>
    <row r="201" spans="1:15" x14ac:dyDescent="0.3">
      <c r="A201">
        <v>2016</v>
      </c>
      <c r="B201">
        <v>24</v>
      </c>
      <c r="C201" t="s">
        <v>11</v>
      </c>
      <c r="D201">
        <v>1225</v>
      </c>
      <c r="E201">
        <v>2277787</v>
      </c>
      <c r="F201">
        <v>5.3799999999999996E-4</v>
      </c>
      <c r="G201">
        <v>0.99946199999999996</v>
      </c>
      <c r="H201">
        <v>99803.647939999995</v>
      </c>
      <c r="I201">
        <v>53.69</v>
      </c>
      <c r="J201">
        <v>99776.800759999998</v>
      </c>
      <c r="K201">
        <v>5430415.9419999998</v>
      </c>
      <c r="L201">
        <v>54.410996529999998</v>
      </c>
      <c r="M201">
        <v>0.99803647900000003</v>
      </c>
      <c r="N201">
        <v>-7.5276519978024901</v>
      </c>
      <c r="O201">
        <v>5.3810098433141826E-4</v>
      </c>
    </row>
    <row r="202" spans="1:15" x14ac:dyDescent="0.3">
      <c r="A202">
        <v>2016</v>
      </c>
      <c r="B202">
        <v>25</v>
      </c>
      <c r="C202" t="s">
        <v>11</v>
      </c>
      <c r="D202">
        <v>1379</v>
      </c>
      <c r="E202">
        <v>2332540</v>
      </c>
      <c r="F202">
        <v>5.9100000000000005E-4</v>
      </c>
      <c r="G202">
        <v>0.99940899999999999</v>
      </c>
      <c r="H202">
        <v>99749.973270000002</v>
      </c>
      <c r="I202">
        <v>58.95</v>
      </c>
      <c r="J202">
        <v>99720.497149999996</v>
      </c>
      <c r="K202">
        <v>5330639.1409999998</v>
      </c>
      <c r="L202">
        <v>53.440005710000001</v>
      </c>
      <c r="M202">
        <v>0.99749973300000006</v>
      </c>
      <c r="N202">
        <v>-7.433694540558176</v>
      </c>
      <c r="O202">
        <v>5.9115234692050747E-4</v>
      </c>
    </row>
    <row r="203" spans="1:15" x14ac:dyDescent="0.3">
      <c r="A203">
        <v>2016</v>
      </c>
      <c r="B203">
        <v>26</v>
      </c>
      <c r="C203" t="s">
        <v>11</v>
      </c>
      <c r="D203">
        <v>1476</v>
      </c>
      <c r="E203">
        <v>2333494</v>
      </c>
      <c r="F203">
        <v>6.3299999999999999E-4</v>
      </c>
      <c r="G203">
        <v>0.99936700000000001</v>
      </c>
      <c r="H203">
        <v>99691.000979999997</v>
      </c>
      <c r="I203">
        <v>63.1</v>
      </c>
      <c r="J203">
        <v>99659.448780000006</v>
      </c>
      <c r="K203">
        <v>5230918.6440000003</v>
      </c>
      <c r="L203">
        <v>52.471322309999998</v>
      </c>
      <c r="M203">
        <v>0.99691001000000001</v>
      </c>
      <c r="N203">
        <v>-7.3650401358200979</v>
      </c>
      <c r="O203">
        <v>6.3315607171344275E-4</v>
      </c>
    </row>
    <row r="204" spans="1:15" x14ac:dyDescent="0.3">
      <c r="A204">
        <v>2016</v>
      </c>
      <c r="B204">
        <v>27</v>
      </c>
      <c r="C204" t="s">
        <v>11</v>
      </c>
      <c r="D204">
        <v>1536</v>
      </c>
      <c r="E204">
        <v>2243248</v>
      </c>
      <c r="F204">
        <v>6.8499999999999995E-4</v>
      </c>
      <c r="G204">
        <v>0.99931499999999995</v>
      </c>
      <c r="H204">
        <v>99627.943650000001</v>
      </c>
      <c r="I204">
        <v>68.25</v>
      </c>
      <c r="J204">
        <v>99593.821079999994</v>
      </c>
      <c r="K204">
        <v>5131259.1950000003</v>
      </c>
      <c r="L204">
        <v>51.504216659999997</v>
      </c>
      <c r="M204">
        <v>0.99627943699999999</v>
      </c>
      <c r="N204">
        <v>-7.2860917197020489</v>
      </c>
      <c r="O204">
        <v>6.8528338155507071E-4</v>
      </c>
    </row>
    <row r="205" spans="1:15" x14ac:dyDescent="0.3">
      <c r="A205">
        <v>2016</v>
      </c>
      <c r="B205">
        <v>28</v>
      </c>
      <c r="C205" t="s">
        <v>11</v>
      </c>
      <c r="D205">
        <v>1564</v>
      </c>
      <c r="E205">
        <v>2193389</v>
      </c>
      <c r="F205">
        <v>7.1299999999999998E-4</v>
      </c>
      <c r="G205">
        <v>0.99928700000000004</v>
      </c>
      <c r="H205">
        <v>99559.726259999996</v>
      </c>
      <c r="I205">
        <v>70.989999999999995</v>
      </c>
      <c r="J205">
        <v>99524.233219999995</v>
      </c>
      <c r="K205">
        <v>5031665.3739999998</v>
      </c>
      <c r="L205">
        <v>50.539164409999998</v>
      </c>
      <c r="M205">
        <v>0.99559726299999995</v>
      </c>
      <c r="N205">
        <v>-7.2460291375499786</v>
      </c>
      <c r="O205">
        <v>7.1329363255050627E-4</v>
      </c>
    </row>
    <row r="206" spans="1:15" x14ac:dyDescent="0.3">
      <c r="A206">
        <v>2016</v>
      </c>
      <c r="B206">
        <v>29</v>
      </c>
      <c r="C206" t="s">
        <v>11</v>
      </c>
      <c r="D206">
        <v>1587</v>
      </c>
      <c r="E206">
        <v>2156739</v>
      </c>
      <c r="F206">
        <v>7.36E-4</v>
      </c>
      <c r="G206">
        <v>0.99926400000000004</v>
      </c>
      <c r="H206">
        <v>99488.735019999993</v>
      </c>
      <c r="I206">
        <v>73.22</v>
      </c>
      <c r="J206">
        <v>99452.123170000006</v>
      </c>
      <c r="K206">
        <v>4932141.1409999998</v>
      </c>
      <c r="L206">
        <v>49.574870359999998</v>
      </c>
      <c r="M206">
        <v>0.99488734999999995</v>
      </c>
      <c r="N206">
        <v>-7.2142804392353979</v>
      </c>
      <c r="O206">
        <v>7.3623359219574067E-4</v>
      </c>
    </row>
    <row r="207" spans="1:15" x14ac:dyDescent="0.3">
      <c r="A207">
        <v>2016</v>
      </c>
      <c r="B207">
        <v>30</v>
      </c>
      <c r="C207" t="s">
        <v>11</v>
      </c>
      <c r="D207">
        <v>1725</v>
      </c>
      <c r="E207">
        <v>2167435</v>
      </c>
      <c r="F207">
        <v>7.9600000000000005E-4</v>
      </c>
      <c r="G207">
        <v>0.99920399999999998</v>
      </c>
      <c r="H207">
        <v>99415.527910000004</v>
      </c>
      <c r="I207">
        <v>79.13</v>
      </c>
      <c r="J207">
        <v>99375.960529999997</v>
      </c>
      <c r="K207">
        <v>4832689.0180000002</v>
      </c>
      <c r="L207">
        <v>48.611007950000001</v>
      </c>
      <c r="M207">
        <v>0.994155279</v>
      </c>
      <c r="N207">
        <v>-7.1359113721198915</v>
      </c>
      <c r="O207">
        <v>7.9626898193266586E-4</v>
      </c>
    </row>
    <row r="208" spans="1:15" x14ac:dyDescent="0.3">
      <c r="A208">
        <v>2016</v>
      </c>
      <c r="B208">
        <v>31</v>
      </c>
      <c r="C208" t="s">
        <v>11</v>
      </c>
      <c r="D208">
        <v>1907</v>
      </c>
      <c r="E208">
        <v>2190224</v>
      </c>
      <c r="F208">
        <v>8.7100000000000003E-4</v>
      </c>
      <c r="G208">
        <v>0.99912900000000004</v>
      </c>
      <c r="H208">
        <v>99336.405910000001</v>
      </c>
      <c r="I208">
        <v>86.52</v>
      </c>
      <c r="J208">
        <v>99293.144910000003</v>
      </c>
      <c r="K208">
        <v>4733313.057</v>
      </c>
      <c r="L208">
        <v>47.649328699999998</v>
      </c>
      <c r="M208">
        <v>0.99336405900000002</v>
      </c>
      <c r="N208">
        <v>-7.0458685811117716</v>
      </c>
      <c r="O208">
        <v>8.7135911090554456E-4</v>
      </c>
    </row>
    <row r="209" spans="1:15" x14ac:dyDescent="0.3">
      <c r="A209">
        <v>2016</v>
      </c>
      <c r="B209">
        <v>32</v>
      </c>
      <c r="C209" t="s">
        <v>11</v>
      </c>
      <c r="D209">
        <v>1977</v>
      </c>
      <c r="E209">
        <v>2128886</v>
      </c>
      <c r="F209">
        <v>9.2900000000000003E-4</v>
      </c>
      <c r="G209">
        <v>0.99907100000000004</v>
      </c>
      <c r="H209">
        <v>99249.914969999998</v>
      </c>
      <c r="I209">
        <v>92.2</v>
      </c>
      <c r="J209">
        <v>99203.813380000007</v>
      </c>
      <c r="K209">
        <v>4634019.9119999995</v>
      </c>
      <c r="L209">
        <v>46.690416949999999</v>
      </c>
      <c r="M209">
        <v>0.99249915</v>
      </c>
      <c r="N209">
        <v>-6.9814018191504355</v>
      </c>
      <c r="O209">
        <v>9.2939959593003841E-4</v>
      </c>
    </row>
    <row r="210" spans="1:15" x14ac:dyDescent="0.3">
      <c r="A210">
        <v>2016</v>
      </c>
      <c r="B210">
        <v>33</v>
      </c>
      <c r="C210" t="s">
        <v>11</v>
      </c>
      <c r="D210">
        <v>2022</v>
      </c>
      <c r="E210">
        <v>2164564</v>
      </c>
      <c r="F210">
        <v>9.3400000000000004E-4</v>
      </c>
      <c r="G210">
        <v>0.99906600000000001</v>
      </c>
      <c r="H210">
        <v>99157.746069999994</v>
      </c>
      <c r="I210">
        <v>92.61</v>
      </c>
      <c r="J210">
        <v>99111.439400000003</v>
      </c>
      <c r="K210">
        <v>4534816.0990000004</v>
      </c>
      <c r="L210">
        <v>45.733351939999999</v>
      </c>
      <c r="M210">
        <v>0.99157746099999999</v>
      </c>
      <c r="N210">
        <v>-6.9760341197354316</v>
      </c>
      <c r="O210">
        <v>9.344027987006619E-4</v>
      </c>
    </row>
    <row r="211" spans="1:15" x14ac:dyDescent="0.3">
      <c r="A211">
        <v>2016</v>
      </c>
      <c r="B211">
        <v>34</v>
      </c>
      <c r="C211" t="s">
        <v>11</v>
      </c>
      <c r="D211">
        <v>2186</v>
      </c>
      <c r="E211">
        <v>2166986</v>
      </c>
      <c r="F211">
        <v>1.0089999999999999E-3</v>
      </c>
      <c r="G211">
        <v>0.99899099999999996</v>
      </c>
      <c r="H211">
        <v>99065.119120000003</v>
      </c>
      <c r="I211">
        <v>99.96</v>
      </c>
      <c r="J211">
        <v>99015.140769999998</v>
      </c>
      <c r="K211">
        <v>4435704.66</v>
      </c>
      <c r="L211">
        <v>44.775645539999999</v>
      </c>
      <c r="M211">
        <v>0.99065119099999999</v>
      </c>
      <c r="N211">
        <v>-6.8987955376106651</v>
      </c>
      <c r="O211">
        <v>1.0095424592745646E-3</v>
      </c>
    </row>
    <row r="212" spans="1:15" x14ac:dyDescent="0.3">
      <c r="A212">
        <v>2016</v>
      </c>
      <c r="B212">
        <v>35</v>
      </c>
      <c r="C212" t="s">
        <v>11</v>
      </c>
      <c r="D212">
        <v>2318</v>
      </c>
      <c r="E212">
        <v>2146149</v>
      </c>
      <c r="F212">
        <v>1.08E-3</v>
      </c>
      <c r="G212">
        <v>0.99892000000000003</v>
      </c>
      <c r="H212">
        <v>98965.184770000007</v>
      </c>
      <c r="I212">
        <v>106.88</v>
      </c>
      <c r="J212">
        <v>98911.743570000006</v>
      </c>
      <c r="K212">
        <v>4336689.5190000003</v>
      </c>
      <c r="L212">
        <v>43.820354889999997</v>
      </c>
      <c r="M212">
        <v>0.98965184799999995</v>
      </c>
      <c r="N212">
        <v>-6.8307942378460087</v>
      </c>
      <c r="O212">
        <v>1.0805592956716354E-3</v>
      </c>
    </row>
    <row r="213" spans="1:15" x14ac:dyDescent="0.3">
      <c r="A213">
        <v>2016</v>
      </c>
      <c r="B213">
        <v>36</v>
      </c>
      <c r="C213" t="s">
        <v>11</v>
      </c>
      <c r="D213">
        <v>2461</v>
      </c>
      <c r="E213">
        <v>2179618</v>
      </c>
      <c r="F213">
        <v>1.129E-3</v>
      </c>
      <c r="G213">
        <v>0.99887099999999995</v>
      </c>
      <c r="H213">
        <v>98858.295029999994</v>
      </c>
      <c r="I213">
        <v>111.61</v>
      </c>
      <c r="J213">
        <v>98802.489520000003</v>
      </c>
      <c r="K213">
        <v>4237777.7750000004</v>
      </c>
      <c r="L213">
        <v>42.867194640000001</v>
      </c>
      <c r="M213">
        <v>0.98858294999999996</v>
      </c>
      <c r="N213">
        <v>-6.7864229938146119</v>
      </c>
      <c r="O213">
        <v>1.1296274613437041E-3</v>
      </c>
    </row>
    <row r="214" spans="1:15" x14ac:dyDescent="0.3">
      <c r="A214">
        <v>2016</v>
      </c>
      <c r="B214">
        <v>37</v>
      </c>
      <c r="C214" t="s">
        <v>11</v>
      </c>
      <c r="D214">
        <v>2441</v>
      </c>
      <c r="E214">
        <v>2054543</v>
      </c>
      <c r="F214">
        <v>1.188E-3</v>
      </c>
      <c r="G214">
        <v>0.99881200000000003</v>
      </c>
      <c r="H214">
        <v>98746.674429999999</v>
      </c>
      <c r="I214">
        <v>117.31</v>
      </c>
      <c r="J214">
        <v>98688.018909999999</v>
      </c>
      <c r="K214">
        <v>4138975.2859999998</v>
      </c>
      <c r="L214">
        <v>41.915085339999997</v>
      </c>
      <c r="M214">
        <v>0.98746674400000001</v>
      </c>
      <c r="N214">
        <v>-6.7354840580416839</v>
      </c>
      <c r="O214">
        <v>1.1886955184277916E-3</v>
      </c>
    </row>
    <row r="215" spans="1:15" x14ac:dyDescent="0.3">
      <c r="A215">
        <v>2016</v>
      </c>
      <c r="B215">
        <v>38</v>
      </c>
      <c r="C215" t="s">
        <v>11</v>
      </c>
      <c r="D215">
        <v>2606</v>
      </c>
      <c r="E215">
        <v>2016225</v>
      </c>
      <c r="F215">
        <v>1.2930000000000001E-3</v>
      </c>
      <c r="G215">
        <v>0.99870700000000001</v>
      </c>
      <c r="H215">
        <v>98629.353629999998</v>
      </c>
      <c r="I215">
        <v>127.53</v>
      </c>
      <c r="J215">
        <v>98565.589749999999</v>
      </c>
      <c r="K215">
        <v>4040287.267</v>
      </c>
      <c r="L215">
        <v>40.964349030000001</v>
      </c>
      <c r="M215">
        <v>0.98629353600000003</v>
      </c>
      <c r="N215">
        <v>-6.6507901791924162</v>
      </c>
      <c r="O215">
        <v>1.2938589353094039E-3</v>
      </c>
    </row>
    <row r="216" spans="1:15" x14ac:dyDescent="0.3">
      <c r="A216">
        <v>2016</v>
      </c>
      <c r="B216">
        <v>39</v>
      </c>
      <c r="C216" t="s">
        <v>11</v>
      </c>
      <c r="D216">
        <v>2642</v>
      </c>
      <c r="E216">
        <v>2000928</v>
      </c>
      <c r="F216">
        <v>1.32E-3</v>
      </c>
      <c r="G216">
        <v>0.99868000000000001</v>
      </c>
      <c r="H216">
        <v>98501.873770000006</v>
      </c>
      <c r="I216">
        <v>130.02000000000001</v>
      </c>
      <c r="J216">
        <v>98436.862529999999</v>
      </c>
      <c r="K216">
        <v>3941721.6770000001</v>
      </c>
      <c r="L216">
        <v>40.016717720000003</v>
      </c>
      <c r="M216">
        <v>0.98501873799999995</v>
      </c>
      <c r="N216">
        <v>-6.6301235423838571</v>
      </c>
      <c r="O216">
        <v>1.3208469048424753E-3</v>
      </c>
    </row>
    <row r="217" spans="1:15" x14ac:dyDescent="0.3">
      <c r="A217">
        <v>2016</v>
      </c>
      <c r="B217">
        <v>40</v>
      </c>
      <c r="C217" t="s">
        <v>11</v>
      </c>
      <c r="D217">
        <v>2739</v>
      </c>
      <c r="E217">
        <v>1941028</v>
      </c>
      <c r="F217">
        <v>1.4109999999999999E-3</v>
      </c>
      <c r="G217">
        <v>0.99858899999999995</v>
      </c>
      <c r="H217">
        <v>98371.813139999998</v>
      </c>
      <c r="I217">
        <v>138.80000000000001</v>
      </c>
      <c r="J217">
        <v>98302.411829999997</v>
      </c>
      <c r="K217">
        <v>3843284.8149999999</v>
      </c>
      <c r="L217">
        <v>39.068963879999998</v>
      </c>
      <c r="M217">
        <v>0.98371813100000005</v>
      </c>
      <c r="N217">
        <v>-6.5634566061114601</v>
      </c>
      <c r="O217">
        <v>1.4119695022809075E-3</v>
      </c>
    </row>
    <row r="218" spans="1:15" x14ac:dyDescent="0.3">
      <c r="A218">
        <v>2016</v>
      </c>
      <c r="B218">
        <v>41</v>
      </c>
      <c r="C218" t="s">
        <v>11</v>
      </c>
      <c r="D218">
        <v>2863</v>
      </c>
      <c r="E218">
        <v>1996568</v>
      </c>
      <c r="F218">
        <v>1.4339999999999999E-3</v>
      </c>
      <c r="G218">
        <v>0.99856599999999995</v>
      </c>
      <c r="H218">
        <v>98232.999890000006</v>
      </c>
      <c r="I218">
        <v>140.87</v>
      </c>
      <c r="J218">
        <v>98162.566829999996</v>
      </c>
      <c r="K218">
        <v>3744982.4029999999</v>
      </c>
      <c r="L218">
        <v>38.123465709999998</v>
      </c>
      <c r="M218">
        <v>0.98232999899999995</v>
      </c>
      <c r="N218">
        <v>-6.5472875368047081</v>
      </c>
      <c r="O218">
        <v>1.435068395005192E-3</v>
      </c>
    </row>
    <row r="219" spans="1:15" x14ac:dyDescent="0.3">
      <c r="A219">
        <v>2016</v>
      </c>
      <c r="B219">
        <v>42</v>
      </c>
      <c r="C219" t="s">
        <v>11</v>
      </c>
      <c r="D219">
        <v>3134</v>
      </c>
      <c r="E219">
        <v>1941928</v>
      </c>
      <c r="F219">
        <v>1.614E-3</v>
      </c>
      <c r="G219">
        <v>0.998386</v>
      </c>
      <c r="H219">
        <v>98092.137629999997</v>
      </c>
      <c r="I219">
        <v>158.32</v>
      </c>
      <c r="J219">
        <v>98012.977270000003</v>
      </c>
      <c r="K219">
        <v>3646819.8360000001</v>
      </c>
      <c r="L219">
        <v>37.177493769999998</v>
      </c>
      <c r="M219">
        <v>0.98092137599999996</v>
      </c>
      <c r="N219">
        <v>-6.4290397091343801</v>
      </c>
      <c r="O219">
        <v>1.6152961915113055E-3</v>
      </c>
    </row>
    <row r="220" spans="1:15" x14ac:dyDescent="0.3">
      <c r="A220">
        <v>2016</v>
      </c>
      <c r="B220">
        <v>43</v>
      </c>
      <c r="C220" t="s">
        <v>11</v>
      </c>
      <c r="D220">
        <v>3495</v>
      </c>
      <c r="E220">
        <v>1977320</v>
      </c>
      <c r="F220">
        <v>1.768E-3</v>
      </c>
      <c r="G220">
        <v>0.99823200000000001</v>
      </c>
      <c r="H220">
        <v>97933.830650000004</v>
      </c>
      <c r="I220">
        <v>173.15</v>
      </c>
      <c r="J220">
        <v>97847.257140000002</v>
      </c>
      <c r="K220">
        <v>3548806.8590000002</v>
      </c>
      <c r="L220">
        <v>36.236781870000002</v>
      </c>
      <c r="M220">
        <v>0.97933830700000002</v>
      </c>
      <c r="N220">
        <v>-6.337906314766685</v>
      </c>
      <c r="O220">
        <v>1.7695944223389457E-3</v>
      </c>
    </row>
    <row r="221" spans="1:15" x14ac:dyDescent="0.3">
      <c r="A221">
        <v>2016</v>
      </c>
      <c r="B221">
        <v>44</v>
      </c>
      <c r="C221" t="s">
        <v>11</v>
      </c>
      <c r="D221">
        <v>3878</v>
      </c>
      <c r="E221">
        <v>2063086</v>
      </c>
      <c r="F221">
        <v>1.8799999999999999E-3</v>
      </c>
      <c r="G221">
        <v>0.99812000000000001</v>
      </c>
      <c r="H221">
        <v>97760.728300000002</v>
      </c>
      <c r="I221">
        <v>183.79</v>
      </c>
      <c r="J221">
        <v>97668.83322</v>
      </c>
      <c r="K221">
        <v>3450959.6009999998</v>
      </c>
      <c r="L221">
        <v>35.300060270000003</v>
      </c>
      <c r="M221">
        <v>0.97760728299999999</v>
      </c>
      <c r="N221">
        <v>-6.2764835021402794</v>
      </c>
      <c r="O221">
        <v>1.8817668556645247E-3</v>
      </c>
    </row>
    <row r="222" spans="1:15" x14ac:dyDescent="0.3">
      <c r="A222">
        <v>2016</v>
      </c>
      <c r="B222">
        <v>45</v>
      </c>
      <c r="C222" t="s">
        <v>11</v>
      </c>
      <c r="D222">
        <v>4549</v>
      </c>
      <c r="E222">
        <v>2181652</v>
      </c>
      <c r="F222">
        <v>2.085E-3</v>
      </c>
      <c r="G222">
        <v>0.997915</v>
      </c>
      <c r="H222">
        <v>97576.966639999999</v>
      </c>
      <c r="I222">
        <v>203.45</v>
      </c>
      <c r="J222">
        <v>97475.24265</v>
      </c>
      <c r="K222">
        <v>3353290.7680000002</v>
      </c>
      <c r="L222">
        <v>34.365597579999999</v>
      </c>
      <c r="M222">
        <v>0.97576966600000004</v>
      </c>
      <c r="N222">
        <v>-6.1729864237313725</v>
      </c>
      <c r="O222">
        <v>2.0871967731171744E-3</v>
      </c>
    </row>
    <row r="223" spans="1:15" x14ac:dyDescent="0.3">
      <c r="A223">
        <v>2016</v>
      </c>
      <c r="B223">
        <v>46</v>
      </c>
      <c r="C223" t="s">
        <v>11</v>
      </c>
      <c r="D223">
        <v>4860</v>
      </c>
      <c r="E223">
        <v>2199725</v>
      </c>
      <c r="F223">
        <v>2.209E-3</v>
      </c>
      <c r="G223">
        <v>0.99779099999999998</v>
      </c>
      <c r="H223">
        <v>97373.507240000006</v>
      </c>
      <c r="I223">
        <v>215.1</v>
      </c>
      <c r="J223">
        <v>97265.958199999994</v>
      </c>
      <c r="K223">
        <v>3255815.5260000001</v>
      </c>
      <c r="L223">
        <v>33.436358800000001</v>
      </c>
      <c r="M223">
        <v>0.97373507199999998</v>
      </c>
      <c r="N223">
        <v>-6.1152153545441568</v>
      </c>
      <c r="O223">
        <v>2.2114627100731999E-3</v>
      </c>
    </row>
    <row r="224" spans="1:15" x14ac:dyDescent="0.3">
      <c r="A224">
        <v>2016</v>
      </c>
      <c r="B224">
        <v>47</v>
      </c>
      <c r="C224" t="s">
        <v>11</v>
      </c>
      <c r="D224">
        <v>4931</v>
      </c>
      <c r="E224">
        <v>2088622</v>
      </c>
      <c r="F224">
        <v>2.3609999999999998E-3</v>
      </c>
      <c r="G224">
        <v>0.99763900000000005</v>
      </c>
      <c r="H224">
        <v>97158.373420000004</v>
      </c>
      <c r="I224">
        <v>229.39</v>
      </c>
      <c r="J224">
        <v>97043.677960000001</v>
      </c>
      <c r="K224">
        <v>3158549.5669999998</v>
      </c>
      <c r="L224">
        <v>32.509288249999997</v>
      </c>
      <c r="M224">
        <v>0.97158373399999998</v>
      </c>
      <c r="N224">
        <v>-6.0486700208787614</v>
      </c>
      <c r="O224">
        <v>2.3637808440623671E-3</v>
      </c>
    </row>
    <row r="225" spans="1:15" x14ac:dyDescent="0.3">
      <c r="A225">
        <v>2016</v>
      </c>
      <c r="B225">
        <v>48</v>
      </c>
      <c r="C225" t="s">
        <v>11</v>
      </c>
      <c r="D225">
        <v>5386</v>
      </c>
      <c r="E225">
        <v>2046863</v>
      </c>
      <c r="F225">
        <v>2.6310000000000001E-3</v>
      </c>
      <c r="G225">
        <v>0.99736899999999995</v>
      </c>
      <c r="H225">
        <v>96928.993499999997</v>
      </c>
      <c r="I225">
        <v>255.02</v>
      </c>
      <c r="J225">
        <v>96801.483410000001</v>
      </c>
      <c r="K225">
        <v>3061505.889</v>
      </c>
      <c r="L225">
        <v>31.585037450000002</v>
      </c>
      <c r="M225">
        <v>0.96928993500000005</v>
      </c>
      <c r="N225">
        <v>-5.9403912769239815</v>
      </c>
      <c r="O225">
        <v>2.6344642137029156E-3</v>
      </c>
    </row>
    <row r="226" spans="1:15" x14ac:dyDescent="0.3">
      <c r="A226">
        <v>2016</v>
      </c>
      <c r="B226">
        <v>49</v>
      </c>
      <c r="C226" t="s">
        <v>11</v>
      </c>
      <c r="D226">
        <v>6090</v>
      </c>
      <c r="E226">
        <v>2054806</v>
      </c>
      <c r="F226">
        <v>2.9640000000000001E-3</v>
      </c>
      <c r="G226">
        <v>0.99703600000000003</v>
      </c>
      <c r="H226">
        <v>96673.940010000006</v>
      </c>
      <c r="I226">
        <v>286.54000000000002</v>
      </c>
      <c r="J226">
        <v>96530.66923</v>
      </c>
      <c r="K226">
        <v>2964704.406</v>
      </c>
      <c r="L226">
        <v>30.667048489999999</v>
      </c>
      <c r="M226">
        <v>0.96673940000000003</v>
      </c>
      <c r="N226">
        <v>-5.8212155715482963</v>
      </c>
      <c r="O226">
        <v>2.9683827038756668E-3</v>
      </c>
    </row>
    <row r="227" spans="1:15" x14ac:dyDescent="0.3">
      <c r="A227">
        <v>2016</v>
      </c>
      <c r="B227">
        <v>50</v>
      </c>
      <c r="C227" t="s">
        <v>11</v>
      </c>
      <c r="D227">
        <v>6721</v>
      </c>
      <c r="E227">
        <v>2091455</v>
      </c>
      <c r="F227">
        <v>3.2139999999999998E-3</v>
      </c>
      <c r="G227">
        <v>0.99678599999999995</v>
      </c>
      <c r="H227">
        <v>96387.419380000007</v>
      </c>
      <c r="I227">
        <v>309.79000000000002</v>
      </c>
      <c r="J227">
        <v>96232.524799999999</v>
      </c>
      <c r="K227">
        <v>2868173.7370000002</v>
      </c>
      <c r="L227">
        <v>29.756722979999999</v>
      </c>
      <c r="M227">
        <v>0.96387419399999996</v>
      </c>
      <c r="N227">
        <v>-5.7402390116668158</v>
      </c>
      <c r="O227">
        <v>3.2191811572023364E-3</v>
      </c>
    </row>
    <row r="228" spans="1:15" x14ac:dyDescent="0.3">
      <c r="A228">
        <v>2016</v>
      </c>
      <c r="B228">
        <v>51</v>
      </c>
      <c r="C228" t="s">
        <v>11</v>
      </c>
      <c r="D228">
        <v>7660</v>
      </c>
      <c r="E228">
        <v>2217966</v>
      </c>
      <c r="F228">
        <v>3.454E-3</v>
      </c>
      <c r="G228">
        <v>0.99654600000000004</v>
      </c>
      <c r="H228">
        <v>96077.673370000004</v>
      </c>
      <c r="I228">
        <v>331.85</v>
      </c>
      <c r="J228">
        <v>95911.747229999994</v>
      </c>
      <c r="K228">
        <v>2771941.2119999998</v>
      </c>
      <c r="L228">
        <v>28.851044309999999</v>
      </c>
      <c r="M228">
        <v>0.96077673399999997</v>
      </c>
      <c r="N228">
        <v>-5.6682222992576499</v>
      </c>
      <c r="O228">
        <v>3.4599508979908391E-3</v>
      </c>
    </row>
    <row r="229" spans="1:15" x14ac:dyDescent="0.3">
      <c r="A229">
        <v>2016</v>
      </c>
      <c r="B229">
        <v>52</v>
      </c>
      <c r="C229" t="s">
        <v>11</v>
      </c>
      <c r="D229">
        <v>8543</v>
      </c>
      <c r="E229">
        <v>2266189</v>
      </c>
      <c r="F229">
        <v>3.7699999999999999E-3</v>
      </c>
      <c r="G229">
        <v>0.99622999999999995</v>
      </c>
      <c r="H229">
        <v>95745.858110000001</v>
      </c>
      <c r="I229">
        <v>360.96</v>
      </c>
      <c r="J229">
        <v>95565.377170000007</v>
      </c>
      <c r="K229">
        <v>2676029.4649999999</v>
      </c>
      <c r="L229">
        <v>27.949297420000001</v>
      </c>
      <c r="M229">
        <v>0.95745858100000003</v>
      </c>
      <c r="N229">
        <v>-5.5806802775222177</v>
      </c>
      <c r="O229">
        <v>3.7770997009137202E-3</v>
      </c>
    </row>
    <row r="230" spans="1:15" x14ac:dyDescent="0.3">
      <c r="A230">
        <v>2016</v>
      </c>
      <c r="B230">
        <v>53</v>
      </c>
      <c r="C230" t="s">
        <v>11</v>
      </c>
      <c r="D230">
        <v>9477</v>
      </c>
      <c r="E230">
        <v>2267892</v>
      </c>
      <c r="F230">
        <v>4.1790000000000004E-3</v>
      </c>
      <c r="G230">
        <v>0.99582099999999996</v>
      </c>
      <c r="H230">
        <v>95384.918720000001</v>
      </c>
      <c r="I230">
        <v>398.61</v>
      </c>
      <c r="J230">
        <v>95185.611929999999</v>
      </c>
      <c r="K230">
        <v>2580464.088</v>
      </c>
      <c r="L230">
        <v>27.0531665</v>
      </c>
      <c r="M230">
        <v>0.95384918699999999</v>
      </c>
      <c r="N230">
        <v>-5.4776832955163588</v>
      </c>
      <c r="O230">
        <v>4.1877122609422371E-3</v>
      </c>
    </row>
    <row r="231" spans="1:15" x14ac:dyDescent="0.3">
      <c r="A231">
        <v>2016</v>
      </c>
      <c r="B231">
        <v>54</v>
      </c>
      <c r="C231" t="s">
        <v>11</v>
      </c>
      <c r="D231">
        <v>10213</v>
      </c>
      <c r="E231">
        <v>2265370</v>
      </c>
      <c r="F231">
        <v>4.5079999999999999E-3</v>
      </c>
      <c r="G231">
        <v>0.99549200000000004</v>
      </c>
      <c r="H231">
        <v>94986.327040000004</v>
      </c>
      <c r="I231">
        <v>428.2</v>
      </c>
      <c r="J231">
        <v>94772.227859999999</v>
      </c>
      <c r="K231">
        <v>2485278.4759999998</v>
      </c>
      <c r="L231">
        <v>26.164591819999998</v>
      </c>
      <c r="M231">
        <v>0.94986327000000004</v>
      </c>
      <c r="N231">
        <v>-5.4019016828046071</v>
      </c>
      <c r="O231">
        <v>4.5182019786082564E-3</v>
      </c>
    </row>
    <row r="232" spans="1:15" x14ac:dyDescent="0.3">
      <c r="A232">
        <v>2016</v>
      </c>
      <c r="B232">
        <v>55</v>
      </c>
      <c r="C232" t="s">
        <v>11</v>
      </c>
      <c r="D232">
        <v>11212</v>
      </c>
      <c r="E232">
        <v>2297597</v>
      </c>
      <c r="F232">
        <v>4.8799999999999998E-3</v>
      </c>
      <c r="G232">
        <v>0.99512</v>
      </c>
      <c r="H232">
        <v>94558.098830000003</v>
      </c>
      <c r="I232">
        <v>461.44</v>
      </c>
      <c r="J232">
        <v>94327.377070000002</v>
      </c>
      <c r="K232">
        <v>2390506.2480000001</v>
      </c>
      <c r="L232">
        <v>25.280819699999999</v>
      </c>
      <c r="M232">
        <v>0.94558098800000001</v>
      </c>
      <c r="N232">
        <v>-5.3226100591170811</v>
      </c>
      <c r="O232">
        <v>4.8918986919894575E-3</v>
      </c>
    </row>
    <row r="233" spans="1:15" x14ac:dyDescent="0.3">
      <c r="A233">
        <v>2016</v>
      </c>
      <c r="B233">
        <v>56</v>
      </c>
      <c r="C233" t="s">
        <v>11</v>
      </c>
      <c r="D233">
        <v>11931</v>
      </c>
      <c r="E233">
        <v>2311661</v>
      </c>
      <c r="F233">
        <v>5.1609999999999998E-3</v>
      </c>
      <c r="G233">
        <v>0.99483900000000003</v>
      </c>
      <c r="H233">
        <v>94096.666549999994</v>
      </c>
      <c r="I233">
        <v>485.63</v>
      </c>
      <c r="J233">
        <v>93853.850099999996</v>
      </c>
      <c r="K233">
        <v>2296178.8709999998</v>
      </c>
      <c r="L233">
        <v>24.402340219999999</v>
      </c>
      <c r="M233">
        <v>0.94096666600000001</v>
      </c>
      <c r="N233">
        <v>-5.2666249198155466</v>
      </c>
      <c r="O233">
        <v>5.1743221398821669E-3</v>
      </c>
    </row>
    <row r="234" spans="1:15" x14ac:dyDescent="0.3">
      <c r="A234">
        <v>2016</v>
      </c>
      <c r="B234">
        <v>57</v>
      </c>
      <c r="C234" t="s">
        <v>11</v>
      </c>
      <c r="D234">
        <v>12662</v>
      </c>
      <c r="E234">
        <v>2241986</v>
      </c>
      <c r="F234">
        <v>5.6480000000000002E-3</v>
      </c>
      <c r="G234">
        <v>0.99435200000000001</v>
      </c>
      <c r="H234">
        <v>93611.012589999998</v>
      </c>
      <c r="I234">
        <v>528.71</v>
      </c>
      <c r="J234">
        <v>93346.65509</v>
      </c>
      <c r="K234">
        <v>2202325.0210000002</v>
      </c>
      <c r="L234">
        <v>23.526345460000002</v>
      </c>
      <c r="M234">
        <v>0.93611012599999999</v>
      </c>
      <c r="N234">
        <v>-5.1764537787911964</v>
      </c>
      <c r="O234">
        <v>5.6639406345146354E-3</v>
      </c>
    </row>
    <row r="235" spans="1:15" x14ac:dyDescent="0.3">
      <c r="A235">
        <v>2016</v>
      </c>
      <c r="B235">
        <v>58</v>
      </c>
      <c r="C235" t="s">
        <v>11</v>
      </c>
      <c r="D235">
        <v>13403</v>
      </c>
      <c r="E235">
        <v>2232174</v>
      </c>
      <c r="F235">
        <v>6.0039999999999998E-3</v>
      </c>
      <c r="G235">
        <v>0.99399599999999999</v>
      </c>
      <c r="H235">
        <v>93082.32836</v>
      </c>
      <c r="I235">
        <v>558.87</v>
      </c>
      <c r="J235">
        <v>92802.895210000002</v>
      </c>
      <c r="K235">
        <v>2108978.3659999999</v>
      </c>
      <c r="L235">
        <v>22.657129479999998</v>
      </c>
      <c r="M235">
        <v>0.93082328400000003</v>
      </c>
      <c r="N235">
        <v>-5.115329365210922</v>
      </c>
      <c r="O235">
        <v>6.0221195441064156E-3</v>
      </c>
    </row>
    <row r="236" spans="1:15" x14ac:dyDescent="0.3">
      <c r="A236">
        <v>2016</v>
      </c>
      <c r="B236">
        <v>59</v>
      </c>
      <c r="C236" t="s">
        <v>11</v>
      </c>
      <c r="D236">
        <v>14288</v>
      </c>
      <c r="E236">
        <v>2213284</v>
      </c>
      <c r="F236">
        <v>6.4559999999999999E-3</v>
      </c>
      <c r="G236">
        <v>0.99354399999999998</v>
      </c>
      <c r="H236">
        <v>92523.419219999996</v>
      </c>
      <c r="I236">
        <v>597.33000000000004</v>
      </c>
      <c r="J236">
        <v>92224.753620000003</v>
      </c>
      <c r="K236">
        <v>2016175.47</v>
      </c>
      <c r="L236">
        <v>21.790974519999999</v>
      </c>
      <c r="M236">
        <v>0.92523419200000001</v>
      </c>
      <c r="N236">
        <v>-5.0427453480144893</v>
      </c>
      <c r="O236">
        <v>6.4768930939698493E-3</v>
      </c>
    </row>
    <row r="237" spans="1:15" x14ac:dyDescent="0.3">
      <c r="A237">
        <v>2016</v>
      </c>
      <c r="B237">
        <v>60</v>
      </c>
      <c r="C237" t="s">
        <v>11</v>
      </c>
      <c r="D237">
        <v>14892</v>
      </c>
      <c r="E237">
        <v>2139267</v>
      </c>
      <c r="F237">
        <v>6.9610000000000002E-3</v>
      </c>
      <c r="G237">
        <v>0.99303900000000001</v>
      </c>
      <c r="H237">
        <v>91926.128219999999</v>
      </c>
      <c r="I237">
        <v>639.9</v>
      </c>
      <c r="J237">
        <v>91606.179329999999</v>
      </c>
      <c r="K237">
        <v>1923950.7169999999</v>
      </c>
      <c r="L237">
        <v>20.929313069999999</v>
      </c>
      <c r="M237">
        <v>0.91926128200000001</v>
      </c>
      <c r="N237">
        <v>-4.9674321367956074</v>
      </c>
      <c r="O237">
        <v>6.985337551058823E-3</v>
      </c>
    </row>
    <row r="238" spans="1:15" x14ac:dyDescent="0.3">
      <c r="A238">
        <v>2016</v>
      </c>
      <c r="B238">
        <v>61</v>
      </c>
      <c r="C238" t="s">
        <v>11</v>
      </c>
      <c r="D238">
        <v>15278</v>
      </c>
      <c r="E238">
        <v>2122487</v>
      </c>
      <c r="F238">
        <v>7.1980000000000004E-3</v>
      </c>
      <c r="G238">
        <v>0.99280199999999996</v>
      </c>
      <c r="H238">
        <v>91286.206279999999</v>
      </c>
      <c r="I238">
        <v>657.08</v>
      </c>
      <c r="J238">
        <v>90957.667220000003</v>
      </c>
      <c r="K238">
        <v>1832344.537</v>
      </c>
      <c r="L238">
        <v>20.07252368</v>
      </c>
      <c r="M238">
        <v>0.91286206299999995</v>
      </c>
      <c r="N238">
        <v>-4.9339520693252981</v>
      </c>
      <c r="O238">
        <v>7.2240204995757508E-3</v>
      </c>
    </row>
    <row r="239" spans="1:15" x14ac:dyDescent="0.3">
      <c r="A239">
        <v>2016</v>
      </c>
      <c r="B239">
        <v>62</v>
      </c>
      <c r="C239" t="s">
        <v>11</v>
      </c>
      <c r="D239">
        <v>16291</v>
      </c>
      <c r="E239">
        <v>2044245</v>
      </c>
      <c r="F239">
        <v>7.9690000000000004E-3</v>
      </c>
      <c r="G239">
        <v>0.992031</v>
      </c>
      <c r="H239">
        <v>90629.113599999997</v>
      </c>
      <c r="I239">
        <v>722.22</v>
      </c>
      <c r="J239">
        <v>90268.001900000003</v>
      </c>
      <c r="K239">
        <v>1741386.87</v>
      </c>
      <c r="L239">
        <v>19.214431220000002</v>
      </c>
      <c r="M239">
        <v>0.906291136</v>
      </c>
      <c r="N239">
        <v>-4.8321962645665257</v>
      </c>
      <c r="O239">
        <v>8.0008425777250824E-3</v>
      </c>
    </row>
    <row r="240" spans="1:15" x14ac:dyDescent="0.3">
      <c r="A240">
        <v>2016</v>
      </c>
      <c r="B240">
        <v>63</v>
      </c>
      <c r="C240" t="s">
        <v>11</v>
      </c>
      <c r="D240">
        <v>16695</v>
      </c>
      <c r="E240">
        <v>1968870</v>
      </c>
      <c r="F240">
        <v>8.4790000000000004E-3</v>
      </c>
      <c r="G240">
        <v>0.99152099999999999</v>
      </c>
      <c r="H240">
        <v>89906.871950000001</v>
      </c>
      <c r="I240">
        <v>762.32</v>
      </c>
      <c r="J240">
        <v>89525.711769999994</v>
      </c>
      <c r="K240">
        <v>1651118.868</v>
      </c>
      <c r="L240">
        <v>18.364768260000002</v>
      </c>
      <c r="M240">
        <v>0.89906872000000004</v>
      </c>
      <c r="N240">
        <v>-4.7701627606602708</v>
      </c>
      <c r="O240">
        <v>8.5150977291191011E-3</v>
      </c>
    </row>
    <row r="241" spans="1:15" x14ac:dyDescent="0.3">
      <c r="A241">
        <v>2016</v>
      </c>
      <c r="B241">
        <v>64</v>
      </c>
      <c r="C241" t="s">
        <v>11</v>
      </c>
      <c r="D241">
        <v>17409</v>
      </c>
      <c r="E241">
        <v>1892535</v>
      </c>
      <c r="F241">
        <v>9.1990000000000006E-3</v>
      </c>
      <c r="G241">
        <v>0.99080100000000004</v>
      </c>
      <c r="H241">
        <v>89144.508140000005</v>
      </c>
      <c r="I241">
        <v>820.04</v>
      </c>
      <c r="J241">
        <v>88734.487970000002</v>
      </c>
      <c r="K241">
        <v>1561593.156</v>
      </c>
      <c r="L241">
        <v>17.51754751</v>
      </c>
      <c r="M241">
        <v>0.89144508099999997</v>
      </c>
      <c r="N241">
        <v>-4.6886604964871168</v>
      </c>
      <c r="O241">
        <v>9.2415015315493731E-3</v>
      </c>
    </row>
    <row r="242" spans="1:15" x14ac:dyDescent="0.3">
      <c r="A242">
        <v>2016</v>
      </c>
      <c r="B242">
        <v>65</v>
      </c>
      <c r="C242" t="s">
        <v>11</v>
      </c>
      <c r="D242">
        <v>17934</v>
      </c>
      <c r="E242">
        <v>1839731</v>
      </c>
      <c r="F242">
        <v>9.7479999999999997E-3</v>
      </c>
      <c r="G242">
        <v>0.99025200000000002</v>
      </c>
      <c r="H242">
        <v>88324.488039999997</v>
      </c>
      <c r="I242">
        <v>860.99</v>
      </c>
      <c r="J242">
        <v>87893.994489999997</v>
      </c>
      <c r="K242">
        <v>1472858.669</v>
      </c>
      <c r="L242">
        <v>16.67554153</v>
      </c>
      <c r="M242">
        <v>0.88324488000000001</v>
      </c>
      <c r="N242">
        <v>-4.6306931432191769</v>
      </c>
      <c r="O242">
        <v>9.7957781542777327E-3</v>
      </c>
    </row>
    <row r="243" spans="1:15" x14ac:dyDescent="0.3">
      <c r="A243">
        <v>2016</v>
      </c>
      <c r="B243">
        <v>66</v>
      </c>
      <c r="C243" t="s">
        <v>11</v>
      </c>
      <c r="D243">
        <v>18641</v>
      </c>
      <c r="E243">
        <v>1794239</v>
      </c>
      <c r="F243">
        <v>1.0389000000000001E-2</v>
      </c>
      <c r="G243">
        <v>0.98961100000000002</v>
      </c>
      <c r="H243">
        <v>87463.486420000001</v>
      </c>
      <c r="I243">
        <v>908.66</v>
      </c>
      <c r="J243">
        <v>87009.157340000005</v>
      </c>
      <c r="K243">
        <v>1384964.6740000001</v>
      </c>
      <c r="L243">
        <v>15.834775520000001</v>
      </c>
      <c r="M243">
        <v>0.87463486400000001</v>
      </c>
      <c r="N243">
        <v>-4.5670077248937426</v>
      </c>
      <c r="O243">
        <v>1.0443270495446523E-2</v>
      </c>
    </row>
    <row r="244" spans="1:15" x14ac:dyDescent="0.3">
      <c r="A244">
        <v>2016</v>
      </c>
      <c r="B244">
        <v>67</v>
      </c>
      <c r="C244" t="s">
        <v>11</v>
      </c>
      <c r="D244">
        <v>20160</v>
      </c>
      <c r="E244">
        <v>1741373</v>
      </c>
      <c r="F244">
        <v>1.1577E-2</v>
      </c>
      <c r="G244">
        <v>0.98842300000000005</v>
      </c>
      <c r="H244">
        <v>86554.796530000007</v>
      </c>
      <c r="I244">
        <v>1002.04</v>
      </c>
      <c r="J244">
        <v>86053.774090000006</v>
      </c>
      <c r="K244">
        <v>1297955.517</v>
      </c>
      <c r="L244">
        <v>14.99576648</v>
      </c>
      <c r="M244">
        <v>0.86554796499999997</v>
      </c>
      <c r="N244">
        <v>-4.4587349077585454</v>
      </c>
      <c r="O244">
        <v>1.164434734852776E-2</v>
      </c>
    </row>
    <row r="245" spans="1:15" x14ac:dyDescent="0.3">
      <c r="A245">
        <v>2016</v>
      </c>
      <c r="B245">
        <v>68</v>
      </c>
      <c r="C245" t="s">
        <v>11</v>
      </c>
      <c r="D245">
        <v>21599</v>
      </c>
      <c r="E245">
        <v>1719694</v>
      </c>
      <c r="F245">
        <v>1.256E-2</v>
      </c>
      <c r="G245">
        <v>0.98743999999999998</v>
      </c>
      <c r="H245">
        <v>85552.745439999999</v>
      </c>
      <c r="I245">
        <v>1074.54</v>
      </c>
      <c r="J245">
        <v>85015.474199999997</v>
      </c>
      <c r="K245">
        <v>1211901.743</v>
      </c>
      <c r="L245">
        <v>14.16555058</v>
      </c>
      <c r="M245">
        <v>0.85552745399999997</v>
      </c>
      <c r="N245">
        <v>-4.3772381179420847</v>
      </c>
      <c r="O245">
        <v>1.2639344754593064E-2</v>
      </c>
    </row>
    <row r="246" spans="1:15" x14ac:dyDescent="0.3">
      <c r="A246">
        <v>2016</v>
      </c>
      <c r="B246">
        <v>69</v>
      </c>
      <c r="C246" t="s">
        <v>11</v>
      </c>
      <c r="D246">
        <v>23932</v>
      </c>
      <c r="E246">
        <v>1788127</v>
      </c>
      <c r="F246">
        <v>1.3384E-2</v>
      </c>
      <c r="G246">
        <v>0.98661600000000005</v>
      </c>
      <c r="H246">
        <v>84478.220700000005</v>
      </c>
      <c r="I246">
        <v>1130.6600000000001</v>
      </c>
      <c r="J246">
        <v>83912.892449999999</v>
      </c>
      <c r="K246">
        <v>1126886.2679999999</v>
      </c>
      <c r="L246">
        <v>13.339370300000001</v>
      </c>
      <c r="M246">
        <v>0.84478220699999995</v>
      </c>
      <c r="N246">
        <v>-4.3136953152976139</v>
      </c>
      <c r="O246">
        <v>1.3474209673280012E-2</v>
      </c>
    </row>
    <row r="247" spans="1:15" x14ac:dyDescent="0.3">
      <c r="A247">
        <v>2016</v>
      </c>
      <c r="B247">
        <v>70</v>
      </c>
      <c r="C247" t="s">
        <v>11</v>
      </c>
      <c r="D247">
        <v>20393</v>
      </c>
      <c r="E247">
        <v>1325617</v>
      </c>
      <c r="F247">
        <v>1.5384E-2</v>
      </c>
      <c r="G247">
        <v>0.98461600000000005</v>
      </c>
      <c r="H247">
        <v>83347.577980000002</v>
      </c>
      <c r="I247">
        <v>1282.22</v>
      </c>
      <c r="J247">
        <v>82706.468410000001</v>
      </c>
      <c r="K247">
        <v>1042973.376</v>
      </c>
      <c r="L247">
        <v>12.513541500000001</v>
      </c>
      <c r="M247">
        <v>0.83347578</v>
      </c>
      <c r="N247">
        <v>-4.1744272706956584</v>
      </c>
      <c r="O247">
        <v>1.5503259688513595E-2</v>
      </c>
    </row>
    <row r="248" spans="1:15" x14ac:dyDescent="0.3">
      <c r="A248">
        <v>2016</v>
      </c>
      <c r="B248">
        <v>71</v>
      </c>
      <c r="C248" t="s">
        <v>11</v>
      </c>
      <c r="D248">
        <v>21484</v>
      </c>
      <c r="E248">
        <v>1310054</v>
      </c>
      <c r="F248">
        <v>1.6399E-2</v>
      </c>
      <c r="G248">
        <v>0.98360099999999995</v>
      </c>
      <c r="H248">
        <v>82065.377200000003</v>
      </c>
      <c r="I248">
        <v>1345.79</v>
      </c>
      <c r="J248">
        <v>81392.482139999993</v>
      </c>
      <c r="K248">
        <v>960266.90749999997</v>
      </c>
      <c r="L248">
        <v>11.701242840000001</v>
      </c>
      <c r="M248">
        <v>0.820653772</v>
      </c>
      <c r="N248">
        <v>-4.1105349216208289</v>
      </c>
      <c r="O248">
        <v>1.6534576467545904E-2</v>
      </c>
    </row>
    <row r="249" spans="1:15" x14ac:dyDescent="0.3">
      <c r="A249">
        <v>2016</v>
      </c>
      <c r="B249">
        <v>72</v>
      </c>
      <c r="C249" t="s">
        <v>11</v>
      </c>
      <c r="D249">
        <v>23542</v>
      </c>
      <c r="E249">
        <v>1276783</v>
      </c>
      <c r="F249">
        <v>1.8439000000000001E-2</v>
      </c>
      <c r="G249">
        <v>0.98156100000000002</v>
      </c>
      <c r="H249">
        <v>80719.560490000003</v>
      </c>
      <c r="I249">
        <v>1488.39</v>
      </c>
      <c r="J249">
        <v>79975.366500000004</v>
      </c>
      <c r="K249">
        <v>878874.42539999995</v>
      </c>
      <c r="L249">
        <v>10.88799815</v>
      </c>
      <c r="M249">
        <v>0.80719560499999998</v>
      </c>
      <c r="N249">
        <v>-3.9932872922591094</v>
      </c>
      <c r="O249">
        <v>1.8610601128365774E-2</v>
      </c>
    </row>
    <row r="250" spans="1:15" x14ac:dyDescent="0.3">
      <c r="A250">
        <v>2016</v>
      </c>
      <c r="B250">
        <v>73</v>
      </c>
      <c r="C250" t="s">
        <v>11</v>
      </c>
      <c r="D250">
        <v>26233</v>
      </c>
      <c r="E250">
        <v>1304712</v>
      </c>
      <c r="F250">
        <v>2.0105999999999999E-2</v>
      </c>
      <c r="G250">
        <v>0.97989400000000004</v>
      </c>
      <c r="H250">
        <v>79231.210550000003</v>
      </c>
      <c r="I250">
        <v>1593.02</v>
      </c>
      <c r="J250">
        <v>78434.699189999999</v>
      </c>
      <c r="K250">
        <v>798899.05889999995</v>
      </c>
      <c r="L250">
        <v>10.083135840000001</v>
      </c>
      <c r="M250">
        <v>0.79231210600000002</v>
      </c>
      <c r="N250">
        <v>-3.9067370009989086</v>
      </c>
      <c r="O250">
        <v>2.0310147171941458E-2</v>
      </c>
    </row>
    <row r="251" spans="1:15" x14ac:dyDescent="0.3">
      <c r="A251">
        <v>2016</v>
      </c>
      <c r="B251">
        <v>74</v>
      </c>
      <c r="C251" t="s">
        <v>11</v>
      </c>
      <c r="D251">
        <v>25420</v>
      </c>
      <c r="E251">
        <v>1138891</v>
      </c>
      <c r="F251">
        <v>2.232E-2</v>
      </c>
      <c r="G251">
        <v>0.97767999999999999</v>
      </c>
      <c r="H251">
        <v>77638.159870000003</v>
      </c>
      <c r="I251">
        <v>1732.88</v>
      </c>
      <c r="J251">
        <v>76771.718009999997</v>
      </c>
      <c r="K251">
        <v>720464.35970000003</v>
      </c>
      <c r="L251">
        <v>9.2797711970000005</v>
      </c>
      <c r="M251">
        <v>0.77638159900000003</v>
      </c>
      <c r="N251">
        <v>-3.802272141469027</v>
      </c>
      <c r="O251">
        <v>2.2571853396055514E-2</v>
      </c>
    </row>
    <row r="252" spans="1:15" x14ac:dyDescent="0.3">
      <c r="A252">
        <v>2016</v>
      </c>
      <c r="B252">
        <v>75</v>
      </c>
      <c r="C252" t="s">
        <v>11</v>
      </c>
      <c r="D252">
        <v>25708</v>
      </c>
      <c r="E252">
        <v>1043735</v>
      </c>
      <c r="F252">
        <v>2.4631E-2</v>
      </c>
      <c r="G252">
        <v>0.97536900000000004</v>
      </c>
      <c r="H252">
        <v>75905.279349999997</v>
      </c>
      <c r="I252">
        <v>1869.62</v>
      </c>
      <c r="J252">
        <v>74970.467879999997</v>
      </c>
      <c r="K252">
        <v>643692.64170000004</v>
      </c>
      <c r="L252">
        <v>8.4802091140000009</v>
      </c>
      <c r="M252">
        <v>0.75905279400000003</v>
      </c>
      <c r="N252">
        <v>-3.703749466780665</v>
      </c>
      <c r="O252">
        <v>2.4938083461756983E-2</v>
      </c>
    </row>
    <row r="253" spans="1:15" x14ac:dyDescent="0.3">
      <c r="A253">
        <v>2016</v>
      </c>
      <c r="B253">
        <v>76</v>
      </c>
      <c r="C253" t="s">
        <v>11</v>
      </c>
      <c r="D253">
        <v>25901</v>
      </c>
      <c r="E253">
        <v>984932</v>
      </c>
      <c r="F253">
        <v>2.6297000000000001E-2</v>
      </c>
      <c r="G253">
        <v>0.97370299999999999</v>
      </c>
      <c r="H253">
        <v>74035.673639999994</v>
      </c>
      <c r="I253">
        <v>1946.92</v>
      </c>
      <c r="J253">
        <v>73062.215590000007</v>
      </c>
      <c r="K253">
        <v>568722.17379999999</v>
      </c>
      <c r="L253">
        <v>7.6817316010000001</v>
      </c>
      <c r="M253">
        <v>0.74035673599999996</v>
      </c>
      <c r="N253">
        <v>-3.6383004147457823</v>
      </c>
      <c r="O253">
        <v>2.664742956354061E-2</v>
      </c>
    </row>
    <row r="254" spans="1:15" x14ac:dyDescent="0.3">
      <c r="A254">
        <v>2016</v>
      </c>
      <c r="B254">
        <v>77</v>
      </c>
      <c r="C254" t="s">
        <v>11</v>
      </c>
      <c r="D254">
        <v>27585</v>
      </c>
      <c r="E254">
        <v>920921</v>
      </c>
      <c r="F254">
        <v>2.9954000000000001E-2</v>
      </c>
      <c r="G254">
        <v>0.97004599999999996</v>
      </c>
      <c r="H254">
        <v>72088.739249999999</v>
      </c>
      <c r="I254">
        <v>2159.35</v>
      </c>
      <c r="J254">
        <v>71009.066200000001</v>
      </c>
      <c r="K254">
        <v>495659.95819999999</v>
      </c>
      <c r="L254">
        <v>6.8756918679999997</v>
      </c>
      <c r="M254">
        <v>0.72088739300000004</v>
      </c>
      <c r="N254">
        <v>-3.5080924074119331</v>
      </c>
      <c r="O254">
        <v>3.0409492717150589E-2</v>
      </c>
    </row>
    <row r="255" spans="1:15" x14ac:dyDescent="0.3">
      <c r="A255">
        <v>2016</v>
      </c>
      <c r="B255">
        <v>78</v>
      </c>
      <c r="C255" t="s">
        <v>11</v>
      </c>
      <c r="D255">
        <v>28945</v>
      </c>
      <c r="E255">
        <v>882532</v>
      </c>
      <c r="F255">
        <v>3.2798000000000001E-2</v>
      </c>
      <c r="G255">
        <v>0.96720200000000001</v>
      </c>
      <c r="H255">
        <v>69929.414099999995</v>
      </c>
      <c r="I255">
        <v>2293.54</v>
      </c>
      <c r="J255">
        <v>68782.641640000002</v>
      </c>
      <c r="K255">
        <v>424650.89199999999</v>
      </c>
      <c r="L255">
        <v>6.0725647069999997</v>
      </c>
      <c r="M255">
        <v>0.69929414099999998</v>
      </c>
      <c r="N255">
        <v>-3.4173877410608831</v>
      </c>
      <c r="O255">
        <v>3.3344744684405049E-2</v>
      </c>
    </row>
    <row r="256" spans="1:15" x14ac:dyDescent="0.3">
      <c r="A256">
        <v>2016</v>
      </c>
      <c r="B256">
        <v>79</v>
      </c>
      <c r="C256" t="s">
        <v>11</v>
      </c>
      <c r="D256">
        <v>29905</v>
      </c>
      <c r="E256">
        <v>812156</v>
      </c>
      <c r="F256">
        <v>3.6822000000000001E-2</v>
      </c>
      <c r="G256">
        <v>0.96317799999999998</v>
      </c>
      <c r="H256">
        <v>67635.89172</v>
      </c>
      <c r="I256">
        <v>2490.4899999999998</v>
      </c>
      <c r="J256">
        <v>66390.647320000004</v>
      </c>
      <c r="K256">
        <v>355868.25040000002</v>
      </c>
      <c r="L256">
        <v>5.2615296599999999</v>
      </c>
      <c r="M256">
        <v>0.67635891699999995</v>
      </c>
      <c r="N256">
        <v>-3.301659786347122</v>
      </c>
      <c r="O256">
        <v>3.7512658413484064E-2</v>
      </c>
    </row>
    <row r="257" spans="1:15" x14ac:dyDescent="0.3">
      <c r="A257">
        <v>2016</v>
      </c>
      <c r="B257">
        <v>80</v>
      </c>
      <c r="C257" t="s">
        <v>11</v>
      </c>
      <c r="D257">
        <v>31952</v>
      </c>
      <c r="E257">
        <v>773313</v>
      </c>
      <c r="F257">
        <v>4.1318000000000001E-2</v>
      </c>
      <c r="G257">
        <v>0.95868200000000003</v>
      </c>
      <c r="H257">
        <v>65145.420259999999</v>
      </c>
      <c r="I257">
        <v>2691.68</v>
      </c>
      <c r="J257">
        <v>63799.581019999998</v>
      </c>
      <c r="K257">
        <v>289477.60310000001</v>
      </c>
      <c r="L257">
        <v>4.4435602980000004</v>
      </c>
      <c r="M257">
        <v>0.65145420300000001</v>
      </c>
      <c r="N257">
        <v>-3.1864570386127</v>
      </c>
      <c r="O257">
        <v>4.2189625814791208E-2</v>
      </c>
    </row>
    <row r="258" spans="1:15" x14ac:dyDescent="0.3">
      <c r="A258">
        <v>2016</v>
      </c>
      <c r="B258">
        <v>81</v>
      </c>
      <c r="C258" t="s">
        <v>11</v>
      </c>
      <c r="D258">
        <v>33568</v>
      </c>
      <c r="E258">
        <v>740254</v>
      </c>
      <c r="F258">
        <v>4.5346999999999998E-2</v>
      </c>
      <c r="G258">
        <v>0.95465299999999997</v>
      </c>
      <c r="H258">
        <v>62453.720430000001</v>
      </c>
      <c r="I258">
        <v>2832.09</v>
      </c>
      <c r="J258">
        <v>61037.675999999999</v>
      </c>
      <c r="K258">
        <v>225678.0221</v>
      </c>
      <c r="L258">
        <v>3.61352407</v>
      </c>
      <c r="M258">
        <v>0.62453720400000001</v>
      </c>
      <c r="N258">
        <v>-3.0934112567590861</v>
      </c>
      <c r="O258">
        <v>4.6399037478099731E-2</v>
      </c>
    </row>
    <row r="259" spans="1:15" x14ac:dyDescent="0.3">
      <c r="A259">
        <v>2016</v>
      </c>
      <c r="B259">
        <v>82</v>
      </c>
      <c r="C259" t="s">
        <v>11</v>
      </c>
      <c r="D259">
        <v>34222</v>
      </c>
      <c r="E259">
        <v>660414</v>
      </c>
      <c r="F259">
        <v>5.1818999999999997E-2</v>
      </c>
      <c r="G259">
        <v>0.94818100000000005</v>
      </c>
      <c r="H259">
        <v>59621.656730000002</v>
      </c>
      <c r="I259">
        <v>3089.53</v>
      </c>
      <c r="J259">
        <v>58076.889410000003</v>
      </c>
      <c r="K259">
        <v>164640.3461</v>
      </c>
      <c r="L259">
        <v>2.7614185029999998</v>
      </c>
      <c r="M259">
        <v>0.59621656700000003</v>
      </c>
      <c r="N259">
        <v>-2.95999840160288</v>
      </c>
      <c r="O259">
        <v>5.3197236420158049E-2</v>
      </c>
    </row>
    <row r="260" spans="1:15" x14ac:dyDescent="0.3">
      <c r="A260">
        <v>2016</v>
      </c>
      <c r="B260">
        <v>83</v>
      </c>
      <c r="C260" t="s">
        <v>11</v>
      </c>
      <c r="D260">
        <v>36058</v>
      </c>
      <c r="E260">
        <v>636001</v>
      </c>
      <c r="F260">
        <v>5.6695000000000002E-2</v>
      </c>
      <c r="G260">
        <v>0.94330499999999995</v>
      </c>
      <c r="H260">
        <v>56532.121469999998</v>
      </c>
      <c r="I260">
        <v>3205.09</v>
      </c>
      <c r="J260">
        <v>54929.577160000001</v>
      </c>
      <c r="K260">
        <v>106563.4566</v>
      </c>
      <c r="L260">
        <v>1.885007211</v>
      </c>
      <c r="M260">
        <v>0.56532121499999999</v>
      </c>
      <c r="N260">
        <v>-2.870069255558334</v>
      </c>
      <c r="O260">
        <v>5.8349071065767755E-2</v>
      </c>
    </row>
    <row r="261" spans="1:15" x14ac:dyDescent="0.3">
      <c r="A261">
        <v>2016</v>
      </c>
      <c r="B261">
        <v>84</v>
      </c>
      <c r="C261" t="s">
        <v>11</v>
      </c>
      <c r="D261">
        <v>38253</v>
      </c>
      <c r="E261">
        <v>602402</v>
      </c>
      <c r="F261">
        <v>6.3501000000000002E-2</v>
      </c>
      <c r="G261">
        <v>0.93649899999999997</v>
      </c>
      <c r="H261">
        <v>53327.039660000002</v>
      </c>
      <c r="I261">
        <v>3386.32</v>
      </c>
      <c r="J261">
        <v>51633.879489999999</v>
      </c>
      <c r="K261">
        <v>51633.879489999999</v>
      </c>
      <c r="L261">
        <v>0.96824949999999999</v>
      </c>
      <c r="M261">
        <v>0.53327039700000001</v>
      </c>
      <c r="N261">
        <v>-2.7566996251759939</v>
      </c>
      <c r="O261">
        <v>4.4171204342157842E-2</v>
      </c>
    </row>
    <row r="262" spans="1:15" x14ac:dyDescent="0.3">
      <c r="A262">
        <v>2016</v>
      </c>
      <c r="B262">
        <v>20</v>
      </c>
      <c r="C262" t="s">
        <v>12</v>
      </c>
      <c r="D262">
        <v>2602</v>
      </c>
      <c r="E262">
        <v>2197366</v>
      </c>
      <c r="F262">
        <v>1.1839999999999999E-3</v>
      </c>
      <c r="G262">
        <v>0.99881600000000004</v>
      </c>
      <c r="H262">
        <v>100000</v>
      </c>
      <c r="I262">
        <v>118.4</v>
      </c>
      <c r="J262">
        <v>99940.800000000003</v>
      </c>
      <c r="K262">
        <v>5483982.7560000001</v>
      </c>
      <c r="L262">
        <v>54.839827560000003</v>
      </c>
      <c r="M262">
        <v>1</v>
      </c>
      <c r="N262">
        <v>-6.7388567425203227</v>
      </c>
      <c r="O262">
        <v>1.1847014291369027E-3</v>
      </c>
    </row>
    <row r="263" spans="1:15" x14ac:dyDescent="0.3">
      <c r="A263">
        <v>2016</v>
      </c>
      <c r="B263">
        <v>21</v>
      </c>
      <c r="C263" t="s">
        <v>12</v>
      </c>
      <c r="D263">
        <v>3150</v>
      </c>
      <c r="E263">
        <v>2253024</v>
      </c>
      <c r="F263">
        <v>1.3979999999999999E-3</v>
      </c>
      <c r="G263">
        <v>0.99860199999999999</v>
      </c>
      <c r="H263">
        <v>99881.585500000001</v>
      </c>
      <c r="I263">
        <v>139.63</v>
      </c>
      <c r="J263">
        <v>99811.76827</v>
      </c>
      <c r="K263">
        <v>5384041.9560000002</v>
      </c>
      <c r="L263">
        <v>53.904250009999998</v>
      </c>
      <c r="M263">
        <v>0.99881585500000003</v>
      </c>
      <c r="N263">
        <v>-6.572712635170519</v>
      </c>
      <c r="O263">
        <v>1.3989333208870246E-3</v>
      </c>
    </row>
    <row r="264" spans="1:15" x14ac:dyDescent="0.3">
      <c r="A264">
        <v>2016</v>
      </c>
      <c r="B264">
        <v>22</v>
      </c>
      <c r="C264" t="s">
        <v>12</v>
      </c>
      <c r="D264">
        <v>3275</v>
      </c>
      <c r="E264">
        <v>2302042</v>
      </c>
      <c r="F264">
        <v>1.423E-3</v>
      </c>
      <c r="G264">
        <v>0.99857700000000005</v>
      </c>
      <c r="H264">
        <v>99741.938959999999</v>
      </c>
      <c r="I264">
        <v>141.93</v>
      </c>
      <c r="J264">
        <v>99670.972569999998</v>
      </c>
      <c r="K264">
        <v>5284230.1880000001</v>
      </c>
      <c r="L264">
        <v>52.979020089999999</v>
      </c>
      <c r="M264">
        <v>0.99741939000000002</v>
      </c>
      <c r="N264">
        <v>-6.5549879598744214</v>
      </c>
      <c r="O264">
        <v>1.4239850527950054E-3</v>
      </c>
    </row>
    <row r="265" spans="1:15" x14ac:dyDescent="0.3">
      <c r="A265">
        <v>2016</v>
      </c>
      <c r="B265">
        <v>23</v>
      </c>
      <c r="C265" t="s">
        <v>12</v>
      </c>
      <c r="D265">
        <v>3524</v>
      </c>
      <c r="E265">
        <v>2342323</v>
      </c>
      <c r="F265">
        <v>1.5039999999999999E-3</v>
      </c>
      <c r="G265">
        <v>0.99849600000000005</v>
      </c>
      <c r="H265">
        <v>99600.041100000002</v>
      </c>
      <c r="I265">
        <v>149.80000000000001</v>
      </c>
      <c r="J265">
        <v>99525.141870000007</v>
      </c>
      <c r="K265">
        <v>5184559.2149999999</v>
      </c>
      <c r="L265">
        <v>52.053785900000001</v>
      </c>
      <c r="M265">
        <v>0.99600041100000003</v>
      </c>
      <c r="N265">
        <v>-6.4996270534544891</v>
      </c>
      <c r="O265">
        <v>1.5051476829454637E-3</v>
      </c>
    </row>
    <row r="266" spans="1:15" x14ac:dyDescent="0.3">
      <c r="A266">
        <v>2016</v>
      </c>
      <c r="B266">
        <v>24</v>
      </c>
      <c r="C266" t="s">
        <v>12</v>
      </c>
      <c r="D266">
        <v>3749</v>
      </c>
      <c r="E266">
        <v>2396310</v>
      </c>
      <c r="F266">
        <v>1.5640000000000001E-3</v>
      </c>
      <c r="G266">
        <v>0.99843599999999999</v>
      </c>
      <c r="H266">
        <v>99450.193899999998</v>
      </c>
      <c r="I266">
        <v>155.54</v>
      </c>
      <c r="J266">
        <v>99372.423850000006</v>
      </c>
      <c r="K266">
        <v>5085034.0729999999</v>
      </c>
      <c r="L266">
        <v>51.131464639999997</v>
      </c>
      <c r="M266">
        <v>0.99450193899999995</v>
      </c>
      <c r="N266">
        <v>-6.4605086368590179</v>
      </c>
      <c r="O266">
        <v>1.5652233488592066E-3</v>
      </c>
    </row>
    <row r="267" spans="1:15" x14ac:dyDescent="0.3">
      <c r="A267">
        <v>2016</v>
      </c>
      <c r="B267">
        <v>25</v>
      </c>
      <c r="C267" t="s">
        <v>12</v>
      </c>
      <c r="D267">
        <v>3924</v>
      </c>
      <c r="E267">
        <v>2425812</v>
      </c>
      <c r="F267">
        <v>1.6180000000000001E-3</v>
      </c>
      <c r="G267">
        <v>0.99838199999999999</v>
      </c>
      <c r="H267">
        <v>99294.605190000002</v>
      </c>
      <c r="I267">
        <v>160.66</v>
      </c>
      <c r="J267">
        <v>99214.275850000005</v>
      </c>
      <c r="K267">
        <v>4985661.6490000002</v>
      </c>
      <c r="L267">
        <v>50.210800880000001</v>
      </c>
      <c r="M267">
        <v>0.99294605199999997</v>
      </c>
      <c r="N267">
        <v>-6.4265644603458369</v>
      </c>
      <c r="O267">
        <v>1.6193230931166986E-3</v>
      </c>
    </row>
    <row r="268" spans="1:15" x14ac:dyDescent="0.3">
      <c r="A268">
        <v>2016</v>
      </c>
      <c r="B268">
        <v>26</v>
      </c>
      <c r="C268" t="s">
        <v>12</v>
      </c>
      <c r="D268">
        <v>3798</v>
      </c>
      <c r="E268">
        <v>2413760</v>
      </c>
      <c r="F268">
        <v>1.573E-3</v>
      </c>
      <c r="G268">
        <v>0.99842699999999995</v>
      </c>
      <c r="H268">
        <v>99133.985969999994</v>
      </c>
      <c r="I268">
        <v>155.94</v>
      </c>
      <c r="J268">
        <v>99056.017089999994</v>
      </c>
      <c r="K268">
        <v>4886447.3739999998</v>
      </c>
      <c r="L268">
        <v>49.291343689999998</v>
      </c>
      <c r="M268">
        <v>0.99133985999999996</v>
      </c>
      <c r="N268">
        <v>-6.454770654905996</v>
      </c>
      <c r="O268">
        <v>1.5742611295943094E-3</v>
      </c>
    </row>
    <row r="269" spans="1:15" x14ac:dyDescent="0.3">
      <c r="A269">
        <v>2016</v>
      </c>
      <c r="B269">
        <v>27</v>
      </c>
      <c r="C269" t="s">
        <v>12</v>
      </c>
      <c r="D269">
        <v>3927</v>
      </c>
      <c r="E269">
        <v>2315958</v>
      </c>
      <c r="F269">
        <v>1.696E-3</v>
      </c>
      <c r="G269">
        <v>0.99830399999999997</v>
      </c>
      <c r="H269">
        <v>98978.000750000007</v>
      </c>
      <c r="I269">
        <v>167.87</v>
      </c>
      <c r="J269">
        <v>98894.067410000003</v>
      </c>
      <c r="K269">
        <v>4787391.3559999997</v>
      </c>
      <c r="L269">
        <v>48.368236580000001</v>
      </c>
      <c r="M269">
        <v>0.98978000799999999</v>
      </c>
      <c r="N269">
        <v>-6.379482741612426</v>
      </c>
      <c r="O269">
        <v>1.6974725889595597E-3</v>
      </c>
    </row>
    <row r="270" spans="1:15" x14ac:dyDescent="0.3">
      <c r="A270">
        <v>2016</v>
      </c>
      <c r="B270">
        <v>28</v>
      </c>
      <c r="C270" t="s">
        <v>12</v>
      </c>
      <c r="D270">
        <v>4030</v>
      </c>
      <c r="E270">
        <v>2258118</v>
      </c>
      <c r="F270">
        <v>1.7849999999999999E-3</v>
      </c>
      <c r="G270">
        <v>0.99821499999999996</v>
      </c>
      <c r="H270">
        <v>98810.171019999994</v>
      </c>
      <c r="I270">
        <v>176.38</v>
      </c>
      <c r="J270">
        <v>98721.982940000002</v>
      </c>
      <c r="K270">
        <v>4688497.2889999999</v>
      </c>
      <c r="L270">
        <v>47.449541279999998</v>
      </c>
      <c r="M270">
        <v>0.98810171000000002</v>
      </c>
      <c r="N270">
        <v>-6.3283368637505344</v>
      </c>
      <c r="O270">
        <v>1.7866331874108242E-3</v>
      </c>
    </row>
    <row r="271" spans="1:15" x14ac:dyDescent="0.3">
      <c r="A271">
        <v>2016</v>
      </c>
      <c r="B271">
        <v>29</v>
      </c>
      <c r="C271" t="s">
        <v>12</v>
      </c>
      <c r="D271">
        <v>3832</v>
      </c>
      <c r="E271">
        <v>2217826</v>
      </c>
      <c r="F271">
        <v>1.7279999999999999E-3</v>
      </c>
      <c r="G271">
        <v>0.99827200000000005</v>
      </c>
      <c r="H271">
        <v>98633.827269999994</v>
      </c>
      <c r="I271">
        <v>170.44</v>
      </c>
      <c r="J271">
        <v>98548.607640000002</v>
      </c>
      <c r="K271">
        <v>4589775.3059999999</v>
      </c>
      <c r="L271">
        <v>46.533480789999999</v>
      </c>
      <c r="M271">
        <v>0.98633827299999999</v>
      </c>
      <c r="N271">
        <v>-6.360790608600273</v>
      </c>
      <c r="O271">
        <v>1.7295017003217624E-3</v>
      </c>
    </row>
    <row r="272" spans="1:15" x14ac:dyDescent="0.3">
      <c r="A272">
        <v>2016</v>
      </c>
      <c r="B272">
        <v>30</v>
      </c>
      <c r="C272" t="s">
        <v>12</v>
      </c>
      <c r="D272">
        <v>3960</v>
      </c>
      <c r="E272">
        <v>2224720</v>
      </c>
      <c r="F272">
        <v>1.7799999999999999E-3</v>
      </c>
      <c r="G272">
        <v>0.99822</v>
      </c>
      <c r="H272">
        <v>98463.405960000004</v>
      </c>
      <c r="I272">
        <v>175.26</v>
      </c>
      <c r="J272">
        <v>98375.773530000006</v>
      </c>
      <c r="K272">
        <v>4491226.6979999999</v>
      </c>
      <c r="L272">
        <v>45.613156019999998</v>
      </c>
      <c r="M272">
        <v>0.98463405999999998</v>
      </c>
      <c r="N272">
        <v>-6.3311419146781436</v>
      </c>
      <c r="O272">
        <v>1.7815361817013599E-3</v>
      </c>
    </row>
    <row r="273" spans="1:15" x14ac:dyDescent="0.3">
      <c r="A273">
        <v>2016</v>
      </c>
      <c r="B273">
        <v>31</v>
      </c>
      <c r="C273" t="s">
        <v>12</v>
      </c>
      <c r="D273">
        <v>4011</v>
      </c>
      <c r="E273">
        <v>2233583</v>
      </c>
      <c r="F273">
        <v>1.7960000000000001E-3</v>
      </c>
      <c r="G273">
        <v>0.99820399999999998</v>
      </c>
      <c r="H273">
        <v>98288.141159999999</v>
      </c>
      <c r="I273">
        <v>176.53</v>
      </c>
      <c r="J273">
        <v>98199.878410000005</v>
      </c>
      <c r="K273">
        <v>4392850.9249999998</v>
      </c>
      <c r="L273">
        <v>44.693600600000003</v>
      </c>
      <c r="M273">
        <v>0.98288141200000001</v>
      </c>
      <c r="N273">
        <v>-6.3221933091021292</v>
      </c>
      <c r="O273">
        <v>1.7976598594805276E-3</v>
      </c>
    </row>
    <row r="274" spans="1:15" x14ac:dyDescent="0.3">
      <c r="A274">
        <v>2016</v>
      </c>
      <c r="B274">
        <v>32</v>
      </c>
      <c r="C274" t="s">
        <v>12</v>
      </c>
      <c r="D274">
        <v>4147</v>
      </c>
      <c r="E274">
        <v>2154190</v>
      </c>
      <c r="F274">
        <v>1.9250000000000001E-3</v>
      </c>
      <c r="G274">
        <v>0.99807500000000005</v>
      </c>
      <c r="H274">
        <v>98111.638330000002</v>
      </c>
      <c r="I274">
        <v>188.86</v>
      </c>
      <c r="J274">
        <v>98017.205879999994</v>
      </c>
      <c r="K274">
        <v>4294651.0470000003</v>
      </c>
      <c r="L274">
        <v>43.773105000000001</v>
      </c>
      <c r="M274">
        <v>0.98111638300000004</v>
      </c>
      <c r="N274">
        <v>-6.2528293112423894</v>
      </c>
      <c r="O274">
        <v>1.9268046502345323E-3</v>
      </c>
    </row>
    <row r="275" spans="1:15" x14ac:dyDescent="0.3">
      <c r="A275">
        <v>2016</v>
      </c>
      <c r="B275">
        <v>33</v>
      </c>
      <c r="C275" t="s">
        <v>12</v>
      </c>
      <c r="D275">
        <v>4219</v>
      </c>
      <c r="E275">
        <v>2181222</v>
      </c>
      <c r="F275">
        <v>1.934E-3</v>
      </c>
      <c r="G275">
        <v>0.99806600000000001</v>
      </c>
      <c r="H275">
        <v>97922.765029999995</v>
      </c>
      <c r="I275">
        <v>189.38</v>
      </c>
      <c r="J275">
        <v>97828.07372</v>
      </c>
      <c r="K275">
        <v>4196633.841</v>
      </c>
      <c r="L275">
        <v>42.856570069999997</v>
      </c>
      <c r="M275">
        <v>0.97922765000000001</v>
      </c>
      <c r="N275">
        <v>-6.2481648819510349</v>
      </c>
      <c r="O275">
        <v>1.9358453586425803E-3</v>
      </c>
    </row>
    <row r="276" spans="1:15" x14ac:dyDescent="0.3">
      <c r="A276">
        <v>2016</v>
      </c>
      <c r="B276">
        <v>34</v>
      </c>
      <c r="C276" t="s">
        <v>12</v>
      </c>
      <c r="D276">
        <v>4409</v>
      </c>
      <c r="E276">
        <v>2174549</v>
      </c>
      <c r="F276">
        <v>2.0279999999999999E-3</v>
      </c>
      <c r="G276">
        <v>0.99797199999999997</v>
      </c>
      <c r="H276">
        <v>97733.359209999995</v>
      </c>
      <c r="I276">
        <v>198.2</v>
      </c>
      <c r="J276">
        <v>97634.257580000005</v>
      </c>
      <c r="K276">
        <v>4098805.767</v>
      </c>
      <c r="L276">
        <v>41.938656360000003</v>
      </c>
      <c r="M276">
        <v>0.97733359200000003</v>
      </c>
      <c r="N276">
        <v>-6.2007051932532002</v>
      </c>
      <c r="O276">
        <v>2.0300247060587406E-3</v>
      </c>
    </row>
    <row r="277" spans="1:15" x14ac:dyDescent="0.3">
      <c r="A277">
        <v>2016</v>
      </c>
      <c r="B277">
        <v>35</v>
      </c>
      <c r="C277" t="s">
        <v>12</v>
      </c>
      <c r="D277">
        <v>4468</v>
      </c>
      <c r="E277">
        <v>2146976</v>
      </c>
      <c r="F277">
        <v>2.081E-3</v>
      </c>
      <c r="G277">
        <v>0.997919</v>
      </c>
      <c r="H277">
        <v>97535.200240000006</v>
      </c>
      <c r="I277">
        <v>202.97</v>
      </c>
      <c r="J277">
        <v>97433.714859999993</v>
      </c>
      <c r="K277">
        <v>4001171.5090000001</v>
      </c>
      <c r="L277">
        <v>41.022846110000003</v>
      </c>
      <c r="M277">
        <v>0.97535200200000005</v>
      </c>
      <c r="N277">
        <v>-6.1749067315706396</v>
      </c>
      <c r="O277">
        <v>2.0831598901989976E-3</v>
      </c>
    </row>
    <row r="278" spans="1:15" x14ac:dyDescent="0.3">
      <c r="A278">
        <v>2016</v>
      </c>
      <c r="B278">
        <v>36</v>
      </c>
      <c r="C278" t="s">
        <v>12</v>
      </c>
      <c r="D278">
        <v>4564</v>
      </c>
      <c r="E278">
        <v>2195944</v>
      </c>
      <c r="F278">
        <v>2.078E-3</v>
      </c>
      <c r="G278">
        <v>0.99792199999999998</v>
      </c>
      <c r="H278">
        <v>97332.222999999998</v>
      </c>
      <c r="I278">
        <v>202.26</v>
      </c>
      <c r="J278">
        <v>97231.094819999998</v>
      </c>
      <c r="K278">
        <v>3903737.7949999999</v>
      </c>
      <c r="L278">
        <v>40.107352679999998</v>
      </c>
      <c r="M278">
        <v>0.97332222999999995</v>
      </c>
      <c r="N278">
        <v>-6.1763493863051018</v>
      </c>
      <c r="O278">
        <v>2.0801991232011915E-3</v>
      </c>
    </row>
    <row r="279" spans="1:15" x14ac:dyDescent="0.3">
      <c r="A279">
        <v>2016</v>
      </c>
      <c r="B279">
        <v>37</v>
      </c>
      <c r="C279" t="s">
        <v>12</v>
      </c>
      <c r="D279">
        <v>4560</v>
      </c>
      <c r="E279">
        <v>2048955</v>
      </c>
      <c r="F279">
        <v>2.2260000000000001E-3</v>
      </c>
      <c r="G279">
        <v>0.99777400000000005</v>
      </c>
      <c r="H279">
        <v>97129.929919999995</v>
      </c>
      <c r="I279">
        <v>216.21</v>
      </c>
      <c r="J279">
        <v>97021.824309999996</v>
      </c>
      <c r="K279">
        <v>3806506.7</v>
      </c>
      <c r="L279">
        <v>39.189842949999999</v>
      </c>
      <c r="M279">
        <v>0.971299299</v>
      </c>
      <c r="N279">
        <v>-6.1075490261287841</v>
      </c>
      <c r="O279">
        <v>2.2284671526702415E-3</v>
      </c>
    </row>
    <row r="280" spans="1:15" x14ac:dyDescent="0.3">
      <c r="A280">
        <v>2016</v>
      </c>
      <c r="B280">
        <v>38</v>
      </c>
      <c r="C280" t="s">
        <v>12</v>
      </c>
      <c r="D280">
        <v>4567</v>
      </c>
      <c r="E280">
        <v>2005894</v>
      </c>
      <c r="F280">
        <v>2.2769999999999999E-3</v>
      </c>
      <c r="G280">
        <v>0.99772300000000003</v>
      </c>
      <c r="H280">
        <v>96913.764859999996</v>
      </c>
      <c r="I280">
        <v>220.67</v>
      </c>
      <c r="J280">
        <v>96803.428539999994</v>
      </c>
      <c r="K280">
        <v>3709484.875</v>
      </c>
      <c r="L280">
        <v>38.27614045</v>
      </c>
      <c r="M280">
        <v>0.96913764899999999</v>
      </c>
      <c r="N280">
        <v>-6.0848964919005342</v>
      </c>
      <c r="O280">
        <v>2.2795677815110509E-3</v>
      </c>
    </row>
    <row r="281" spans="1:15" x14ac:dyDescent="0.3">
      <c r="A281">
        <v>2016</v>
      </c>
      <c r="B281">
        <v>39</v>
      </c>
      <c r="C281" t="s">
        <v>12</v>
      </c>
      <c r="D281">
        <v>4650</v>
      </c>
      <c r="E281">
        <v>1978673</v>
      </c>
      <c r="F281">
        <v>2.3500000000000001E-3</v>
      </c>
      <c r="G281">
        <v>0.99765000000000004</v>
      </c>
      <c r="H281">
        <v>96693.112540000002</v>
      </c>
      <c r="I281">
        <v>227.23</v>
      </c>
      <c r="J281">
        <v>96579.498130000007</v>
      </c>
      <c r="K281">
        <v>3612681.4470000002</v>
      </c>
      <c r="L281">
        <v>37.362345179999998</v>
      </c>
      <c r="M281">
        <v>0.966931125</v>
      </c>
      <c r="N281">
        <v>-6.0533399508260697</v>
      </c>
      <c r="O281">
        <v>2.3527768439391152E-3</v>
      </c>
    </row>
    <row r="282" spans="1:15" x14ac:dyDescent="0.3">
      <c r="A282">
        <v>2016</v>
      </c>
      <c r="B282">
        <v>40</v>
      </c>
      <c r="C282" t="s">
        <v>12</v>
      </c>
      <c r="D282">
        <v>4597</v>
      </c>
      <c r="E282">
        <v>1921122</v>
      </c>
      <c r="F282">
        <v>2.3930000000000002E-3</v>
      </c>
      <c r="G282">
        <v>0.99760700000000002</v>
      </c>
      <c r="H282">
        <v>96465.877940000006</v>
      </c>
      <c r="I282">
        <v>230.84</v>
      </c>
      <c r="J282">
        <v>96350.456520000007</v>
      </c>
      <c r="K282">
        <v>3516101.949</v>
      </c>
      <c r="L282">
        <v>36.449177919999997</v>
      </c>
      <c r="M282">
        <v>0.96465877899999997</v>
      </c>
      <c r="N282">
        <v>-6.0352074700559006</v>
      </c>
      <c r="O282">
        <v>2.3958369645053538E-3</v>
      </c>
    </row>
    <row r="283" spans="1:15" x14ac:dyDescent="0.3">
      <c r="A283">
        <v>2016</v>
      </c>
      <c r="B283">
        <v>41</v>
      </c>
      <c r="C283" t="s">
        <v>12</v>
      </c>
      <c r="D283">
        <v>4927</v>
      </c>
      <c r="E283">
        <v>1983028</v>
      </c>
      <c r="F283">
        <v>2.4849999999999998E-3</v>
      </c>
      <c r="G283">
        <v>0.99751500000000004</v>
      </c>
      <c r="H283">
        <v>96235.047390000007</v>
      </c>
      <c r="I283">
        <v>239.14</v>
      </c>
      <c r="J283">
        <v>96115.475340000005</v>
      </c>
      <c r="K283">
        <v>3419751.4920000001</v>
      </c>
      <c r="L283">
        <v>35.535406119999998</v>
      </c>
      <c r="M283">
        <v>0.96235047399999996</v>
      </c>
      <c r="N283">
        <v>-5.9974826194335451</v>
      </c>
      <c r="O283">
        <v>2.4880483538761654E-3</v>
      </c>
    </row>
    <row r="284" spans="1:15" x14ac:dyDescent="0.3">
      <c r="A284">
        <v>2016</v>
      </c>
      <c r="B284">
        <v>42</v>
      </c>
      <c r="C284" t="s">
        <v>12</v>
      </c>
      <c r="D284">
        <v>4954</v>
      </c>
      <c r="E284">
        <v>1912625</v>
      </c>
      <c r="F284">
        <v>2.5899999999999999E-3</v>
      </c>
      <c r="G284">
        <v>0.99741000000000002</v>
      </c>
      <c r="H284">
        <v>95995.943320000006</v>
      </c>
      <c r="I284">
        <v>248.63</v>
      </c>
      <c r="J284">
        <v>95871.628570000001</v>
      </c>
      <c r="K284">
        <v>3323636.017</v>
      </c>
      <c r="L284">
        <v>34.622671560000001</v>
      </c>
      <c r="M284">
        <v>0.95995943299999997</v>
      </c>
      <c r="N284">
        <v>-5.9560974032706904</v>
      </c>
      <c r="O284">
        <v>2.59336388983242E-3</v>
      </c>
    </row>
    <row r="285" spans="1:15" x14ac:dyDescent="0.3">
      <c r="A285">
        <v>2016</v>
      </c>
      <c r="B285">
        <v>43</v>
      </c>
      <c r="C285" t="s">
        <v>12</v>
      </c>
      <c r="D285">
        <v>5708</v>
      </c>
      <c r="E285">
        <v>1934987</v>
      </c>
      <c r="F285">
        <v>2.9499999999999999E-3</v>
      </c>
      <c r="G285">
        <v>0.99704999999999999</v>
      </c>
      <c r="H285">
        <v>95747.298710000003</v>
      </c>
      <c r="I285">
        <v>282.45</v>
      </c>
      <c r="J285">
        <v>95606.07144</v>
      </c>
      <c r="K285">
        <v>3227764.3879999998</v>
      </c>
      <c r="L285">
        <v>33.7112841</v>
      </c>
      <c r="M285">
        <v>0.95747298700000005</v>
      </c>
      <c r="N285">
        <v>-5.8259501086304084</v>
      </c>
      <c r="O285">
        <v>2.9543101213679048E-3</v>
      </c>
    </row>
    <row r="286" spans="1:15" x14ac:dyDescent="0.3">
      <c r="A286">
        <v>2016</v>
      </c>
      <c r="B286">
        <v>44</v>
      </c>
      <c r="C286" t="s">
        <v>12</v>
      </c>
      <c r="D286">
        <v>6220</v>
      </c>
      <c r="E286">
        <v>2024559</v>
      </c>
      <c r="F286">
        <v>3.0720000000000001E-3</v>
      </c>
      <c r="G286">
        <v>0.99692800000000004</v>
      </c>
      <c r="H286">
        <v>95464.854649999994</v>
      </c>
      <c r="I286">
        <v>293.27</v>
      </c>
      <c r="J286">
        <v>95318.220629999996</v>
      </c>
      <c r="K286">
        <v>3132158.3169999998</v>
      </c>
      <c r="L286">
        <v>32.809543660000003</v>
      </c>
      <c r="M286">
        <v>0.95464854700000001</v>
      </c>
      <c r="N286">
        <v>-5.7854264636967114</v>
      </c>
      <c r="O286">
        <v>3.0767469042697082E-3</v>
      </c>
    </row>
    <row r="287" spans="1:15" x14ac:dyDescent="0.3">
      <c r="A287">
        <v>2016</v>
      </c>
      <c r="B287">
        <v>45</v>
      </c>
      <c r="C287" t="s">
        <v>12</v>
      </c>
      <c r="D287">
        <v>6937</v>
      </c>
      <c r="E287">
        <v>2137964</v>
      </c>
      <c r="F287">
        <v>3.2450000000000001E-3</v>
      </c>
      <c r="G287">
        <v>0.99675499999999995</v>
      </c>
      <c r="H287">
        <v>95171.560450000004</v>
      </c>
      <c r="I287">
        <v>308.83</v>
      </c>
      <c r="J287">
        <v>95017.144589999996</v>
      </c>
      <c r="K287">
        <v>3036840.0959999999</v>
      </c>
      <c r="L287">
        <v>31.9091132</v>
      </c>
      <c r="M287">
        <v>0.95171560499999996</v>
      </c>
      <c r="N287">
        <v>-5.7306399288260836</v>
      </c>
      <c r="O287">
        <v>3.2502550057141636E-3</v>
      </c>
    </row>
    <row r="288" spans="1:15" x14ac:dyDescent="0.3">
      <c r="A288">
        <v>2016</v>
      </c>
      <c r="B288">
        <v>46</v>
      </c>
      <c r="C288" t="s">
        <v>12</v>
      </c>
      <c r="D288">
        <v>7499</v>
      </c>
      <c r="E288">
        <v>2172236</v>
      </c>
      <c r="F288">
        <v>3.4520000000000002E-3</v>
      </c>
      <c r="G288">
        <v>0.99654799999999999</v>
      </c>
      <c r="H288">
        <v>94862.759600000005</v>
      </c>
      <c r="I288">
        <v>327.47000000000003</v>
      </c>
      <c r="J288">
        <v>94699.02648</v>
      </c>
      <c r="K288">
        <v>2941822.952</v>
      </c>
      <c r="L288">
        <v>31.011357499999999</v>
      </c>
      <c r="M288">
        <v>0.94862759600000002</v>
      </c>
      <c r="N288">
        <v>-5.6688015057609551</v>
      </c>
      <c r="O288">
        <v>3.4580084453599068E-3</v>
      </c>
    </row>
    <row r="289" spans="1:15" x14ac:dyDescent="0.3">
      <c r="A289">
        <v>2016</v>
      </c>
      <c r="B289">
        <v>47</v>
      </c>
      <c r="C289" t="s">
        <v>12</v>
      </c>
      <c r="D289">
        <v>7800</v>
      </c>
      <c r="E289">
        <v>2054342</v>
      </c>
      <c r="F289">
        <v>3.797E-3</v>
      </c>
      <c r="G289">
        <v>0.99620299999999995</v>
      </c>
      <c r="H289">
        <v>94535.274080000003</v>
      </c>
      <c r="I289">
        <v>358.95</v>
      </c>
      <c r="J289">
        <v>94355.798859999995</v>
      </c>
      <c r="K289">
        <v>2847123.9249999998</v>
      </c>
      <c r="L289">
        <v>30.117053689999999</v>
      </c>
      <c r="M289">
        <v>0.945352741</v>
      </c>
      <c r="N289">
        <v>-5.5735439977324717</v>
      </c>
      <c r="O289">
        <v>3.8042173864578986E-3</v>
      </c>
    </row>
    <row r="290" spans="1:15" x14ac:dyDescent="0.3">
      <c r="A290">
        <v>2016</v>
      </c>
      <c r="B290">
        <v>48</v>
      </c>
      <c r="C290" t="s">
        <v>12</v>
      </c>
      <c r="D290">
        <v>8380</v>
      </c>
      <c r="E290">
        <v>2008211</v>
      </c>
      <c r="F290">
        <v>4.1729999999999996E-3</v>
      </c>
      <c r="G290">
        <v>0.99582700000000002</v>
      </c>
      <c r="H290">
        <v>94176.339129999993</v>
      </c>
      <c r="I290">
        <v>393</v>
      </c>
      <c r="J290">
        <v>93979.840200000006</v>
      </c>
      <c r="K290">
        <v>2752768.1260000002</v>
      </c>
      <c r="L290">
        <v>29.229933460000002</v>
      </c>
      <c r="M290">
        <v>0.94176339099999995</v>
      </c>
      <c r="N290">
        <v>-5.4791200773727216</v>
      </c>
      <c r="O290">
        <v>4.1817476305217715E-3</v>
      </c>
    </row>
    <row r="291" spans="1:15" x14ac:dyDescent="0.3">
      <c r="A291">
        <v>2016</v>
      </c>
      <c r="B291">
        <v>49</v>
      </c>
      <c r="C291" t="s">
        <v>12</v>
      </c>
      <c r="D291">
        <v>9153</v>
      </c>
      <c r="E291">
        <v>2003202</v>
      </c>
      <c r="F291">
        <v>4.5690000000000001E-3</v>
      </c>
      <c r="G291">
        <v>0.99543099999999995</v>
      </c>
      <c r="H291">
        <v>93783.353669999997</v>
      </c>
      <c r="I291">
        <v>428.5</v>
      </c>
      <c r="J291">
        <v>93569.105599999995</v>
      </c>
      <c r="K291">
        <v>2658788.2859999998</v>
      </c>
      <c r="L291">
        <v>28.350322120000001</v>
      </c>
      <c r="M291">
        <v>0.93783353700000005</v>
      </c>
      <c r="N291">
        <v>-5.3884609164010024</v>
      </c>
      <c r="O291">
        <v>4.5795034261970884E-3</v>
      </c>
    </row>
    <row r="292" spans="1:15" x14ac:dyDescent="0.3">
      <c r="A292">
        <v>2016</v>
      </c>
      <c r="B292">
        <v>50</v>
      </c>
      <c r="C292" t="s">
        <v>12</v>
      </c>
      <c r="D292">
        <v>10279</v>
      </c>
      <c r="E292">
        <v>2039838</v>
      </c>
      <c r="F292">
        <v>5.0390000000000001E-3</v>
      </c>
      <c r="G292">
        <v>0.99496099999999998</v>
      </c>
      <c r="H292">
        <v>93354.840200000006</v>
      </c>
      <c r="I292">
        <v>470.42</v>
      </c>
      <c r="J292">
        <v>93119.632679999995</v>
      </c>
      <c r="K292">
        <v>2565219.1800000002</v>
      </c>
      <c r="L292">
        <v>27.47815941</v>
      </c>
      <c r="M292">
        <v>0.933548402</v>
      </c>
      <c r="N292">
        <v>-5.2905476292836759</v>
      </c>
      <c r="O292">
        <v>5.0517814137569471E-3</v>
      </c>
    </row>
    <row r="293" spans="1:15" x14ac:dyDescent="0.3">
      <c r="A293">
        <v>2016</v>
      </c>
      <c r="B293">
        <v>51</v>
      </c>
      <c r="C293" t="s">
        <v>12</v>
      </c>
      <c r="D293">
        <v>11557</v>
      </c>
      <c r="E293">
        <v>2157926</v>
      </c>
      <c r="F293">
        <v>5.3559999999999997E-3</v>
      </c>
      <c r="G293">
        <v>0.99464399999999997</v>
      </c>
      <c r="H293">
        <v>92884.413430000001</v>
      </c>
      <c r="I293">
        <v>497.49</v>
      </c>
      <c r="J293">
        <v>92635.668969999999</v>
      </c>
      <c r="K293">
        <v>2472099.548</v>
      </c>
      <c r="L293">
        <v>26.614794199999999</v>
      </c>
      <c r="M293">
        <v>0.92884413399999999</v>
      </c>
      <c r="N293">
        <v>-5.2295378511532107</v>
      </c>
      <c r="O293">
        <v>5.3703924966722848E-3</v>
      </c>
    </row>
    <row r="294" spans="1:15" x14ac:dyDescent="0.3">
      <c r="A294">
        <v>2016</v>
      </c>
      <c r="B294">
        <v>52</v>
      </c>
      <c r="C294" t="s">
        <v>12</v>
      </c>
      <c r="D294">
        <v>13268</v>
      </c>
      <c r="E294">
        <v>2186447</v>
      </c>
      <c r="F294">
        <v>6.0679999999999996E-3</v>
      </c>
      <c r="G294">
        <v>0.99393200000000004</v>
      </c>
      <c r="H294">
        <v>92386.961169999995</v>
      </c>
      <c r="I294">
        <v>560.6</v>
      </c>
      <c r="J294">
        <v>92106.65913</v>
      </c>
      <c r="K294">
        <v>2379463.8790000002</v>
      </c>
      <c r="L294">
        <v>25.755407999999999</v>
      </c>
      <c r="M294">
        <v>0.92386961199999995</v>
      </c>
      <c r="N294">
        <v>-5.104726217495851</v>
      </c>
      <c r="O294">
        <v>6.0864229310102205E-3</v>
      </c>
    </row>
    <row r="295" spans="1:15" x14ac:dyDescent="0.3">
      <c r="A295">
        <v>2016</v>
      </c>
      <c r="B295">
        <v>53</v>
      </c>
      <c r="C295" t="s">
        <v>12</v>
      </c>
      <c r="D295">
        <v>14413</v>
      </c>
      <c r="E295">
        <v>2177713</v>
      </c>
      <c r="F295">
        <v>6.6179999999999998E-3</v>
      </c>
      <c r="G295">
        <v>0.99338199999999999</v>
      </c>
      <c r="H295">
        <v>91826.330069999996</v>
      </c>
      <c r="I295">
        <v>607.71</v>
      </c>
      <c r="J295">
        <v>91522.476739999998</v>
      </c>
      <c r="K295">
        <v>2287357.2200000002</v>
      </c>
      <c r="L295">
        <v>24.909600739999998</v>
      </c>
      <c r="M295">
        <v>0.91826330099999998</v>
      </c>
      <c r="N295">
        <v>-5.0179620694827163</v>
      </c>
      <c r="O295">
        <v>6.6400096126832753E-3</v>
      </c>
    </row>
    <row r="296" spans="1:15" x14ac:dyDescent="0.3">
      <c r="A296">
        <v>2016</v>
      </c>
      <c r="B296">
        <v>54</v>
      </c>
      <c r="C296" t="s">
        <v>12</v>
      </c>
      <c r="D296">
        <v>15800</v>
      </c>
      <c r="E296">
        <v>2168260</v>
      </c>
      <c r="F296">
        <v>7.2870000000000001E-3</v>
      </c>
      <c r="G296">
        <v>0.99271299999999996</v>
      </c>
      <c r="H296">
        <v>91218.585659999997</v>
      </c>
      <c r="I296">
        <v>664.71</v>
      </c>
      <c r="J296">
        <v>90886.230739999999</v>
      </c>
      <c r="K296">
        <v>2195834.7429999998</v>
      </c>
      <c r="L296">
        <v>24.072229660000001</v>
      </c>
      <c r="M296">
        <v>0.91218585699999999</v>
      </c>
      <c r="N296">
        <v>-4.9216633402939918</v>
      </c>
      <c r="O296">
        <v>7.3136489163110607E-3</v>
      </c>
    </row>
    <row r="297" spans="1:15" x14ac:dyDescent="0.3">
      <c r="A297">
        <v>2016</v>
      </c>
      <c r="B297">
        <v>55</v>
      </c>
      <c r="C297" t="s">
        <v>12</v>
      </c>
      <c r="D297">
        <v>17335</v>
      </c>
      <c r="E297">
        <v>2186968</v>
      </c>
      <c r="F297">
        <v>7.9260000000000008E-3</v>
      </c>
      <c r="G297">
        <v>0.99207400000000001</v>
      </c>
      <c r="H297">
        <v>90553.880480000007</v>
      </c>
      <c r="I297">
        <v>717.73</v>
      </c>
      <c r="J297">
        <v>90195.015450000006</v>
      </c>
      <c r="K297">
        <v>2104948.5120000001</v>
      </c>
      <c r="L297">
        <v>23.245260179999999</v>
      </c>
      <c r="M297">
        <v>0.90553880499999995</v>
      </c>
      <c r="N297">
        <v>-4.8376067842138939</v>
      </c>
      <c r="O297">
        <v>7.9575370796207117E-3</v>
      </c>
    </row>
    <row r="298" spans="1:15" x14ac:dyDescent="0.3">
      <c r="A298">
        <v>2016</v>
      </c>
      <c r="B298">
        <v>56</v>
      </c>
      <c r="C298" t="s">
        <v>12</v>
      </c>
      <c r="D298">
        <v>18283</v>
      </c>
      <c r="E298">
        <v>2207097</v>
      </c>
      <c r="F298">
        <v>8.2839999999999997E-3</v>
      </c>
      <c r="G298">
        <v>0.99171600000000004</v>
      </c>
      <c r="H298">
        <v>89836.105219999998</v>
      </c>
      <c r="I298">
        <v>744.2</v>
      </c>
      <c r="J298">
        <v>89464.004069999995</v>
      </c>
      <c r="K298">
        <v>2014753.497</v>
      </c>
      <c r="L298">
        <v>22.426990709999998</v>
      </c>
      <c r="M298">
        <v>0.89836105200000005</v>
      </c>
      <c r="N298">
        <v>-4.7934293354487991</v>
      </c>
      <c r="O298">
        <v>8.318428261071811E-3</v>
      </c>
    </row>
    <row r="299" spans="1:15" x14ac:dyDescent="0.3">
      <c r="A299">
        <v>2016</v>
      </c>
      <c r="B299">
        <v>57</v>
      </c>
      <c r="C299" t="s">
        <v>12</v>
      </c>
      <c r="D299">
        <v>19808</v>
      </c>
      <c r="E299">
        <v>2120821</v>
      </c>
      <c r="F299">
        <v>9.3399999999999993E-3</v>
      </c>
      <c r="G299">
        <v>0.99065999999999999</v>
      </c>
      <c r="H299">
        <v>89091.927009999999</v>
      </c>
      <c r="I299">
        <v>832.12</v>
      </c>
      <c r="J299">
        <v>88675.867710000006</v>
      </c>
      <c r="K299">
        <v>1925289.493</v>
      </c>
      <c r="L299">
        <v>21.610145360000001</v>
      </c>
      <c r="M299">
        <v>0.89091927000000004</v>
      </c>
      <c r="N299">
        <v>-4.6734490267413857</v>
      </c>
      <c r="O299">
        <v>9.3838372180150859E-3</v>
      </c>
    </row>
    <row r="300" spans="1:15" x14ac:dyDescent="0.3">
      <c r="A300">
        <v>2016</v>
      </c>
      <c r="B300">
        <v>58</v>
      </c>
      <c r="C300" t="s">
        <v>12</v>
      </c>
      <c r="D300">
        <v>20868</v>
      </c>
      <c r="E300">
        <v>2100779</v>
      </c>
      <c r="F300">
        <v>9.9330000000000009E-3</v>
      </c>
      <c r="G300">
        <v>0.99006700000000003</v>
      </c>
      <c r="H300">
        <v>88259.828070000003</v>
      </c>
      <c r="I300">
        <v>876.68</v>
      </c>
      <c r="J300">
        <v>87821.485629999996</v>
      </c>
      <c r="K300">
        <v>1836613.625</v>
      </c>
      <c r="L300">
        <v>20.809168400000001</v>
      </c>
      <c r="M300">
        <v>0.88259828100000004</v>
      </c>
      <c r="N300">
        <v>-4.6118927317489185</v>
      </c>
      <c r="O300">
        <v>9.9825252944417027E-3</v>
      </c>
    </row>
    <row r="301" spans="1:15" x14ac:dyDescent="0.3">
      <c r="A301">
        <v>2016</v>
      </c>
      <c r="B301">
        <v>59</v>
      </c>
      <c r="C301" t="s">
        <v>12</v>
      </c>
      <c r="D301">
        <v>22356</v>
      </c>
      <c r="E301">
        <v>2067741</v>
      </c>
      <c r="F301">
        <v>1.0812E-2</v>
      </c>
      <c r="G301">
        <v>0.98918799999999996</v>
      </c>
      <c r="H301">
        <v>87383.102780000001</v>
      </c>
      <c r="I301">
        <v>944.79</v>
      </c>
      <c r="J301">
        <v>86910.709730000002</v>
      </c>
      <c r="K301">
        <v>1748792.139</v>
      </c>
      <c r="L301">
        <v>20.01293252</v>
      </c>
      <c r="M301">
        <v>0.87383102800000001</v>
      </c>
      <c r="N301">
        <v>-4.527098650567936</v>
      </c>
      <c r="O301">
        <v>1.0870811059872802E-2</v>
      </c>
    </row>
    <row r="302" spans="1:15" x14ac:dyDescent="0.3">
      <c r="A302">
        <v>2016</v>
      </c>
      <c r="B302">
        <v>60</v>
      </c>
      <c r="C302" t="s">
        <v>12</v>
      </c>
      <c r="D302">
        <v>22875</v>
      </c>
      <c r="E302">
        <v>1984701</v>
      </c>
      <c r="F302">
        <v>1.1526E-2</v>
      </c>
      <c r="G302">
        <v>0.98847399999999996</v>
      </c>
      <c r="H302">
        <v>86438.334239999996</v>
      </c>
      <c r="I302">
        <v>996.29</v>
      </c>
      <c r="J302">
        <v>85940.190119999999</v>
      </c>
      <c r="K302">
        <v>1661881.43</v>
      </c>
      <c r="L302">
        <v>19.226208419999999</v>
      </c>
      <c r="M302">
        <v>0.864383342</v>
      </c>
      <c r="N302">
        <v>-4.4631499259676621</v>
      </c>
      <c r="O302">
        <v>1.1592827885212932E-2</v>
      </c>
    </row>
    <row r="303" spans="1:15" x14ac:dyDescent="0.3">
      <c r="A303">
        <v>2016</v>
      </c>
      <c r="B303">
        <v>61</v>
      </c>
      <c r="C303" t="s">
        <v>12</v>
      </c>
      <c r="D303">
        <v>24337</v>
      </c>
      <c r="E303">
        <v>1961475</v>
      </c>
      <c r="F303">
        <v>1.2407E-2</v>
      </c>
      <c r="G303">
        <v>0.98759300000000005</v>
      </c>
      <c r="H303">
        <v>85442.074900000007</v>
      </c>
      <c r="I303">
        <v>1060.08</v>
      </c>
      <c r="J303">
        <v>84912.03499</v>
      </c>
      <c r="K303">
        <v>1575941.2390000001</v>
      </c>
      <c r="L303">
        <v>18.44455722</v>
      </c>
      <c r="M303">
        <v>0.85442074899999998</v>
      </c>
      <c r="N303">
        <v>-4.3894944495214023</v>
      </c>
      <c r="O303">
        <v>1.248445248713048E-2</v>
      </c>
    </row>
    <row r="304" spans="1:15" x14ac:dyDescent="0.3">
      <c r="A304">
        <v>2016</v>
      </c>
      <c r="B304">
        <v>62</v>
      </c>
      <c r="C304" t="s">
        <v>12</v>
      </c>
      <c r="D304">
        <v>24890</v>
      </c>
      <c r="E304">
        <v>1867184</v>
      </c>
      <c r="F304">
        <v>1.333E-2</v>
      </c>
      <c r="G304">
        <v>0.98667000000000005</v>
      </c>
      <c r="H304">
        <v>84381.952399999995</v>
      </c>
      <c r="I304">
        <v>1124.81</v>
      </c>
      <c r="J304">
        <v>83819.546690000003</v>
      </c>
      <c r="K304">
        <v>1491029.2039999999</v>
      </c>
      <c r="L304">
        <v>17.670001249999999</v>
      </c>
      <c r="M304">
        <v>0.84381952400000004</v>
      </c>
      <c r="N304">
        <v>-4.3177381447915195</v>
      </c>
      <c r="O304">
        <v>1.3419425146069357E-2</v>
      </c>
    </row>
    <row r="305" spans="1:15" x14ac:dyDescent="0.3">
      <c r="A305">
        <v>2016</v>
      </c>
      <c r="B305">
        <v>63</v>
      </c>
      <c r="C305" t="s">
        <v>12</v>
      </c>
      <c r="D305">
        <v>25337</v>
      </c>
      <c r="E305">
        <v>1788512</v>
      </c>
      <c r="F305">
        <v>1.4167000000000001E-2</v>
      </c>
      <c r="G305">
        <v>0.98583299999999996</v>
      </c>
      <c r="H305">
        <v>83257.121220000001</v>
      </c>
      <c r="I305">
        <v>1179.5</v>
      </c>
      <c r="J305">
        <v>82667.369399999996</v>
      </c>
      <c r="K305">
        <v>1407209.6580000001</v>
      </c>
      <c r="L305">
        <v>16.901973519999999</v>
      </c>
      <c r="M305">
        <v>0.83257121199999995</v>
      </c>
      <c r="N305">
        <v>-4.2568399625849231</v>
      </c>
      <c r="O305">
        <v>1.4268020458503852E-2</v>
      </c>
    </row>
    <row r="306" spans="1:15" x14ac:dyDescent="0.3">
      <c r="A306">
        <v>2016</v>
      </c>
      <c r="B306">
        <v>64</v>
      </c>
      <c r="C306" t="s">
        <v>12</v>
      </c>
      <c r="D306">
        <v>26295</v>
      </c>
      <c r="E306">
        <v>1713760</v>
      </c>
      <c r="F306">
        <v>1.5343000000000001E-2</v>
      </c>
      <c r="G306">
        <v>0.984657</v>
      </c>
      <c r="H306">
        <v>82077.657130000007</v>
      </c>
      <c r="I306">
        <v>1259.32</v>
      </c>
      <c r="J306">
        <v>81447.998380000005</v>
      </c>
      <c r="K306">
        <v>1324542.2879999999</v>
      </c>
      <c r="L306">
        <v>16.137671749999999</v>
      </c>
      <c r="M306">
        <v>0.82077657100000001</v>
      </c>
      <c r="N306">
        <v>-4.177095935019068</v>
      </c>
      <c r="O306">
        <v>1.5461648093860678E-2</v>
      </c>
    </row>
    <row r="307" spans="1:15" x14ac:dyDescent="0.3">
      <c r="A307">
        <v>2016</v>
      </c>
      <c r="B307">
        <v>65</v>
      </c>
      <c r="C307" t="s">
        <v>12</v>
      </c>
      <c r="D307">
        <v>26756</v>
      </c>
      <c r="E307">
        <v>1651159</v>
      </c>
      <c r="F307">
        <v>1.6204E-2</v>
      </c>
      <c r="G307">
        <v>0.983796</v>
      </c>
      <c r="H307">
        <v>80818.302259999997</v>
      </c>
      <c r="I307">
        <v>1309.58</v>
      </c>
      <c r="J307">
        <v>80163.51238</v>
      </c>
      <c r="K307">
        <v>1243094.29</v>
      </c>
      <c r="L307">
        <v>15.38134625</v>
      </c>
      <c r="M307">
        <v>0.808183023</v>
      </c>
      <c r="N307">
        <v>-4.1224971536416932</v>
      </c>
      <c r="O307">
        <v>1.6336363126569716E-2</v>
      </c>
    </row>
    <row r="308" spans="1:15" x14ac:dyDescent="0.3">
      <c r="A308">
        <v>2016</v>
      </c>
      <c r="B308">
        <v>66</v>
      </c>
      <c r="C308" t="s">
        <v>12</v>
      </c>
      <c r="D308">
        <v>27052</v>
      </c>
      <c r="E308">
        <v>1609408</v>
      </c>
      <c r="F308">
        <v>1.6809000000000001E-2</v>
      </c>
      <c r="G308">
        <v>0.98319100000000004</v>
      </c>
      <c r="H308">
        <v>79508.692169999995</v>
      </c>
      <c r="I308">
        <v>1336.46</v>
      </c>
      <c r="J308">
        <v>78840.461370000005</v>
      </c>
      <c r="K308">
        <v>1162930.7779999999</v>
      </c>
      <c r="L308">
        <v>14.62646091</v>
      </c>
      <c r="M308">
        <v>0.79508692199999997</v>
      </c>
      <c r="N308">
        <v>-4.0858408217308799</v>
      </c>
      <c r="O308">
        <v>1.6951445376558964E-2</v>
      </c>
    </row>
    <row r="309" spans="1:15" x14ac:dyDescent="0.3">
      <c r="A309">
        <v>2016</v>
      </c>
      <c r="B309">
        <v>67</v>
      </c>
      <c r="C309" t="s">
        <v>12</v>
      </c>
      <c r="D309">
        <v>28132</v>
      </c>
      <c r="E309">
        <v>1553893</v>
      </c>
      <c r="F309">
        <v>1.8103999999999999E-2</v>
      </c>
      <c r="G309">
        <v>0.98189599999999999</v>
      </c>
      <c r="H309">
        <v>78172.257190000004</v>
      </c>
      <c r="I309">
        <v>1415.23</v>
      </c>
      <c r="J309">
        <v>77464.641919999995</v>
      </c>
      <c r="K309">
        <v>1084090.3160000001</v>
      </c>
      <c r="L309">
        <v>13.86796743</v>
      </c>
      <c r="M309">
        <v>0.78172257199999995</v>
      </c>
      <c r="N309">
        <v>-4.0116223706509011</v>
      </c>
      <c r="O309">
        <v>1.8269369257241947E-2</v>
      </c>
    </row>
    <row r="310" spans="1:15" x14ac:dyDescent="0.3">
      <c r="A310">
        <v>2016</v>
      </c>
      <c r="B310">
        <v>68</v>
      </c>
      <c r="C310" t="s">
        <v>12</v>
      </c>
      <c r="D310">
        <v>29863</v>
      </c>
      <c r="E310">
        <v>1532242</v>
      </c>
      <c r="F310">
        <v>1.949E-2</v>
      </c>
      <c r="G310">
        <v>0.98050999999999999</v>
      </c>
      <c r="H310">
        <v>76757.010490000001</v>
      </c>
      <c r="I310">
        <v>1495.99</v>
      </c>
      <c r="J310">
        <v>76009.013420000003</v>
      </c>
      <c r="K310">
        <v>1006625.674</v>
      </c>
      <c r="L310">
        <v>13.11444607</v>
      </c>
      <c r="M310">
        <v>0.767570105</v>
      </c>
      <c r="N310">
        <v>-3.9378537654626675</v>
      </c>
      <c r="O310">
        <v>1.968174216649228E-2</v>
      </c>
    </row>
    <row r="311" spans="1:15" x14ac:dyDescent="0.3">
      <c r="A311">
        <v>2016</v>
      </c>
      <c r="B311">
        <v>69</v>
      </c>
      <c r="C311" t="s">
        <v>12</v>
      </c>
      <c r="D311">
        <v>32586</v>
      </c>
      <c r="E311">
        <v>1590217</v>
      </c>
      <c r="F311">
        <v>2.0492E-2</v>
      </c>
      <c r="G311">
        <v>0.97950800000000005</v>
      </c>
      <c r="H311">
        <v>75261.036219999995</v>
      </c>
      <c r="I311">
        <v>1542.25</v>
      </c>
      <c r="J311">
        <v>74489.911640000006</v>
      </c>
      <c r="K311">
        <v>930616.66090000002</v>
      </c>
      <c r="L311">
        <v>12.365185329999999</v>
      </c>
      <c r="M311">
        <v>0.75261036199999998</v>
      </c>
      <c r="N311">
        <v>-3.8877207129051814</v>
      </c>
      <c r="O311">
        <v>2.0704141135765373E-2</v>
      </c>
    </row>
    <row r="312" spans="1:15" x14ac:dyDescent="0.3">
      <c r="A312">
        <v>2016</v>
      </c>
      <c r="B312">
        <v>70</v>
      </c>
      <c r="C312" t="s">
        <v>12</v>
      </c>
      <c r="D312">
        <v>26854</v>
      </c>
      <c r="E312">
        <v>1161594</v>
      </c>
      <c r="F312">
        <v>2.3118E-2</v>
      </c>
      <c r="G312">
        <v>0.97688200000000003</v>
      </c>
      <c r="H312">
        <v>73718.821469999995</v>
      </c>
      <c r="I312">
        <v>1704.23</v>
      </c>
      <c r="J312">
        <v>72866.705610000005</v>
      </c>
      <c r="K312">
        <v>856126.74930000002</v>
      </c>
      <c r="L312">
        <v>11.61340798</v>
      </c>
      <c r="M312">
        <v>0.73718821499999998</v>
      </c>
      <c r="N312">
        <v>-3.7671437441100615</v>
      </c>
      <c r="O312">
        <v>2.3388325107525119E-2</v>
      </c>
    </row>
    <row r="313" spans="1:15" x14ac:dyDescent="0.3">
      <c r="A313">
        <v>2016</v>
      </c>
      <c r="B313">
        <v>71</v>
      </c>
      <c r="C313" t="s">
        <v>12</v>
      </c>
      <c r="D313">
        <v>28167</v>
      </c>
      <c r="E313">
        <v>1135596</v>
      </c>
      <c r="F313">
        <v>2.4804E-2</v>
      </c>
      <c r="G313">
        <v>0.97519599999999995</v>
      </c>
      <c r="H313">
        <v>72014.572620000006</v>
      </c>
      <c r="I313">
        <v>1786.25</v>
      </c>
      <c r="J313">
        <v>71121.447889999996</v>
      </c>
      <c r="K313">
        <v>783260.04370000004</v>
      </c>
      <c r="L313">
        <v>10.876410359999999</v>
      </c>
      <c r="M313">
        <v>0.72014572600000004</v>
      </c>
      <c r="N313">
        <v>-3.6967503484945055</v>
      </c>
      <c r="O313">
        <v>2.5115486193826791E-2</v>
      </c>
    </row>
    <row r="314" spans="1:15" x14ac:dyDescent="0.3">
      <c r="A314">
        <v>2016</v>
      </c>
      <c r="B314">
        <v>72</v>
      </c>
      <c r="C314" t="s">
        <v>12</v>
      </c>
      <c r="D314">
        <v>29906</v>
      </c>
      <c r="E314">
        <v>1094469</v>
      </c>
      <c r="F314">
        <v>2.7324999999999999E-2</v>
      </c>
      <c r="G314">
        <v>0.97267499999999996</v>
      </c>
      <c r="H314">
        <v>70228.343659999999</v>
      </c>
      <c r="I314">
        <v>1918.99</v>
      </c>
      <c r="J314">
        <v>69268.848910000001</v>
      </c>
      <c r="K314">
        <v>712138.59580000001</v>
      </c>
      <c r="L314">
        <v>10.140330219999999</v>
      </c>
      <c r="M314">
        <v>0.70228343699999995</v>
      </c>
      <c r="N314">
        <v>-3.5999532449195351</v>
      </c>
      <c r="O314">
        <v>2.7703501723693399E-2</v>
      </c>
    </row>
    <row r="315" spans="1:15" x14ac:dyDescent="0.3">
      <c r="A315">
        <v>2016</v>
      </c>
      <c r="B315">
        <v>73</v>
      </c>
      <c r="C315" t="s">
        <v>12</v>
      </c>
      <c r="D315">
        <v>32437</v>
      </c>
      <c r="E315">
        <v>1108935</v>
      </c>
      <c r="F315">
        <v>2.9250999999999999E-2</v>
      </c>
      <c r="G315">
        <v>0.97074899999999997</v>
      </c>
      <c r="H315">
        <v>68309.377609999996</v>
      </c>
      <c r="I315">
        <v>1998.12</v>
      </c>
      <c r="J315">
        <v>67310.318809999997</v>
      </c>
      <c r="K315">
        <v>642869.74690000003</v>
      </c>
      <c r="L315">
        <v>9.411149236</v>
      </c>
      <c r="M315">
        <v>0.68309377599999999</v>
      </c>
      <c r="N315">
        <v>-3.5318415178544811</v>
      </c>
      <c r="O315">
        <v>2.9685189684325188E-2</v>
      </c>
    </row>
    <row r="316" spans="1:15" x14ac:dyDescent="0.3">
      <c r="A316">
        <v>2016</v>
      </c>
      <c r="B316">
        <v>74</v>
      </c>
      <c r="C316" t="s">
        <v>12</v>
      </c>
      <c r="D316">
        <v>30989</v>
      </c>
      <c r="E316">
        <v>953596</v>
      </c>
      <c r="F316">
        <v>3.2496999999999998E-2</v>
      </c>
      <c r="G316">
        <v>0.967503</v>
      </c>
      <c r="H316">
        <v>66311.288199999995</v>
      </c>
      <c r="I316">
        <v>2154.92</v>
      </c>
      <c r="J316">
        <v>65233.829230000003</v>
      </c>
      <c r="K316">
        <v>575559.42810000002</v>
      </c>
      <c r="L316">
        <v>8.6796598839999994</v>
      </c>
      <c r="M316">
        <v>0.66311288199999996</v>
      </c>
      <c r="N316">
        <v>-3.4266075015993702</v>
      </c>
      <c r="O316">
        <v>3.3033780397380204E-2</v>
      </c>
    </row>
    <row r="317" spans="1:15" x14ac:dyDescent="0.3">
      <c r="A317">
        <v>2016</v>
      </c>
      <c r="B317">
        <v>75</v>
      </c>
      <c r="C317" t="s">
        <v>12</v>
      </c>
      <c r="D317">
        <v>30756</v>
      </c>
      <c r="E317">
        <v>856476</v>
      </c>
      <c r="F317">
        <v>3.5909999999999997E-2</v>
      </c>
      <c r="G317">
        <v>0.96409</v>
      </c>
      <c r="H317">
        <v>64156.370909999998</v>
      </c>
      <c r="I317">
        <v>2303.86</v>
      </c>
      <c r="J317">
        <v>63004.443270000003</v>
      </c>
      <c r="K317">
        <v>510325.59879999998</v>
      </c>
      <c r="L317">
        <v>7.954402526</v>
      </c>
      <c r="M317">
        <v>0.64156370900000004</v>
      </c>
      <c r="N317">
        <v>-3.3267394707441458</v>
      </c>
      <c r="O317">
        <v>3.6566626219668746E-2</v>
      </c>
    </row>
    <row r="318" spans="1:15" x14ac:dyDescent="0.3">
      <c r="A318">
        <v>2016</v>
      </c>
      <c r="B318">
        <v>76</v>
      </c>
      <c r="C318" t="s">
        <v>12</v>
      </c>
      <c r="D318">
        <v>30677</v>
      </c>
      <c r="E318">
        <v>799334</v>
      </c>
      <c r="F318">
        <v>3.8378000000000002E-2</v>
      </c>
      <c r="G318">
        <v>0.96162199999999998</v>
      </c>
      <c r="H318">
        <v>61852.519610000003</v>
      </c>
      <c r="I318">
        <v>2373.7800000000002</v>
      </c>
      <c r="J318">
        <v>60665.631609999997</v>
      </c>
      <c r="K318">
        <v>447321.1556</v>
      </c>
      <c r="L318">
        <v>7.2320603649999997</v>
      </c>
      <c r="M318">
        <v>0.618525196</v>
      </c>
      <c r="N318">
        <v>-3.2602709002345862</v>
      </c>
      <c r="O318">
        <v>3.9128913337241104E-2</v>
      </c>
    </row>
    <row r="319" spans="1:15" x14ac:dyDescent="0.3">
      <c r="A319">
        <v>2016</v>
      </c>
      <c r="B319">
        <v>77</v>
      </c>
      <c r="C319" t="s">
        <v>12</v>
      </c>
      <c r="D319">
        <v>31459</v>
      </c>
      <c r="E319">
        <v>743645</v>
      </c>
      <c r="F319">
        <v>4.2304000000000001E-2</v>
      </c>
      <c r="G319">
        <v>0.95769599999999999</v>
      </c>
      <c r="H319">
        <v>59478.731249999997</v>
      </c>
      <c r="I319">
        <v>2516.19</v>
      </c>
      <c r="J319">
        <v>58220.637130000003</v>
      </c>
      <c r="K319">
        <v>386655.52399999998</v>
      </c>
      <c r="L319">
        <v>6.5007359070000001</v>
      </c>
      <c r="M319">
        <v>0.59478731299999998</v>
      </c>
      <c r="N319">
        <v>-3.1628736347529158</v>
      </c>
      <c r="O319">
        <v>4.3218175734538365E-2</v>
      </c>
    </row>
    <row r="320" spans="1:15" x14ac:dyDescent="0.3">
      <c r="A320">
        <v>2016</v>
      </c>
      <c r="B320">
        <v>78</v>
      </c>
      <c r="C320" t="s">
        <v>12</v>
      </c>
      <c r="D320">
        <v>31783</v>
      </c>
      <c r="E320">
        <v>696383</v>
      </c>
      <c r="F320">
        <v>4.564E-2</v>
      </c>
      <c r="G320">
        <v>0.95435999999999999</v>
      </c>
      <c r="H320">
        <v>56962.555650000002</v>
      </c>
      <c r="I320">
        <v>2599.77</v>
      </c>
      <c r="J320">
        <v>55662.670129999999</v>
      </c>
      <c r="K320">
        <v>328434.88679999998</v>
      </c>
      <c r="L320">
        <v>5.7658032209999996</v>
      </c>
      <c r="M320">
        <v>0.56962555699999995</v>
      </c>
      <c r="N320">
        <v>-3.086970753988262</v>
      </c>
      <c r="O320">
        <v>4.6705811029595194E-2</v>
      </c>
    </row>
    <row r="321" spans="1:15" x14ac:dyDescent="0.3">
      <c r="A321">
        <v>2016</v>
      </c>
      <c r="B321">
        <v>79</v>
      </c>
      <c r="C321" t="s">
        <v>12</v>
      </c>
      <c r="D321">
        <v>32176</v>
      </c>
      <c r="E321">
        <v>627781</v>
      </c>
      <c r="F321">
        <v>5.1254000000000001E-2</v>
      </c>
      <c r="G321">
        <v>0.94874599999999998</v>
      </c>
      <c r="H321">
        <v>54362.778079999996</v>
      </c>
      <c r="I321">
        <v>2786.31</v>
      </c>
      <c r="J321">
        <v>52969.623169999999</v>
      </c>
      <c r="K321">
        <v>272772.21669999999</v>
      </c>
      <c r="L321">
        <v>5.0176283540000002</v>
      </c>
      <c r="M321">
        <v>0.54362778099999998</v>
      </c>
      <c r="N321">
        <v>-2.9709616152287794</v>
      </c>
      <c r="O321">
        <v>5.2602023181314649E-2</v>
      </c>
    </row>
    <row r="322" spans="1:15" x14ac:dyDescent="0.3">
      <c r="A322">
        <v>2016</v>
      </c>
      <c r="B322">
        <v>80</v>
      </c>
      <c r="C322" t="s">
        <v>12</v>
      </c>
      <c r="D322">
        <v>33035</v>
      </c>
      <c r="E322">
        <v>584947</v>
      </c>
      <c r="F322">
        <v>5.6474999999999997E-2</v>
      </c>
      <c r="G322">
        <v>0.94352499999999995</v>
      </c>
      <c r="H322">
        <v>51576.493130000003</v>
      </c>
      <c r="I322">
        <v>2912.78</v>
      </c>
      <c r="J322">
        <v>50120.101909999998</v>
      </c>
      <c r="K322">
        <v>219802.59349999999</v>
      </c>
      <c r="L322">
        <v>4.2616816340000003</v>
      </c>
      <c r="M322">
        <v>0.51576493099999998</v>
      </c>
      <c r="N322">
        <v>-2.87395721662807</v>
      </c>
      <c r="O322">
        <v>5.8116009181602396E-2</v>
      </c>
    </row>
    <row r="323" spans="1:15" x14ac:dyDescent="0.3">
      <c r="A323">
        <v>2016</v>
      </c>
      <c r="B323">
        <v>81</v>
      </c>
      <c r="C323" t="s">
        <v>12</v>
      </c>
      <c r="D323">
        <v>33672</v>
      </c>
      <c r="E323">
        <v>544044</v>
      </c>
      <c r="F323">
        <v>6.1892000000000003E-2</v>
      </c>
      <c r="G323">
        <v>0.93810800000000005</v>
      </c>
      <c r="H323">
        <v>48663.700270000001</v>
      </c>
      <c r="I323">
        <v>3011.89</v>
      </c>
      <c r="J323">
        <v>47157.753400000001</v>
      </c>
      <c r="K323">
        <v>169682.49160000001</v>
      </c>
      <c r="L323">
        <v>3.4868390749999998</v>
      </c>
      <c r="M323">
        <v>0.48663700300000001</v>
      </c>
      <c r="N323">
        <v>-2.7823643483547107</v>
      </c>
      <c r="O323">
        <v>6.3868396285198969E-2</v>
      </c>
    </row>
    <row r="324" spans="1:15" x14ac:dyDescent="0.3">
      <c r="A324">
        <v>2016</v>
      </c>
      <c r="B324">
        <v>82</v>
      </c>
      <c r="C324" t="s">
        <v>12</v>
      </c>
      <c r="D324">
        <v>32898</v>
      </c>
      <c r="E324">
        <v>474695</v>
      </c>
      <c r="F324">
        <v>6.9303000000000003E-2</v>
      </c>
      <c r="G324">
        <v>0.930697</v>
      </c>
      <c r="H324">
        <v>45651.803959999997</v>
      </c>
      <c r="I324">
        <v>3163.81</v>
      </c>
      <c r="J324">
        <v>44069.900479999997</v>
      </c>
      <c r="K324">
        <v>122524.73820000001</v>
      </c>
      <c r="L324">
        <v>2.683896968</v>
      </c>
      <c r="M324">
        <v>0.45651804000000001</v>
      </c>
      <c r="N324">
        <v>-2.6692670836799763</v>
      </c>
      <c r="O324">
        <v>7.1790739240202503E-2</v>
      </c>
    </row>
    <row r="325" spans="1:15" x14ac:dyDescent="0.3">
      <c r="A325">
        <v>2016</v>
      </c>
      <c r="B325">
        <v>83</v>
      </c>
      <c r="C325" t="s">
        <v>12</v>
      </c>
      <c r="D325">
        <v>33700</v>
      </c>
      <c r="E325">
        <v>443081</v>
      </c>
      <c r="F325">
        <v>7.6058000000000001E-2</v>
      </c>
      <c r="G325">
        <v>0.92394200000000004</v>
      </c>
      <c r="H325">
        <v>42487.976560000003</v>
      </c>
      <c r="I325">
        <v>3231.55</v>
      </c>
      <c r="J325">
        <v>40872.201300000001</v>
      </c>
      <c r="K325">
        <v>78454.837759999995</v>
      </c>
      <c r="L325">
        <v>1.8465185710000001</v>
      </c>
      <c r="M325">
        <v>0.42487976599999999</v>
      </c>
      <c r="N325">
        <v>-2.576259071857983</v>
      </c>
      <c r="O325">
        <v>7.9064754241199561E-2</v>
      </c>
    </row>
    <row r="326" spans="1:15" x14ac:dyDescent="0.3">
      <c r="A326">
        <v>2016</v>
      </c>
      <c r="B326">
        <v>84</v>
      </c>
      <c r="C326" t="s">
        <v>12</v>
      </c>
      <c r="D326">
        <v>34663</v>
      </c>
      <c r="E326">
        <v>406488</v>
      </c>
      <c r="F326">
        <v>8.5274000000000003E-2</v>
      </c>
      <c r="G326">
        <v>0.91472600000000004</v>
      </c>
      <c r="H326">
        <v>39256.412100000001</v>
      </c>
      <c r="I326">
        <v>3347.55</v>
      </c>
      <c r="J326">
        <v>37582.636460000002</v>
      </c>
      <c r="K326">
        <v>37582.636460000002</v>
      </c>
      <c r="L326">
        <v>0.95736299999999996</v>
      </c>
      <c r="M326">
        <v>0.39256412099999999</v>
      </c>
      <c r="N326">
        <v>-2.4618856775125306</v>
      </c>
      <c r="O326">
        <v>4.8077498903190539E-2</v>
      </c>
    </row>
    <row r="327" spans="1:15" x14ac:dyDescent="0.3">
      <c r="A327">
        <v>2016</v>
      </c>
      <c r="B327">
        <v>20</v>
      </c>
      <c r="C327" t="s">
        <v>13</v>
      </c>
      <c r="D327">
        <v>3503</v>
      </c>
      <c r="E327">
        <v>4286221</v>
      </c>
      <c r="F327">
        <v>8.1700000000000002E-4</v>
      </c>
      <c r="G327">
        <v>0.99918300000000004</v>
      </c>
      <c r="H327">
        <v>100000</v>
      </c>
      <c r="I327">
        <v>81.7</v>
      </c>
      <c r="J327">
        <v>99959.15</v>
      </c>
      <c r="K327">
        <v>5656938.0159999998</v>
      </c>
      <c r="L327">
        <v>56.569380160000001</v>
      </c>
      <c r="M327">
        <v>1</v>
      </c>
      <c r="N327">
        <v>-7.1098714631042714</v>
      </c>
      <c r="O327">
        <v>8.1733399127552494E-4</v>
      </c>
    </row>
    <row r="328" spans="1:15" x14ac:dyDescent="0.3">
      <c r="A328">
        <v>2016</v>
      </c>
      <c r="B328">
        <v>21</v>
      </c>
      <c r="C328" t="s">
        <v>13</v>
      </c>
      <c r="D328">
        <v>4182</v>
      </c>
      <c r="E328">
        <v>4386854</v>
      </c>
      <c r="F328">
        <v>9.5299999999999996E-4</v>
      </c>
      <c r="G328">
        <v>0.99904700000000002</v>
      </c>
      <c r="H328">
        <v>99918.273000000001</v>
      </c>
      <c r="I328">
        <v>95.22</v>
      </c>
      <c r="J328">
        <v>99870.661940000005</v>
      </c>
      <c r="K328">
        <v>5556978.8660000004</v>
      </c>
      <c r="L328">
        <v>55.615241330000003</v>
      </c>
      <c r="M328">
        <v>0.99918273000000002</v>
      </c>
      <c r="N328">
        <v>-6.9558956543100718</v>
      </c>
      <c r="O328">
        <v>9.534332963356606E-4</v>
      </c>
    </row>
    <row r="329" spans="1:15" x14ac:dyDescent="0.3">
      <c r="A329">
        <v>2016</v>
      </c>
      <c r="B329">
        <v>22</v>
      </c>
      <c r="C329" t="s">
        <v>13</v>
      </c>
      <c r="D329">
        <v>4382</v>
      </c>
      <c r="E329">
        <v>4480904</v>
      </c>
      <c r="F329">
        <v>9.7799999999999992E-4</v>
      </c>
      <c r="G329">
        <v>0.99902199999999997</v>
      </c>
      <c r="H329">
        <v>99823.020629999999</v>
      </c>
      <c r="I329">
        <v>97.63</v>
      </c>
      <c r="J329">
        <v>99774.207169999994</v>
      </c>
      <c r="K329">
        <v>5457108.2039999999</v>
      </c>
      <c r="L329">
        <v>54.667832830000002</v>
      </c>
      <c r="M329">
        <v>0.99823020600000001</v>
      </c>
      <c r="N329">
        <v>-6.9300008879294568</v>
      </c>
      <c r="O329">
        <v>9.7850936862211332E-4</v>
      </c>
    </row>
    <row r="330" spans="1:15" x14ac:dyDescent="0.3">
      <c r="A330">
        <v>2016</v>
      </c>
      <c r="B330">
        <v>23</v>
      </c>
      <c r="C330" t="s">
        <v>13</v>
      </c>
      <c r="D330">
        <v>4722</v>
      </c>
      <c r="E330">
        <v>4552952</v>
      </c>
      <c r="F330">
        <v>1.0369999999999999E-3</v>
      </c>
      <c r="G330">
        <v>0.99896300000000005</v>
      </c>
      <c r="H330">
        <v>99725.400940000007</v>
      </c>
      <c r="I330">
        <v>103.42</v>
      </c>
      <c r="J330">
        <v>99673.693320000006</v>
      </c>
      <c r="K330">
        <v>5357333.9970000004</v>
      </c>
      <c r="L330">
        <v>53.720856939999997</v>
      </c>
      <c r="M330">
        <v>0.99725400900000005</v>
      </c>
      <c r="N330">
        <v>-6.871423349734747</v>
      </c>
      <c r="O330">
        <v>1.0375857786306846E-3</v>
      </c>
    </row>
    <row r="331" spans="1:15" x14ac:dyDescent="0.3">
      <c r="A331">
        <v>2016</v>
      </c>
      <c r="B331">
        <v>24</v>
      </c>
      <c r="C331" t="s">
        <v>13</v>
      </c>
      <c r="D331">
        <v>4974</v>
      </c>
      <c r="E331">
        <v>4674097</v>
      </c>
      <c r="F331">
        <v>1.0640000000000001E-3</v>
      </c>
      <c r="G331">
        <v>0.99893600000000005</v>
      </c>
      <c r="H331">
        <v>99621.972800000003</v>
      </c>
      <c r="I331">
        <v>106</v>
      </c>
      <c r="J331">
        <v>99568.973910000001</v>
      </c>
      <c r="K331">
        <v>5257660.3039999995</v>
      </c>
      <c r="L331">
        <v>52.776111090000001</v>
      </c>
      <c r="M331">
        <v>0.99621972800000003</v>
      </c>
      <c r="N331">
        <v>-6.8457198880626846</v>
      </c>
      <c r="O331">
        <v>1.0645887415120371E-3</v>
      </c>
    </row>
    <row r="332" spans="1:15" x14ac:dyDescent="0.3">
      <c r="A332">
        <v>2016</v>
      </c>
      <c r="B332">
        <v>25</v>
      </c>
      <c r="C332" t="s">
        <v>13</v>
      </c>
      <c r="D332">
        <v>5303</v>
      </c>
      <c r="E332">
        <v>4758352</v>
      </c>
      <c r="F332">
        <v>1.114E-3</v>
      </c>
      <c r="G332">
        <v>0.99888600000000005</v>
      </c>
      <c r="H332">
        <v>99515.958809999996</v>
      </c>
      <c r="I332">
        <v>110.86</v>
      </c>
      <c r="J332">
        <v>99460.528420000002</v>
      </c>
      <c r="K332">
        <v>5158091.33</v>
      </c>
      <c r="L332">
        <v>51.831800559999998</v>
      </c>
      <c r="M332">
        <v>0.99515958800000004</v>
      </c>
      <c r="N332">
        <v>-6.7997981374770449</v>
      </c>
      <c r="O332">
        <v>1.1146132778317478E-3</v>
      </c>
    </row>
    <row r="333" spans="1:15" x14ac:dyDescent="0.3">
      <c r="A333">
        <v>2016</v>
      </c>
      <c r="B333">
        <v>26</v>
      </c>
      <c r="C333" t="s">
        <v>13</v>
      </c>
      <c r="D333">
        <v>5274</v>
      </c>
      <c r="E333">
        <v>4747254</v>
      </c>
      <c r="F333">
        <v>1.111E-3</v>
      </c>
      <c r="G333">
        <v>0.99888900000000003</v>
      </c>
      <c r="H333">
        <v>99405.052100000001</v>
      </c>
      <c r="I333">
        <v>110.44</v>
      </c>
      <c r="J333">
        <v>99349.832590000005</v>
      </c>
      <c r="K333">
        <v>5058630.801</v>
      </c>
      <c r="L333">
        <v>50.889071479999998</v>
      </c>
      <c r="M333">
        <v>0.99405052100000002</v>
      </c>
      <c r="N333">
        <v>-6.8024947683246442</v>
      </c>
      <c r="O333">
        <v>1.1116274159460936E-3</v>
      </c>
    </row>
    <row r="334" spans="1:15" x14ac:dyDescent="0.3">
      <c r="A334">
        <v>2016</v>
      </c>
      <c r="B334">
        <v>27</v>
      </c>
      <c r="C334" t="s">
        <v>13</v>
      </c>
      <c r="D334">
        <v>5463</v>
      </c>
      <c r="E334">
        <v>4559206</v>
      </c>
      <c r="F334">
        <v>1.1980000000000001E-3</v>
      </c>
      <c r="G334">
        <v>0.99880199999999997</v>
      </c>
      <c r="H334">
        <v>99294.617259999999</v>
      </c>
      <c r="I334">
        <v>118.95</v>
      </c>
      <c r="J334">
        <v>99235.139779999998</v>
      </c>
      <c r="K334">
        <v>4959280.9689999996</v>
      </c>
      <c r="L334">
        <v>49.945113900000003</v>
      </c>
      <c r="M334">
        <v>0.99294617299999999</v>
      </c>
      <c r="N334">
        <v>-6.727101779288879</v>
      </c>
      <c r="O334">
        <v>1.1986682765820567E-3</v>
      </c>
    </row>
    <row r="335" spans="1:15" x14ac:dyDescent="0.3">
      <c r="A335">
        <v>2016</v>
      </c>
      <c r="B335">
        <v>28</v>
      </c>
      <c r="C335" t="s">
        <v>13</v>
      </c>
      <c r="D335">
        <v>5594</v>
      </c>
      <c r="E335">
        <v>4451507</v>
      </c>
      <c r="F335">
        <v>1.2570000000000001E-3</v>
      </c>
      <c r="G335">
        <v>0.99874300000000005</v>
      </c>
      <c r="H335">
        <v>99175.638980000003</v>
      </c>
      <c r="I335">
        <v>124.66</v>
      </c>
      <c r="J335">
        <v>99113.307090000002</v>
      </c>
      <c r="K335">
        <v>4860045.8289999999</v>
      </c>
      <c r="L335">
        <v>49.004431719999999</v>
      </c>
      <c r="M335">
        <v>0.99175639000000004</v>
      </c>
      <c r="N335">
        <v>-6.6790273493740262</v>
      </c>
      <c r="O335">
        <v>1.257752183036088E-3</v>
      </c>
    </row>
    <row r="336" spans="1:15" x14ac:dyDescent="0.3">
      <c r="A336">
        <v>2016</v>
      </c>
      <c r="B336">
        <v>29</v>
      </c>
      <c r="C336" t="s">
        <v>13</v>
      </c>
      <c r="D336">
        <v>5419</v>
      </c>
      <c r="E336">
        <v>4374565</v>
      </c>
      <c r="F336">
        <v>1.2390000000000001E-3</v>
      </c>
      <c r="G336">
        <v>0.99876100000000001</v>
      </c>
      <c r="H336">
        <v>99051.009609999994</v>
      </c>
      <c r="I336">
        <v>122.72</v>
      </c>
      <c r="J336">
        <v>98989.647509999995</v>
      </c>
      <c r="K336">
        <v>4760932.5219999999</v>
      </c>
      <c r="L336">
        <v>48.065461829999997</v>
      </c>
      <c r="M336">
        <v>0.99051009599999995</v>
      </c>
      <c r="N336">
        <v>-6.6934506763351314</v>
      </c>
      <c r="O336">
        <v>1.2397254444731546E-3</v>
      </c>
    </row>
    <row r="337" spans="1:15" x14ac:dyDescent="0.3">
      <c r="A337">
        <v>2016</v>
      </c>
      <c r="B337">
        <v>30</v>
      </c>
      <c r="C337" t="s">
        <v>13</v>
      </c>
      <c r="D337">
        <v>5685</v>
      </c>
      <c r="E337">
        <v>4392155</v>
      </c>
      <c r="F337">
        <v>1.294E-3</v>
      </c>
      <c r="G337">
        <v>0.99870599999999998</v>
      </c>
      <c r="H337">
        <v>98928.31</v>
      </c>
      <c r="I337">
        <v>128.01</v>
      </c>
      <c r="J337">
        <v>98864.303379999998</v>
      </c>
      <c r="K337">
        <v>4661942.8739999998</v>
      </c>
      <c r="L337">
        <v>47.124456840000001</v>
      </c>
      <c r="M337">
        <v>0.98928309999999997</v>
      </c>
      <c r="N337">
        <v>-6.6500170829034282</v>
      </c>
      <c r="O337">
        <v>1.2948052860719842E-3</v>
      </c>
    </row>
    <row r="338" spans="1:15" x14ac:dyDescent="0.3">
      <c r="A338">
        <v>2016</v>
      </c>
      <c r="B338">
        <v>31</v>
      </c>
      <c r="C338" t="s">
        <v>13</v>
      </c>
      <c r="D338">
        <v>5918</v>
      </c>
      <c r="E338">
        <v>4423807</v>
      </c>
      <c r="F338">
        <v>1.338E-3</v>
      </c>
      <c r="G338">
        <v>0.99866200000000005</v>
      </c>
      <c r="H338">
        <v>98800.26182</v>
      </c>
      <c r="I338">
        <v>132.19</v>
      </c>
      <c r="J338">
        <v>98734.164439999993</v>
      </c>
      <c r="K338">
        <v>4563078.5710000005</v>
      </c>
      <c r="L338">
        <v>46.184883390000003</v>
      </c>
      <c r="M338">
        <v>0.988002618</v>
      </c>
      <c r="N338">
        <v>-6.6165793172761003</v>
      </c>
      <c r="O338">
        <v>1.3388474495279327E-3</v>
      </c>
    </row>
    <row r="339" spans="1:15" x14ac:dyDescent="0.3">
      <c r="A339">
        <v>2016</v>
      </c>
      <c r="B339">
        <v>32</v>
      </c>
      <c r="C339" t="s">
        <v>13</v>
      </c>
      <c r="D339">
        <v>6124</v>
      </c>
      <c r="E339">
        <v>4283076</v>
      </c>
      <c r="F339">
        <v>1.4300000000000001E-3</v>
      </c>
      <c r="G339">
        <v>0.99856999999999996</v>
      </c>
      <c r="H339">
        <v>98668.090599999996</v>
      </c>
      <c r="I339">
        <v>141.1</v>
      </c>
      <c r="J339">
        <v>98597.542920000007</v>
      </c>
      <c r="K339">
        <v>4464344.4069999997</v>
      </c>
      <c r="L339">
        <v>45.24608087</v>
      </c>
      <c r="M339">
        <v>0.98668090600000002</v>
      </c>
      <c r="N339">
        <v>-6.5500808347103208</v>
      </c>
      <c r="O339">
        <v>1.4310700111035916E-3</v>
      </c>
    </row>
    <row r="340" spans="1:15" x14ac:dyDescent="0.3">
      <c r="A340">
        <v>2016</v>
      </c>
      <c r="B340">
        <v>33</v>
      </c>
      <c r="C340" t="s">
        <v>13</v>
      </c>
      <c r="D340">
        <v>6241</v>
      </c>
      <c r="E340">
        <v>4345786</v>
      </c>
      <c r="F340">
        <v>1.436E-3</v>
      </c>
      <c r="G340">
        <v>0.99856400000000001</v>
      </c>
      <c r="H340">
        <v>98527.013630000001</v>
      </c>
      <c r="I340">
        <v>141.47999999999999</v>
      </c>
      <c r="J340">
        <v>98456.271229999998</v>
      </c>
      <c r="K340">
        <v>4365746.8640000001</v>
      </c>
      <c r="L340">
        <v>44.31015112</v>
      </c>
      <c r="M340">
        <v>0.98527013600000002</v>
      </c>
      <c r="N340">
        <v>-6.5458938083561042</v>
      </c>
      <c r="O340">
        <v>1.4369831964535604E-3</v>
      </c>
    </row>
    <row r="341" spans="1:15" x14ac:dyDescent="0.3">
      <c r="A341">
        <v>2016</v>
      </c>
      <c r="B341">
        <v>34</v>
      </c>
      <c r="C341" t="s">
        <v>13</v>
      </c>
      <c r="D341">
        <v>6595</v>
      </c>
      <c r="E341">
        <v>4341535</v>
      </c>
      <c r="F341">
        <v>1.519E-3</v>
      </c>
      <c r="G341">
        <v>0.99848099999999995</v>
      </c>
      <c r="H341">
        <v>98385.518609999999</v>
      </c>
      <c r="I341">
        <v>149.44999999999999</v>
      </c>
      <c r="J341">
        <v>98310.794810000007</v>
      </c>
      <c r="K341">
        <v>4267290.5920000002</v>
      </c>
      <c r="L341">
        <v>43.373157480000003</v>
      </c>
      <c r="M341">
        <v>0.98385518599999999</v>
      </c>
      <c r="N341">
        <v>-6.4897030553685013</v>
      </c>
      <c r="O341">
        <v>1.5201789780710895E-3</v>
      </c>
    </row>
    <row r="342" spans="1:15" x14ac:dyDescent="0.3">
      <c r="A342">
        <v>2016</v>
      </c>
      <c r="B342">
        <v>35</v>
      </c>
      <c r="C342" t="s">
        <v>13</v>
      </c>
      <c r="D342">
        <v>6786</v>
      </c>
      <c r="E342">
        <v>4293125</v>
      </c>
      <c r="F342">
        <v>1.5809999999999999E-3</v>
      </c>
      <c r="G342">
        <v>0.99841899999999995</v>
      </c>
      <c r="H342">
        <v>98236.066290000002</v>
      </c>
      <c r="I342">
        <v>155.31</v>
      </c>
      <c r="J342">
        <v>98158.410680000001</v>
      </c>
      <c r="K342">
        <v>4168979.798</v>
      </c>
      <c r="L342">
        <v>42.438382920000002</v>
      </c>
      <c r="M342">
        <v>0.98236066300000002</v>
      </c>
      <c r="N342">
        <v>-6.4496977207548021</v>
      </c>
      <c r="O342">
        <v>1.5822380683504563E-3</v>
      </c>
    </row>
    <row r="343" spans="1:15" x14ac:dyDescent="0.3">
      <c r="A343">
        <v>2016</v>
      </c>
      <c r="B343">
        <v>36</v>
      </c>
      <c r="C343" t="s">
        <v>13</v>
      </c>
      <c r="D343">
        <v>7025</v>
      </c>
      <c r="E343">
        <v>4375562</v>
      </c>
      <c r="F343">
        <v>1.606E-3</v>
      </c>
      <c r="G343">
        <v>0.998394</v>
      </c>
      <c r="H343">
        <v>98080.787800000006</v>
      </c>
      <c r="I343">
        <v>157.52000000000001</v>
      </c>
      <c r="J343">
        <v>98002.02893</v>
      </c>
      <c r="K343">
        <v>4070821.3870000001</v>
      </c>
      <c r="L343">
        <v>41.504778639999998</v>
      </c>
      <c r="M343">
        <v>0.98080787800000002</v>
      </c>
      <c r="N343">
        <v>-6.4340086634575675</v>
      </c>
      <c r="O343">
        <v>1.6073132663006334E-3</v>
      </c>
    </row>
    <row r="344" spans="1:15" x14ac:dyDescent="0.3">
      <c r="A344">
        <v>2016</v>
      </c>
      <c r="B344">
        <v>37</v>
      </c>
      <c r="C344" t="s">
        <v>13</v>
      </c>
      <c r="D344">
        <v>7001</v>
      </c>
      <c r="E344">
        <v>4103498</v>
      </c>
      <c r="F344">
        <v>1.7060000000000001E-3</v>
      </c>
      <c r="G344">
        <v>0.99829400000000001</v>
      </c>
      <c r="H344">
        <v>97923.318310000002</v>
      </c>
      <c r="I344">
        <v>167.06</v>
      </c>
      <c r="J344">
        <v>97839.789720000001</v>
      </c>
      <c r="K344">
        <v>3972819.358</v>
      </c>
      <c r="L344">
        <v>40.57071826</v>
      </c>
      <c r="M344">
        <v>0.97923318299999995</v>
      </c>
      <c r="N344">
        <v>-6.3736038299126498</v>
      </c>
      <c r="O344">
        <v>1.7074853624350621E-3</v>
      </c>
    </row>
    <row r="345" spans="1:15" x14ac:dyDescent="0.3">
      <c r="A345">
        <v>2016</v>
      </c>
      <c r="B345">
        <v>38</v>
      </c>
      <c r="C345" t="s">
        <v>13</v>
      </c>
      <c r="D345">
        <v>7173</v>
      </c>
      <c r="E345">
        <v>4022119</v>
      </c>
      <c r="F345">
        <v>1.7830000000000001E-3</v>
      </c>
      <c r="G345">
        <v>0.99821700000000002</v>
      </c>
      <c r="H345">
        <v>97756.250809999998</v>
      </c>
      <c r="I345">
        <v>174.3</v>
      </c>
      <c r="J345">
        <v>97669.101110000003</v>
      </c>
      <c r="K345">
        <v>3874979.568</v>
      </c>
      <c r="L345">
        <v>39.639199910000002</v>
      </c>
      <c r="M345">
        <v>0.977562508</v>
      </c>
      <c r="N345">
        <v>-6.3294579401011335</v>
      </c>
      <c r="O345">
        <v>1.7845975020836413E-3</v>
      </c>
    </row>
    <row r="346" spans="1:15" x14ac:dyDescent="0.3">
      <c r="A346">
        <v>2016</v>
      </c>
      <c r="B346">
        <v>39</v>
      </c>
      <c r="C346" t="s">
        <v>13</v>
      </c>
      <c r="D346">
        <v>7292</v>
      </c>
      <c r="E346">
        <v>3979601</v>
      </c>
      <c r="F346">
        <v>1.8320000000000001E-3</v>
      </c>
      <c r="G346">
        <v>0.99816800000000006</v>
      </c>
      <c r="H346">
        <v>97581.913449999993</v>
      </c>
      <c r="I346">
        <v>178.77</v>
      </c>
      <c r="J346">
        <v>97492.528420000002</v>
      </c>
      <c r="K346">
        <v>3777310.4670000002</v>
      </c>
      <c r="L346">
        <v>38.709124809999999</v>
      </c>
      <c r="M346">
        <v>0.97581913499999995</v>
      </c>
      <c r="N346">
        <v>-6.3023470127301984</v>
      </c>
      <c r="O346">
        <v>1.833679295443069E-3</v>
      </c>
    </row>
    <row r="347" spans="1:15" x14ac:dyDescent="0.3">
      <c r="A347">
        <v>2016</v>
      </c>
      <c r="B347">
        <v>40</v>
      </c>
      <c r="C347" t="s">
        <v>13</v>
      </c>
      <c r="D347">
        <v>7336</v>
      </c>
      <c r="E347">
        <v>3862150</v>
      </c>
      <c r="F347">
        <v>1.8990000000000001E-3</v>
      </c>
      <c r="G347">
        <v>0.99810100000000002</v>
      </c>
      <c r="H347">
        <v>97403.109769999995</v>
      </c>
      <c r="I347">
        <v>184.97</v>
      </c>
      <c r="J347">
        <v>97310.625520000001</v>
      </c>
      <c r="K347">
        <v>3679817.9389999998</v>
      </c>
      <c r="L347">
        <v>37.779265440000003</v>
      </c>
      <c r="M347">
        <v>0.97403109799999998</v>
      </c>
      <c r="N347">
        <v>-6.2664278471519879</v>
      </c>
      <c r="O347">
        <v>1.9008206103800398E-3</v>
      </c>
    </row>
    <row r="348" spans="1:15" x14ac:dyDescent="0.3">
      <c r="A348">
        <v>2016</v>
      </c>
      <c r="B348">
        <v>41</v>
      </c>
      <c r="C348" t="s">
        <v>13</v>
      </c>
      <c r="D348">
        <v>7790</v>
      </c>
      <c r="E348">
        <v>3979596</v>
      </c>
      <c r="F348">
        <v>1.957E-3</v>
      </c>
      <c r="G348">
        <v>0.99804300000000001</v>
      </c>
      <c r="H348">
        <v>97218.096449999997</v>
      </c>
      <c r="I348">
        <v>190.26</v>
      </c>
      <c r="J348">
        <v>97122.968540000002</v>
      </c>
      <c r="K348">
        <v>3582507.3130000001</v>
      </c>
      <c r="L348">
        <v>36.850210439999998</v>
      </c>
      <c r="M348">
        <v>0.97218096499999995</v>
      </c>
      <c r="N348">
        <v>-6.2363425905681975</v>
      </c>
      <c r="O348">
        <v>1.9589603679991212E-3</v>
      </c>
    </row>
    <row r="349" spans="1:15" x14ac:dyDescent="0.3">
      <c r="A349">
        <v>2016</v>
      </c>
      <c r="B349">
        <v>42</v>
      </c>
      <c r="C349" t="s">
        <v>13</v>
      </c>
      <c r="D349">
        <v>8088</v>
      </c>
      <c r="E349">
        <v>3854553</v>
      </c>
      <c r="F349">
        <v>2.098E-3</v>
      </c>
      <c r="G349">
        <v>0.99790199999999996</v>
      </c>
      <c r="H349">
        <v>97027.793470000004</v>
      </c>
      <c r="I349">
        <v>203.56</v>
      </c>
      <c r="J349">
        <v>96926.011310000002</v>
      </c>
      <c r="K349">
        <v>3485384.3450000002</v>
      </c>
      <c r="L349">
        <v>35.921504759999998</v>
      </c>
      <c r="M349">
        <v>0.97027793500000004</v>
      </c>
      <c r="N349">
        <v>-6.166770769008032</v>
      </c>
      <c r="O349">
        <v>2.100158952025239E-3</v>
      </c>
    </row>
    <row r="350" spans="1:15" x14ac:dyDescent="0.3">
      <c r="A350">
        <v>2016</v>
      </c>
      <c r="B350">
        <v>43</v>
      </c>
      <c r="C350" t="s">
        <v>13</v>
      </c>
      <c r="D350">
        <v>9203</v>
      </c>
      <c r="E350">
        <v>3912307</v>
      </c>
      <c r="F350">
        <v>2.3519999999999999E-3</v>
      </c>
      <c r="G350">
        <v>0.99764799999999998</v>
      </c>
      <c r="H350">
        <v>96824.200259999998</v>
      </c>
      <c r="I350">
        <v>227.73</v>
      </c>
      <c r="J350">
        <v>96710.335000000006</v>
      </c>
      <c r="K350">
        <v>3388458.3330000001</v>
      </c>
      <c r="L350">
        <v>34.995985760000003</v>
      </c>
      <c r="M350">
        <v>0.96824200299999996</v>
      </c>
      <c r="N350">
        <v>-6.0524892489457569</v>
      </c>
      <c r="O350">
        <v>2.3547642197099912E-3</v>
      </c>
    </row>
    <row r="351" spans="1:15" x14ac:dyDescent="0.3">
      <c r="A351">
        <v>2016</v>
      </c>
      <c r="B351">
        <v>44</v>
      </c>
      <c r="C351" t="s">
        <v>13</v>
      </c>
      <c r="D351">
        <v>10098</v>
      </c>
      <c r="E351">
        <v>4087645</v>
      </c>
      <c r="F351">
        <v>2.47E-3</v>
      </c>
      <c r="G351">
        <v>0.99753000000000003</v>
      </c>
      <c r="H351">
        <v>96596.438710000002</v>
      </c>
      <c r="I351">
        <v>238.59</v>
      </c>
      <c r="J351">
        <v>96477.142110000001</v>
      </c>
      <c r="K351">
        <v>3291747.9980000001</v>
      </c>
      <c r="L351">
        <v>34.077322539999997</v>
      </c>
      <c r="M351">
        <v>0.96596438699999998</v>
      </c>
      <c r="N351">
        <v>-6.0035371283422512</v>
      </c>
      <c r="O351">
        <v>2.4730214754586904E-3</v>
      </c>
    </row>
    <row r="352" spans="1:15" x14ac:dyDescent="0.3">
      <c r="A352">
        <v>2016</v>
      </c>
      <c r="B352">
        <v>45</v>
      </c>
      <c r="C352" t="s">
        <v>13</v>
      </c>
      <c r="D352">
        <v>11486</v>
      </c>
      <c r="E352">
        <v>4319616</v>
      </c>
      <c r="F352">
        <v>2.6589999999999999E-3</v>
      </c>
      <c r="G352">
        <v>0.99734100000000003</v>
      </c>
      <c r="H352">
        <v>96357.809659999999</v>
      </c>
      <c r="I352">
        <v>256.22000000000003</v>
      </c>
      <c r="J352">
        <v>96229.701950000002</v>
      </c>
      <c r="K352">
        <v>3195270.8560000001</v>
      </c>
      <c r="L352">
        <v>33.16047622</v>
      </c>
      <c r="M352">
        <v>0.96357809699999997</v>
      </c>
      <c r="N352">
        <v>-5.9298051667212546</v>
      </c>
      <c r="O352">
        <v>2.6625875274288164E-3</v>
      </c>
    </row>
    <row r="353" spans="1:15" x14ac:dyDescent="0.3">
      <c r="A353">
        <v>2016</v>
      </c>
      <c r="B353">
        <v>46</v>
      </c>
      <c r="C353" t="s">
        <v>13</v>
      </c>
      <c r="D353">
        <v>12359</v>
      </c>
      <c r="E353">
        <v>4371961</v>
      </c>
      <c r="F353">
        <v>2.8270000000000001E-3</v>
      </c>
      <c r="G353">
        <v>0.99717299999999998</v>
      </c>
      <c r="H353">
        <v>96101.591100000005</v>
      </c>
      <c r="I353">
        <v>271.68</v>
      </c>
      <c r="J353">
        <v>95965.751499999998</v>
      </c>
      <c r="K353">
        <v>3099041.1540000001</v>
      </c>
      <c r="L353">
        <v>32.247553019999998</v>
      </c>
      <c r="M353">
        <v>0.96101591099999994</v>
      </c>
      <c r="N353">
        <v>-5.8685392002706838</v>
      </c>
      <c r="O353">
        <v>2.8310098045356059E-3</v>
      </c>
    </row>
    <row r="354" spans="1:15" x14ac:dyDescent="0.3">
      <c r="A354">
        <v>2016</v>
      </c>
      <c r="B354">
        <v>47</v>
      </c>
      <c r="C354" t="s">
        <v>13</v>
      </c>
      <c r="D354">
        <v>12731</v>
      </c>
      <c r="E354">
        <v>4142964</v>
      </c>
      <c r="F354">
        <v>3.0730000000000002E-3</v>
      </c>
      <c r="G354">
        <v>0.99692700000000001</v>
      </c>
      <c r="H354">
        <v>95829.923630000005</v>
      </c>
      <c r="I354">
        <v>294.49</v>
      </c>
      <c r="J354">
        <v>95682.680949999994</v>
      </c>
      <c r="K354">
        <v>3003075.4029999999</v>
      </c>
      <c r="L354">
        <v>31.337553960000001</v>
      </c>
      <c r="M354">
        <v>0.958299236</v>
      </c>
      <c r="N354">
        <v>-5.7851009958337896</v>
      </c>
      <c r="O354">
        <v>3.0777773509328707E-3</v>
      </c>
    </row>
    <row r="355" spans="1:15" x14ac:dyDescent="0.3">
      <c r="A355">
        <v>2016</v>
      </c>
      <c r="B355">
        <v>48</v>
      </c>
      <c r="C355" t="s">
        <v>13</v>
      </c>
      <c r="D355">
        <v>13766</v>
      </c>
      <c r="E355">
        <v>4055074</v>
      </c>
      <c r="F355">
        <v>3.395E-3</v>
      </c>
      <c r="G355">
        <v>0.99660499999999996</v>
      </c>
      <c r="H355">
        <v>95535.445869999996</v>
      </c>
      <c r="I355">
        <v>324.33999999999997</v>
      </c>
      <c r="J355">
        <v>95373.274449999997</v>
      </c>
      <c r="K355">
        <v>2907392.7220000001</v>
      </c>
      <c r="L355">
        <v>30.432607449999999</v>
      </c>
      <c r="M355">
        <v>0.95535445900000004</v>
      </c>
      <c r="N355">
        <v>-5.6854515179714777</v>
      </c>
      <c r="O355">
        <v>3.400742637231073E-3</v>
      </c>
    </row>
    <row r="356" spans="1:15" x14ac:dyDescent="0.3">
      <c r="A356">
        <v>2016</v>
      </c>
      <c r="B356">
        <v>49</v>
      </c>
      <c r="C356" t="s">
        <v>13</v>
      </c>
      <c r="D356">
        <v>15243</v>
      </c>
      <c r="E356">
        <v>4058008</v>
      </c>
      <c r="F356">
        <v>3.7559999999999998E-3</v>
      </c>
      <c r="G356">
        <v>0.99624400000000002</v>
      </c>
      <c r="H356">
        <v>95211.126040000003</v>
      </c>
      <c r="I356">
        <v>357.61</v>
      </c>
      <c r="J356">
        <v>95032.31955</v>
      </c>
      <c r="K356">
        <v>2812019.4470000002</v>
      </c>
      <c r="L356">
        <v>29.5345677</v>
      </c>
      <c r="M356">
        <v>0.95211126000000001</v>
      </c>
      <c r="N356">
        <v>-5.5844007176361208</v>
      </c>
      <c r="O356">
        <v>3.7630361044805787E-3</v>
      </c>
    </row>
    <row r="357" spans="1:15" x14ac:dyDescent="0.3">
      <c r="A357">
        <v>2016</v>
      </c>
      <c r="B357">
        <v>50</v>
      </c>
      <c r="C357" t="s">
        <v>13</v>
      </c>
      <c r="D357">
        <v>17000</v>
      </c>
      <c r="E357">
        <v>4131293</v>
      </c>
      <c r="F357">
        <v>4.1149999999999997E-3</v>
      </c>
      <c r="G357">
        <v>0.99588500000000002</v>
      </c>
      <c r="H357">
        <v>94853.486720000001</v>
      </c>
      <c r="I357">
        <v>390.32</v>
      </c>
      <c r="J357">
        <v>94658.325670000006</v>
      </c>
      <c r="K357">
        <v>2716987.128</v>
      </c>
      <c r="L357">
        <v>28.644040629999999</v>
      </c>
      <c r="M357">
        <v>0.948534867</v>
      </c>
      <c r="N357">
        <v>-5.4931164448531042</v>
      </c>
      <c r="O357">
        <v>4.1234617706716707E-3</v>
      </c>
    </row>
    <row r="358" spans="1:15" x14ac:dyDescent="0.3">
      <c r="A358">
        <v>2016</v>
      </c>
      <c r="B358">
        <v>51</v>
      </c>
      <c r="C358" t="s">
        <v>13</v>
      </c>
      <c r="D358">
        <v>19217</v>
      </c>
      <c r="E358">
        <v>4375892</v>
      </c>
      <c r="F358">
        <v>4.3920000000000001E-3</v>
      </c>
      <c r="G358">
        <v>0.99560800000000005</v>
      </c>
      <c r="H358">
        <v>94463.170840000006</v>
      </c>
      <c r="I358">
        <v>414.88</v>
      </c>
      <c r="J358">
        <v>94255.729720000003</v>
      </c>
      <c r="K358">
        <v>2622328.8020000001</v>
      </c>
      <c r="L358">
        <v>27.760330069999998</v>
      </c>
      <c r="M358">
        <v>0.94463170799999996</v>
      </c>
      <c r="N358">
        <v>-5.4279705747749079</v>
      </c>
      <c r="O358">
        <v>4.4016412597992043E-3</v>
      </c>
    </row>
    <row r="359" spans="1:15" x14ac:dyDescent="0.3">
      <c r="A359">
        <v>2016</v>
      </c>
      <c r="B359">
        <v>52</v>
      </c>
      <c r="C359" t="s">
        <v>13</v>
      </c>
      <c r="D359">
        <v>21811</v>
      </c>
      <c r="E359">
        <v>4452636</v>
      </c>
      <c r="F359">
        <v>4.8979999999999996E-3</v>
      </c>
      <c r="G359">
        <v>0.99510200000000004</v>
      </c>
      <c r="H359">
        <v>94048.329989999998</v>
      </c>
      <c r="I359">
        <v>460.65</v>
      </c>
      <c r="J359">
        <v>93818.00563</v>
      </c>
      <c r="K359">
        <v>2528073.0720000002</v>
      </c>
      <c r="L359">
        <v>26.880573770000002</v>
      </c>
      <c r="M359">
        <v>0.94048330000000002</v>
      </c>
      <c r="N359">
        <v>-5.3189283204521614</v>
      </c>
      <c r="O359">
        <v>4.9100393900089068E-3</v>
      </c>
    </row>
    <row r="360" spans="1:15" x14ac:dyDescent="0.3">
      <c r="A360">
        <v>2016</v>
      </c>
      <c r="B360">
        <v>53</v>
      </c>
      <c r="C360" t="s">
        <v>13</v>
      </c>
      <c r="D360">
        <v>23890</v>
      </c>
      <c r="E360">
        <v>4445605</v>
      </c>
      <c r="F360">
        <v>5.3740000000000003E-3</v>
      </c>
      <c r="G360">
        <v>0.99462600000000001</v>
      </c>
      <c r="H360">
        <v>93587.639259999996</v>
      </c>
      <c r="I360">
        <v>502.94</v>
      </c>
      <c r="J360">
        <v>93336.169269999999</v>
      </c>
      <c r="K360">
        <v>2434255.0669999998</v>
      </c>
      <c r="L360">
        <v>26.01043349</v>
      </c>
      <c r="M360">
        <v>0.93587639300000003</v>
      </c>
      <c r="N360">
        <v>-5.2261827687888376</v>
      </c>
      <c r="O360">
        <v>5.3884787137853923E-3</v>
      </c>
    </row>
    <row r="361" spans="1:15" x14ac:dyDescent="0.3">
      <c r="A361">
        <v>2016</v>
      </c>
      <c r="B361">
        <v>54</v>
      </c>
      <c r="C361" t="s">
        <v>13</v>
      </c>
      <c r="D361">
        <v>26013</v>
      </c>
      <c r="E361">
        <v>4433630</v>
      </c>
      <c r="F361">
        <v>5.8669999999999998E-3</v>
      </c>
      <c r="G361">
        <v>0.99413300000000004</v>
      </c>
      <c r="H361">
        <v>93084.713629999998</v>
      </c>
      <c r="I361">
        <v>546.13</v>
      </c>
      <c r="J361">
        <v>92811.649619999997</v>
      </c>
      <c r="K361">
        <v>2340918.898</v>
      </c>
      <c r="L361">
        <v>25.148263409999998</v>
      </c>
      <c r="M361">
        <v>0.93084713600000002</v>
      </c>
      <c r="N361">
        <v>-5.1384118490384143</v>
      </c>
      <c r="O361">
        <v>5.884283464109988E-3</v>
      </c>
    </row>
    <row r="362" spans="1:15" x14ac:dyDescent="0.3">
      <c r="A362">
        <v>2016</v>
      </c>
      <c r="B362">
        <v>55</v>
      </c>
      <c r="C362" t="s">
        <v>13</v>
      </c>
      <c r="D362">
        <v>28547</v>
      </c>
      <c r="E362">
        <v>4484565</v>
      </c>
      <c r="F362">
        <v>6.3660000000000001E-3</v>
      </c>
      <c r="G362">
        <v>0.99363400000000002</v>
      </c>
      <c r="H362">
        <v>92538.566869999995</v>
      </c>
      <c r="I362">
        <v>589.1</v>
      </c>
      <c r="J362">
        <v>92244.016610000006</v>
      </c>
      <c r="K362">
        <v>2248107.2480000001</v>
      </c>
      <c r="L362">
        <v>24.29373313</v>
      </c>
      <c r="M362">
        <v>0.92538566899999997</v>
      </c>
      <c r="N362">
        <v>-5.0567839501222362</v>
      </c>
      <c r="O362">
        <v>6.3863208363133511E-3</v>
      </c>
    </row>
    <row r="363" spans="1:15" x14ac:dyDescent="0.3">
      <c r="A363">
        <v>2016</v>
      </c>
      <c r="B363">
        <v>56</v>
      </c>
      <c r="C363" t="s">
        <v>13</v>
      </c>
      <c r="D363">
        <v>30214</v>
      </c>
      <c r="E363">
        <v>4518758</v>
      </c>
      <c r="F363">
        <v>6.6860000000000001E-3</v>
      </c>
      <c r="G363">
        <v>0.99331400000000003</v>
      </c>
      <c r="H363">
        <v>91949.502269999997</v>
      </c>
      <c r="I363">
        <v>614.77</v>
      </c>
      <c r="J363">
        <v>91642.115080000003</v>
      </c>
      <c r="K363">
        <v>2155863.2310000001</v>
      </c>
      <c r="L363">
        <v>23.446165319999999</v>
      </c>
      <c r="M363">
        <v>0.91949502299999997</v>
      </c>
      <c r="N363">
        <v>-5.0077394909842301</v>
      </c>
      <c r="O363">
        <v>6.7083797393297532E-3</v>
      </c>
    </row>
    <row r="364" spans="1:15" x14ac:dyDescent="0.3">
      <c r="A364">
        <v>2016</v>
      </c>
      <c r="B364">
        <v>57</v>
      </c>
      <c r="C364" t="s">
        <v>13</v>
      </c>
      <c r="D364">
        <v>32470</v>
      </c>
      <c r="E364">
        <v>4362807</v>
      </c>
      <c r="F364">
        <v>7.4419999999999998E-3</v>
      </c>
      <c r="G364">
        <v>0.99255800000000005</v>
      </c>
      <c r="H364">
        <v>91334.695670000001</v>
      </c>
      <c r="I364">
        <v>679.71</v>
      </c>
      <c r="J364">
        <v>90994.839269999997</v>
      </c>
      <c r="K364">
        <v>2064221.1159999999</v>
      </c>
      <c r="L364">
        <v>22.600624010000001</v>
      </c>
      <c r="M364">
        <v>0.91334695700000001</v>
      </c>
      <c r="N364">
        <v>-4.9006156490577064</v>
      </c>
      <c r="O364">
        <v>7.4697659898682565E-3</v>
      </c>
    </row>
    <row r="365" spans="1:15" x14ac:dyDescent="0.3">
      <c r="A365">
        <v>2016</v>
      </c>
      <c r="B365">
        <v>58</v>
      </c>
      <c r="C365" t="s">
        <v>13</v>
      </c>
      <c r="D365">
        <v>34271</v>
      </c>
      <c r="E365">
        <v>4332953</v>
      </c>
      <c r="F365">
        <v>7.9089999999999994E-3</v>
      </c>
      <c r="G365">
        <v>0.99209099999999995</v>
      </c>
      <c r="H365">
        <v>90654.941200000001</v>
      </c>
      <c r="I365">
        <v>716.99</v>
      </c>
      <c r="J365">
        <v>90296.446240000005</v>
      </c>
      <c r="K365">
        <v>1973226.277</v>
      </c>
      <c r="L365">
        <v>21.76634005</v>
      </c>
      <c r="M365">
        <v>0.90654941200000005</v>
      </c>
      <c r="N365">
        <v>-4.8397539274448569</v>
      </c>
      <c r="O365">
        <v>7.9404026294662734E-3</v>
      </c>
    </row>
    <row r="366" spans="1:15" x14ac:dyDescent="0.3">
      <c r="A366">
        <v>2016</v>
      </c>
      <c r="B366">
        <v>59</v>
      </c>
      <c r="C366" t="s">
        <v>13</v>
      </c>
      <c r="D366">
        <v>36644</v>
      </c>
      <c r="E366">
        <v>4281025</v>
      </c>
      <c r="F366">
        <v>8.5599999999999999E-3</v>
      </c>
      <c r="G366">
        <v>0.99143999999999999</v>
      </c>
      <c r="H366">
        <v>89937.916230000003</v>
      </c>
      <c r="I366">
        <v>769.87</v>
      </c>
      <c r="J366">
        <v>89552.981950000001</v>
      </c>
      <c r="K366">
        <v>1882929.831</v>
      </c>
      <c r="L366">
        <v>20.935884550000001</v>
      </c>
      <c r="M366">
        <v>0.89937916200000001</v>
      </c>
      <c r="N366">
        <v>-4.7606550888284866</v>
      </c>
      <c r="O366">
        <v>8.5968087397088784E-3</v>
      </c>
    </row>
    <row r="367" spans="1:15" x14ac:dyDescent="0.3">
      <c r="A367">
        <v>2016</v>
      </c>
      <c r="B367">
        <v>60</v>
      </c>
      <c r="C367" t="s">
        <v>13</v>
      </c>
      <c r="D367">
        <v>37767</v>
      </c>
      <c r="E367">
        <v>4123968</v>
      </c>
      <c r="F367">
        <v>9.1579999999999995E-3</v>
      </c>
      <c r="G367">
        <v>0.990842</v>
      </c>
      <c r="H367">
        <v>89168.080730000001</v>
      </c>
      <c r="I367">
        <v>816.6</v>
      </c>
      <c r="J367">
        <v>88759.78009</v>
      </c>
      <c r="K367">
        <v>1793376.8489999999</v>
      </c>
      <c r="L367">
        <v>20.112318599999998</v>
      </c>
      <c r="M367">
        <v>0.89168080699999996</v>
      </c>
      <c r="N367">
        <v>-4.6931274647472332</v>
      </c>
      <c r="O367">
        <v>9.200112589909824E-3</v>
      </c>
    </row>
    <row r="368" spans="1:15" x14ac:dyDescent="0.3">
      <c r="A368">
        <v>2016</v>
      </c>
      <c r="B368">
        <v>61</v>
      </c>
      <c r="C368" t="s">
        <v>13</v>
      </c>
      <c r="D368">
        <v>39615</v>
      </c>
      <c r="E368">
        <v>4083962</v>
      </c>
      <c r="F368">
        <v>9.7000000000000003E-3</v>
      </c>
      <c r="G368">
        <v>0.99029999999999996</v>
      </c>
      <c r="H368">
        <v>88351.485910000003</v>
      </c>
      <c r="I368">
        <v>857.01</v>
      </c>
      <c r="J368">
        <v>87922.981199999995</v>
      </c>
      <c r="K368">
        <v>1704617.0689999999</v>
      </c>
      <c r="L368">
        <v>19.293586869999999</v>
      </c>
      <c r="M368">
        <v>0.88351485900000004</v>
      </c>
      <c r="N368">
        <v>-4.6356293934727999</v>
      </c>
      <c r="O368">
        <v>9.7472816344521956E-3</v>
      </c>
    </row>
    <row r="369" spans="1:15" x14ac:dyDescent="0.3">
      <c r="A369">
        <v>2016</v>
      </c>
      <c r="B369">
        <v>62</v>
      </c>
      <c r="C369" t="s">
        <v>13</v>
      </c>
      <c r="D369">
        <v>41181</v>
      </c>
      <c r="E369">
        <v>3911429</v>
      </c>
      <c r="F369">
        <v>1.0527999999999999E-2</v>
      </c>
      <c r="G369">
        <v>0.98947200000000002</v>
      </c>
      <c r="H369">
        <v>87494.464200000002</v>
      </c>
      <c r="I369">
        <v>921.14</v>
      </c>
      <c r="J369">
        <v>87033.893339999995</v>
      </c>
      <c r="K369">
        <v>1616694.0870000001</v>
      </c>
      <c r="L369">
        <v>18.477672869999999</v>
      </c>
      <c r="M369">
        <v>0.87494464199999999</v>
      </c>
      <c r="N369">
        <v>-4.5537169043991756</v>
      </c>
      <c r="O369">
        <v>1.0583694917938575E-2</v>
      </c>
    </row>
    <row r="370" spans="1:15" x14ac:dyDescent="0.3">
      <c r="A370">
        <v>2016</v>
      </c>
      <c r="B370">
        <v>63</v>
      </c>
      <c r="C370" t="s">
        <v>13</v>
      </c>
      <c r="D370">
        <v>42032</v>
      </c>
      <c r="E370">
        <v>3757382</v>
      </c>
      <c r="F370">
        <v>1.1187000000000001E-2</v>
      </c>
      <c r="G370">
        <v>0.98881300000000005</v>
      </c>
      <c r="H370">
        <v>86573.289480000007</v>
      </c>
      <c r="I370">
        <v>968.5</v>
      </c>
      <c r="J370">
        <v>86089.041790000003</v>
      </c>
      <c r="K370">
        <v>1529660.1939999999</v>
      </c>
      <c r="L370">
        <v>17.668962369999999</v>
      </c>
      <c r="M370">
        <v>0.86573289499999995</v>
      </c>
      <c r="N370">
        <v>-4.4930028891173439</v>
      </c>
      <c r="O370">
        <v>1.1249977261121398E-2</v>
      </c>
    </row>
    <row r="371" spans="1:15" x14ac:dyDescent="0.3">
      <c r="A371">
        <v>2016</v>
      </c>
      <c r="B371">
        <v>64</v>
      </c>
      <c r="C371" t="s">
        <v>13</v>
      </c>
      <c r="D371">
        <v>43704</v>
      </c>
      <c r="E371">
        <v>3606295</v>
      </c>
      <c r="F371">
        <v>1.2119E-2</v>
      </c>
      <c r="G371">
        <v>0.98788100000000001</v>
      </c>
      <c r="H371">
        <v>85604.836309999999</v>
      </c>
      <c r="I371">
        <v>1037.45</v>
      </c>
      <c r="J371">
        <v>85086.113800000006</v>
      </c>
      <c r="K371">
        <v>1443571.152</v>
      </c>
      <c r="L371">
        <v>16.863196219999999</v>
      </c>
      <c r="M371">
        <v>0.85604836299999998</v>
      </c>
      <c r="N371">
        <v>-4.412980809995787</v>
      </c>
      <c r="O371">
        <v>1.2192940233471434E-2</v>
      </c>
    </row>
    <row r="372" spans="1:15" x14ac:dyDescent="0.3">
      <c r="A372">
        <v>2016</v>
      </c>
      <c r="B372">
        <v>65</v>
      </c>
      <c r="C372" t="s">
        <v>13</v>
      </c>
      <c r="D372">
        <v>44690</v>
      </c>
      <c r="E372">
        <v>3490890</v>
      </c>
      <c r="F372">
        <v>1.2801999999999999E-2</v>
      </c>
      <c r="G372">
        <v>0.98719800000000002</v>
      </c>
      <c r="H372">
        <v>84567.407649999994</v>
      </c>
      <c r="I372">
        <v>1082.6300000000001</v>
      </c>
      <c r="J372">
        <v>84026.091669999994</v>
      </c>
      <c r="K372">
        <v>1358485.0390000001</v>
      </c>
      <c r="L372">
        <v>16.063931440000001</v>
      </c>
      <c r="M372">
        <v>0.84567407699999997</v>
      </c>
      <c r="N372">
        <v>-4.358153870262325</v>
      </c>
      <c r="O372">
        <v>1.288444958050518E-2</v>
      </c>
    </row>
    <row r="373" spans="1:15" x14ac:dyDescent="0.3">
      <c r="A373">
        <v>2016</v>
      </c>
      <c r="B373">
        <v>66</v>
      </c>
      <c r="C373" t="s">
        <v>13</v>
      </c>
      <c r="D373">
        <v>45693</v>
      </c>
      <c r="E373">
        <v>3403647</v>
      </c>
      <c r="F373">
        <v>1.3424999999999999E-2</v>
      </c>
      <c r="G373">
        <v>0.98657499999999998</v>
      </c>
      <c r="H373">
        <v>83484.784759999995</v>
      </c>
      <c r="I373">
        <v>1120.78</v>
      </c>
      <c r="J373">
        <v>82924.39314</v>
      </c>
      <c r="K373">
        <v>1274458.9469999999</v>
      </c>
      <c r="L373">
        <v>15.265763099999999</v>
      </c>
      <c r="M373">
        <v>0.834847848</v>
      </c>
      <c r="N373">
        <v>-4.3106366385872086</v>
      </c>
      <c r="O373">
        <v>1.3515683362620164E-2</v>
      </c>
    </row>
    <row r="374" spans="1:15" x14ac:dyDescent="0.3">
      <c r="A374">
        <v>2016</v>
      </c>
      <c r="B374">
        <v>67</v>
      </c>
      <c r="C374" t="s">
        <v>13</v>
      </c>
      <c r="D374">
        <v>48292</v>
      </c>
      <c r="E374">
        <v>3295266</v>
      </c>
      <c r="F374">
        <v>1.4655E-2</v>
      </c>
      <c r="G374">
        <v>0.98534500000000003</v>
      </c>
      <c r="H374">
        <v>82364.025089999996</v>
      </c>
      <c r="I374">
        <v>1207.04</v>
      </c>
      <c r="J374">
        <v>81760.502699999997</v>
      </c>
      <c r="K374">
        <v>1191534.554</v>
      </c>
      <c r="L374">
        <v>14.466686790000001</v>
      </c>
      <c r="M374">
        <v>0.82364025100000005</v>
      </c>
      <c r="N374">
        <v>-4.2229737048192817</v>
      </c>
      <c r="O374">
        <v>1.47631183453892E-2</v>
      </c>
    </row>
    <row r="375" spans="1:15" x14ac:dyDescent="0.3">
      <c r="A375">
        <v>2016</v>
      </c>
      <c r="B375">
        <v>68</v>
      </c>
      <c r="C375" t="s">
        <v>13</v>
      </c>
      <c r="D375">
        <v>51462</v>
      </c>
      <c r="E375">
        <v>3251936</v>
      </c>
      <c r="F375">
        <v>1.5824999999999999E-2</v>
      </c>
      <c r="G375">
        <v>0.98417500000000002</v>
      </c>
      <c r="H375">
        <v>81156.983380000005</v>
      </c>
      <c r="I375">
        <v>1284.31</v>
      </c>
      <c r="J375">
        <v>80514.828750000001</v>
      </c>
      <c r="K375">
        <v>1109774.051</v>
      </c>
      <c r="L375">
        <v>13.674412289999999</v>
      </c>
      <c r="M375">
        <v>0.81156983400000005</v>
      </c>
      <c r="N375">
        <v>-4.1461643109518969</v>
      </c>
      <c r="O375">
        <v>1.5951223424932999E-2</v>
      </c>
    </row>
    <row r="376" spans="1:15" x14ac:dyDescent="0.3">
      <c r="A376">
        <v>2016</v>
      </c>
      <c r="B376">
        <v>69</v>
      </c>
      <c r="C376" t="s">
        <v>13</v>
      </c>
      <c r="D376">
        <v>56518</v>
      </c>
      <c r="E376">
        <v>3378344</v>
      </c>
      <c r="F376">
        <v>1.6729000000000001E-2</v>
      </c>
      <c r="G376">
        <v>0.98327100000000001</v>
      </c>
      <c r="H376">
        <v>79872.671310000005</v>
      </c>
      <c r="I376">
        <v>1336.19</v>
      </c>
      <c r="J376">
        <v>79204.576350000003</v>
      </c>
      <c r="K376">
        <v>1029259.222</v>
      </c>
      <c r="L376">
        <v>12.88625015</v>
      </c>
      <c r="M376">
        <v>0.79872671299999998</v>
      </c>
      <c r="N376">
        <v>-4.0906115386329933</v>
      </c>
      <c r="O376">
        <v>1.6870115305089875E-2</v>
      </c>
    </row>
    <row r="377" spans="1:15" x14ac:dyDescent="0.3">
      <c r="A377">
        <v>2016</v>
      </c>
      <c r="B377">
        <v>70</v>
      </c>
      <c r="C377" t="s">
        <v>13</v>
      </c>
      <c r="D377">
        <v>47247</v>
      </c>
      <c r="E377">
        <v>2487211</v>
      </c>
      <c r="F377">
        <v>1.8995999999999999E-2</v>
      </c>
      <c r="G377">
        <v>0.98100399999999999</v>
      </c>
      <c r="H377">
        <v>78536.441590000002</v>
      </c>
      <c r="I377">
        <v>1491.88</v>
      </c>
      <c r="J377">
        <v>77790.502470000007</v>
      </c>
      <c r="K377">
        <v>950054.64599999995</v>
      </c>
      <c r="L377">
        <v>12.096991239999999</v>
      </c>
      <c r="M377">
        <v>0.78536441599999995</v>
      </c>
      <c r="N377">
        <v>-3.9635268482952619</v>
      </c>
      <c r="O377">
        <v>1.9178176440704672E-2</v>
      </c>
    </row>
    <row r="378" spans="1:15" x14ac:dyDescent="0.3">
      <c r="A378">
        <v>2016</v>
      </c>
      <c r="B378">
        <v>71</v>
      </c>
      <c r="C378" t="s">
        <v>13</v>
      </c>
      <c r="D378">
        <v>49651</v>
      </c>
      <c r="E378">
        <v>2445650</v>
      </c>
      <c r="F378">
        <v>2.0302000000000001E-2</v>
      </c>
      <c r="G378">
        <v>0.97969799999999996</v>
      </c>
      <c r="H378">
        <v>77044.56525</v>
      </c>
      <c r="I378">
        <v>1564.16</v>
      </c>
      <c r="J378">
        <v>76262.485870000004</v>
      </c>
      <c r="K378">
        <v>872264.14350000001</v>
      </c>
      <c r="L378">
        <v>11.321553189999999</v>
      </c>
      <c r="M378">
        <v>0.77044565300000001</v>
      </c>
      <c r="N378">
        <v>-3.8970358756198977</v>
      </c>
      <c r="O378">
        <v>2.0510212758564728E-2</v>
      </c>
    </row>
    <row r="379" spans="1:15" x14ac:dyDescent="0.3">
      <c r="A379">
        <v>2016</v>
      </c>
      <c r="B379">
        <v>72</v>
      </c>
      <c r="C379" t="s">
        <v>13</v>
      </c>
      <c r="D379">
        <v>53448</v>
      </c>
      <c r="E379">
        <v>2371252</v>
      </c>
      <c r="F379">
        <v>2.2540000000000001E-2</v>
      </c>
      <c r="G379">
        <v>0.97746</v>
      </c>
      <c r="H379">
        <v>75480.424950000001</v>
      </c>
      <c r="I379">
        <v>1701.33</v>
      </c>
      <c r="J379">
        <v>74629.760559999995</v>
      </c>
      <c r="K379">
        <v>796001.65760000004</v>
      </c>
      <c r="L379">
        <v>10.545802549999999</v>
      </c>
      <c r="M379">
        <v>0.75480424999999995</v>
      </c>
      <c r="N379">
        <v>-3.7924637703705066</v>
      </c>
      <c r="O379">
        <v>2.2796937574751611E-2</v>
      </c>
    </row>
    <row r="380" spans="1:15" x14ac:dyDescent="0.3">
      <c r="A380">
        <v>2016</v>
      </c>
      <c r="B380">
        <v>73</v>
      </c>
      <c r="C380" t="s">
        <v>13</v>
      </c>
      <c r="D380">
        <v>58670</v>
      </c>
      <c r="E380">
        <v>2413647</v>
      </c>
      <c r="F380">
        <v>2.4308E-2</v>
      </c>
      <c r="G380">
        <v>0.975692</v>
      </c>
      <c r="H380">
        <v>73779.096810000003</v>
      </c>
      <c r="I380">
        <v>1793.42</v>
      </c>
      <c r="J380">
        <v>72882.385670000003</v>
      </c>
      <c r="K380">
        <v>721371.89709999994</v>
      </c>
      <c r="L380">
        <v>9.7774563289999996</v>
      </c>
      <c r="M380">
        <v>0.73779096799999999</v>
      </c>
      <c r="N380">
        <v>-3.7169497647090282</v>
      </c>
      <c r="O380">
        <v>2.4607038219620493E-2</v>
      </c>
    </row>
    <row r="381" spans="1:15" x14ac:dyDescent="0.3">
      <c r="A381">
        <v>2016</v>
      </c>
      <c r="B381">
        <v>74</v>
      </c>
      <c r="C381" t="s">
        <v>13</v>
      </c>
      <c r="D381">
        <v>56409</v>
      </c>
      <c r="E381">
        <v>2092487</v>
      </c>
      <c r="F381">
        <v>2.6957999999999999E-2</v>
      </c>
      <c r="G381">
        <v>0.97304199999999996</v>
      </c>
      <c r="H381">
        <v>71985.702999999994</v>
      </c>
      <c r="I381">
        <v>1940.59</v>
      </c>
      <c r="J381">
        <v>71015.407709999999</v>
      </c>
      <c r="K381">
        <v>648489.51139999996</v>
      </c>
      <c r="L381">
        <v>9.0085876000000003</v>
      </c>
      <c r="M381">
        <v>0.71985703000000001</v>
      </c>
      <c r="N381">
        <v>-3.6134751796660591</v>
      </c>
      <c r="O381">
        <v>2.7326321684864072E-2</v>
      </c>
    </row>
    <row r="382" spans="1:15" x14ac:dyDescent="0.3">
      <c r="A382">
        <v>2016</v>
      </c>
      <c r="B382">
        <v>75</v>
      </c>
      <c r="C382" t="s">
        <v>13</v>
      </c>
      <c r="D382">
        <v>56464</v>
      </c>
      <c r="E382">
        <v>1900211</v>
      </c>
      <c r="F382">
        <v>2.9714999999999998E-2</v>
      </c>
      <c r="G382">
        <v>0.97028499999999995</v>
      </c>
      <c r="H382">
        <v>70045.121520000001</v>
      </c>
      <c r="I382">
        <v>2081.39</v>
      </c>
      <c r="J382">
        <v>69004.426130000007</v>
      </c>
      <c r="K382">
        <v>577474.10369999998</v>
      </c>
      <c r="L382">
        <v>8.2443158230000009</v>
      </c>
      <c r="M382">
        <v>0.70045121499999996</v>
      </c>
      <c r="N382">
        <v>-3.5161033101635133</v>
      </c>
      <c r="O382">
        <v>3.0163131394133673E-2</v>
      </c>
    </row>
    <row r="383" spans="1:15" x14ac:dyDescent="0.3">
      <c r="A383">
        <v>2016</v>
      </c>
      <c r="B383">
        <v>76</v>
      </c>
      <c r="C383" t="s">
        <v>13</v>
      </c>
      <c r="D383">
        <v>56578</v>
      </c>
      <c r="E383">
        <v>1784266</v>
      </c>
      <c r="F383">
        <v>3.1709000000000001E-2</v>
      </c>
      <c r="G383">
        <v>0.96829100000000001</v>
      </c>
      <c r="H383">
        <v>67963.759109999999</v>
      </c>
      <c r="I383">
        <v>2155.06</v>
      </c>
      <c r="J383">
        <v>66886.22769</v>
      </c>
      <c r="K383">
        <v>508469.6776</v>
      </c>
      <c r="L383">
        <v>7.4814825459999996</v>
      </c>
      <c r="M383">
        <v>0.67963759099999999</v>
      </c>
      <c r="N383">
        <v>-3.4511547267222697</v>
      </c>
      <c r="O383">
        <v>3.2219793367291458E-2</v>
      </c>
    </row>
    <row r="384" spans="1:15" x14ac:dyDescent="0.3">
      <c r="A384">
        <v>2016</v>
      </c>
      <c r="B384">
        <v>77</v>
      </c>
      <c r="C384" t="s">
        <v>13</v>
      </c>
      <c r="D384">
        <v>59044</v>
      </c>
      <c r="E384">
        <v>1664566</v>
      </c>
      <c r="F384">
        <v>3.5471000000000003E-2</v>
      </c>
      <c r="G384">
        <v>0.96452899999999997</v>
      </c>
      <c r="H384">
        <v>65808.669250000006</v>
      </c>
      <c r="I384">
        <v>2334.3000000000002</v>
      </c>
      <c r="J384">
        <v>64641.5196</v>
      </c>
      <c r="K384">
        <v>441583.44990000001</v>
      </c>
      <c r="L384">
        <v>6.7101106120000003</v>
      </c>
      <c r="M384">
        <v>0.658086693</v>
      </c>
      <c r="N384">
        <v>-3.339039817754998</v>
      </c>
      <c r="O384">
        <v>3.61114674073304E-2</v>
      </c>
    </row>
    <row r="385" spans="1:15" x14ac:dyDescent="0.3">
      <c r="A385">
        <v>2016</v>
      </c>
      <c r="B385">
        <v>78</v>
      </c>
      <c r="C385" t="s">
        <v>13</v>
      </c>
      <c r="D385">
        <v>60728</v>
      </c>
      <c r="E385">
        <v>1578915</v>
      </c>
      <c r="F385">
        <v>3.8462000000000003E-2</v>
      </c>
      <c r="G385">
        <v>0.961538</v>
      </c>
      <c r="H385">
        <v>63474.362849999998</v>
      </c>
      <c r="I385">
        <v>2441.35</v>
      </c>
      <c r="J385">
        <v>62253.687380000003</v>
      </c>
      <c r="K385">
        <v>376941.93030000001</v>
      </c>
      <c r="L385">
        <v>5.9384909649999997</v>
      </c>
      <c r="M385">
        <v>0.63474362900000003</v>
      </c>
      <c r="N385">
        <v>-3.2580845380934815</v>
      </c>
      <c r="O385">
        <v>3.9216148031516004E-2</v>
      </c>
    </row>
    <row r="386" spans="1:15" x14ac:dyDescent="0.3">
      <c r="A386">
        <v>2016</v>
      </c>
      <c r="B386">
        <v>79</v>
      </c>
      <c r="C386" t="s">
        <v>13</v>
      </c>
      <c r="D386">
        <v>62081</v>
      </c>
      <c r="E386">
        <v>1439937</v>
      </c>
      <c r="F386">
        <v>4.3114E-2</v>
      </c>
      <c r="G386">
        <v>0.95688600000000001</v>
      </c>
      <c r="H386">
        <v>61033.021099999998</v>
      </c>
      <c r="I386">
        <v>2631.38</v>
      </c>
      <c r="J386">
        <v>59717.332260000003</v>
      </c>
      <c r="K386">
        <v>314688.24290000001</v>
      </c>
      <c r="L386">
        <v>5.1560325410000001</v>
      </c>
      <c r="M386">
        <v>0.61033021099999996</v>
      </c>
      <c r="N386">
        <v>-3.1439075086308952</v>
      </c>
      <c r="O386">
        <v>4.4063917220915377E-2</v>
      </c>
    </row>
    <row r="387" spans="1:15" x14ac:dyDescent="0.3">
      <c r="A387">
        <v>2016</v>
      </c>
      <c r="B387">
        <v>80</v>
      </c>
      <c r="C387" t="s">
        <v>13</v>
      </c>
      <c r="D387">
        <v>64987</v>
      </c>
      <c r="E387">
        <v>1358260</v>
      </c>
      <c r="F387">
        <v>4.7846E-2</v>
      </c>
      <c r="G387">
        <v>0.95215399999999994</v>
      </c>
      <c r="H387">
        <v>58401.662239999998</v>
      </c>
      <c r="I387">
        <v>2794.29</v>
      </c>
      <c r="J387">
        <v>57004.519269999997</v>
      </c>
      <c r="K387">
        <v>254970.9106</v>
      </c>
      <c r="L387">
        <v>4.3658159860000003</v>
      </c>
      <c r="M387">
        <v>0.58401662200000004</v>
      </c>
      <c r="N387">
        <v>-3.0397677591437473</v>
      </c>
      <c r="O387">
        <v>4.9018739409340366E-2</v>
      </c>
    </row>
    <row r="388" spans="1:15" x14ac:dyDescent="0.3">
      <c r="A388">
        <v>2016</v>
      </c>
      <c r="B388">
        <v>81</v>
      </c>
      <c r="C388" t="s">
        <v>13</v>
      </c>
      <c r="D388">
        <v>67240</v>
      </c>
      <c r="E388">
        <v>1284298</v>
      </c>
      <c r="F388">
        <v>5.2354999999999999E-2</v>
      </c>
      <c r="G388">
        <v>0.94764499999999996</v>
      </c>
      <c r="H388">
        <v>55607.38955</v>
      </c>
      <c r="I388">
        <v>2911.32</v>
      </c>
      <c r="J388">
        <v>54151.72711</v>
      </c>
      <c r="K388">
        <v>197966.39139999999</v>
      </c>
      <c r="L388">
        <v>3.5600734530000002</v>
      </c>
      <c r="M388">
        <v>0.55607389600000001</v>
      </c>
      <c r="N388">
        <v>-2.9497078352427115</v>
      </c>
      <c r="O388">
        <v>5.3762286601148762E-2</v>
      </c>
    </row>
    <row r="389" spans="1:15" x14ac:dyDescent="0.3">
      <c r="A389">
        <v>2016</v>
      </c>
      <c r="B389">
        <v>82</v>
      </c>
      <c r="C389" t="s">
        <v>13</v>
      </c>
      <c r="D389">
        <v>67120</v>
      </c>
      <c r="E389">
        <v>1135109</v>
      </c>
      <c r="F389">
        <v>5.9131000000000003E-2</v>
      </c>
      <c r="G389">
        <v>0.94086899999999996</v>
      </c>
      <c r="H389">
        <v>52696.039640000003</v>
      </c>
      <c r="I389">
        <v>3115.97</v>
      </c>
      <c r="J389">
        <v>51138.054880000003</v>
      </c>
      <c r="K389">
        <v>143814.6642</v>
      </c>
      <c r="L389">
        <v>2.7291361030000001</v>
      </c>
      <c r="M389">
        <v>0.526960396</v>
      </c>
      <c r="N389">
        <v>-2.8279999574033448</v>
      </c>
      <c r="O389">
        <v>6.0932505612419821E-2</v>
      </c>
    </row>
    <row r="390" spans="1:15" x14ac:dyDescent="0.3">
      <c r="A390">
        <v>2016</v>
      </c>
      <c r="B390">
        <v>83</v>
      </c>
      <c r="C390" t="s">
        <v>13</v>
      </c>
      <c r="D390">
        <v>69758</v>
      </c>
      <c r="E390">
        <v>1079082</v>
      </c>
      <c r="F390">
        <v>6.4645999999999995E-2</v>
      </c>
      <c r="G390">
        <v>0.93535400000000002</v>
      </c>
      <c r="H390">
        <v>49580.076159999997</v>
      </c>
      <c r="I390">
        <v>3205.15</v>
      </c>
      <c r="J390">
        <v>47977.499360000002</v>
      </c>
      <c r="K390">
        <v>92676.609360000002</v>
      </c>
      <c r="L390">
        <v>1.8692308790000001</v>
      </c>
      <c r="M390">
        <v>0.49580076200000001</v>
      </c>
      <c r="N390">
        <v>-2.7388290472947938</v>
      </c>
      <c r="O390">
        <v>6.6805263481608396E-2</v>
      </c>
    </row>
    <row r="391" spans="1:15" x14ac:dyDescent="0.3">
      <c r="A391">
        <v>2016</v>
      </c>
      <c r="B391">
        <v>84</v>
      </c>
      <c r="C391" t="s">
        <v>13</v>
      </c>
      <c r="D391">
        <v>72916</v>
      </c>
      <c r="E391">
        <v>1008890</v>
      </c>
      <c r="F391">
        <v>7.2273000000000004E-2</v>
      </c>
      <c r="G391">
        <v>0.92772699999999997</v>
      </c>
      <c r="H391">
        <v>46374.93795</v>
      </c>
      <c r="I391">
        <v>3351.66</v>
      </c>
      <c r="J391">
        <v>44699.11</v>
      </c>
      <c r="K391">
        <v>44699.11</v>
      </c>
      <c r="L391">
        <v>0.96386349999999998</v>
      </c>
      <c r="M391">
        <v>0.46374937999999999</v>
      </c>
      <c r="N391">
        <v>-2.6273046635483901</v>
      </c>
      <c r="O391">
        <v>4.5795544605387144E-2</v>
      </c>
    </row>
    <row r="392" spans="1:15" x14ac:dyDescent="0.3">
      <c r="A392">
        <v>2017</v>
      </c>
      <c r="B392">
        <v>20</v>
      </c>
      <c r="C392" t="s">
        <v>11</v>
      </c>
      <c r="D392">
        <v>904</v>
      </c>
      <c r="E392">
        <v>2089336</v>
      </c>
      <c r="F392">
        <v>4.3300000000000001E-4</v>
      </c>
      <c r="G392">
        <v>0.99956699999999998</v>
      </c>
      <c r="H392">
        <v>100000</v>
      </c>
      <c r="I392">
        <v>43.3</v>
      </c>
      <c r="J392">
        <v>99978.35</v>
      </c>
      <c r="K392">
        <v>5829925.568</v>
      </c>
      <c r="L392">
        <v>58.299255680000002</v>
      </c>
      <c r="M392">
        <v>1</v>
      </c>
      <c r="N392">
        <v>-7.744772829961784</v>
      </c>
      <c r="O392">
        <v>4.3309369403890448E-4</v>
      </c>
    </row>
    <row r="393" spans="1:15" x14ac:dyDescent="0.3">
      <c r="A393">
        <v>2017</v>
      </c>
      <c r="B393">
        <v>21</v>
      </c>
      <c r="C393" t="s">
        <v>11</v>
      </c>
      <c r="D393">
        <v>1028</v>
      </c>
      <c r="E393">
        <v>2104329</v>
      </c>
      <c r="F393">
        <v>4.8899999999999996E-4</v>
      </c>
      <c r="G393">
        <v>0.99951100000000004</v>
      </c>
      <c r="H393">
        <v>99956.732669999998</v>
      </c>
      <c r="I393">
        <v>48.88</v>
      </c>
      <c r="J393">
        <v>99932.293250000002</v>
      </c>
      <c r="K393">
        <v>5729947.2180000003</v>
      </c>
      <c r="L393">
        <v>57.324274860000003</v>
      </c>
      <c r="M393">
        <v>0.99956732699999995</v>
      </c>
      <c r="N393">
        <v>-7.6231480684894022</v>
      </c>
      <c r="O393">
        <v>4.8913105661652556E-4</v>
      </c>
    </row>
    <row r="394" spans="1:15" x14ac:dyDescent="0.3">
      <c r="A394">
        <v>2017</v>
      </c>
      <c r="B394">
        <v>22</v>
      </c>
      <c r="C394" t="s">
        <v>11</v>
      </c>
      <c r="D394">
        <v>1087</v>
      </c>
      <c r="E394">
        <v>2150615</v>
      </c>
      <c r="F394">
        <v>5.0500000000000002E-4</v>
      </c>
      <c r="G394">
        <v>0.99949500000000002</v>
      </c>
      <c r="H394">
        <v>99907.902130000002</v>
      </c>
      <c r="I394">
        <v>50.45</v>
      </c>
      <c r="J394">
        <v>99882.675380000001</v>
      </c>
      <c r="K394">
        <v>5630014.9249999998</v>
      </c>
      <c r="L394">
        <v>56.352048279999998</v>
      </c>
      <c r="M394">
        <v>0.99907902100000001</v>
      </c>
      <c r="N394">
        <v>-7.5909521286889143</v>
      </c>
      <c r="O394">
        <v>5.0509270831190355E-4</v>
      </c>
    </row>
    <row r="395" spans="1:15" x14ac:dyDescent="0.3">
      <c r="A395">
        <v>2017</v>
      </c>
      <c r="B395">
        <v>23</v>
      </c>
      <c r="C395" t="s">
        <v>11</v>
      </c>
      <c r="D395">
        <v>1207</v>
      </c>
      <c r="E395">
        <v>2196524</v>
      </c>
      <c r="F395">
        <v>5.5000000000000003E-4</v>
      </c>
      <c r="G395">
        <v>0.99944999999999995</v>
      </c>
      <c r="H395">
        <v>99857.404989999995</v>
      </c>
      <c r="I395">
        <v>54.92</v>
      </c>
      <c r="J395">
        <v>99829.944199999998</v>
      </c>
      <c r="K395">
        <v>5530132.2489999998</v>
      </c>
      <c r="L395">
        <v>55.38029203</v>
      </c>
      <c r="M395">
        <v>0.99857404999999999</v>
      </c>
      <c r="N395">
        <v>-7.5055922797377574</v>
      </c>
      <c r="O395">
        <v>5.5013540105384713E-4</v>
      </c>
    </row>
    <row r="396" spans="1:15" x14ac:dyDescent="0.3">
      <c r="A396">
        <v>2017</v>
      </c>
      <c r="B396">
        <v>24</v>
      </c>
      <c r="C396" t="s">
        <v>11</v>
      </c>
      <c r="D396">
        <v>1259</v>
      </c>
      <c r="E396">
        <v>2228689</v>
      </c>
      <c r="F396">
        <v>5.6499999999999996E-4</v>
      </c>
      <c r="G396">
        <v>0.99943499999999996</v>
      </c>
      <c r="H396">
        <v>99802.532890000002</v>
      </c>
      <c r="I396">
        <v>56.39</v>
      </c>
      <c r="J396">
        <v>99774.338669999997</v>
      </c>
      <c r="K396">
        <v>5430302.3049999997</v>
      </c>
      <c r="L396">
        <v>54.41046583</v>
      </c>
      <c r="M396">
        <v>0.99802532899999996</v>
      </c>
      <c r="N396">
        <v>-7.4786848268178332</v>
      </c>
      <c r="O396">
        <v>5.6517535571782088E-4</v>
      </c>
    </row>
    <row r="397" spans="1:15" x14ac:dyDescent="0.3">
      <c r="A397">
        <v>2017</v>
      </c>
      <c r="B397">
        <v>25</v>
      </c>
      <c r="C397" t="s">
        <v>11</v>
      </c>
      <c r="D397">
        <v>1413</v>
      </c>
      <c r="E397">
        <v>2295484</v>
      </c>
      <c r="F397">
        <v>6.1600000000000001E-4</v>
      </c>
      <c r="G397">
        <v>0.99938400000000005</v>
      </c>
      <c r="H397">
        <v>99746.153829999996</v>
      </c>
      <c r="I397">
        <v>61.44</v>
      </c>
      <c r="J397">
        <v>99715.432010000004</v>
      </c>
      <c r="K397">
        <v>5330527.9670000002</v>
      </c>
      <c r="L397">
        <v>53.440937439999999</v>
      </c>
      <c r="M397">
        <v>0.99746153800000004</v>
      </c>
      <c r="N397">
        <v>-7.3922635944307542</v>
      </c>
      <c r="O397">
        <v>6.1615323856239286E-4</v>
      </c>
    </row>
    <row r="398" spans="1:15" x14ac:dyDescent="0.3">
      <c r="A398">
        <v>2017</v>
      </c>
      <c r="B398">
        <v>26</v>
      </c>
      <c r="C398" t="s">
        <v>11</v>
      </c>
      <c r="D398">
        <v>1413</v>
      </c>
      <c r="E398">
        <v>2350352</v>
      </c>
      <c r="F398">
        <v>6.0099999999999997E-4</v>
      </c>
      <c r="G398">
        <v>0.99939900000000004</v>
      </c>
      <c r="H398">
        <v>99684.754440000004</v>
      </c>
      <c r="I398">
        <v>59.91</v>
      </c>
      <c r="J398">
        <v>99654.799169999998</v>
      </c>
      <c r="K398">
        <v>5230812.5350000001</v>
      </c>
      <c r="L398">
        <v>52.473545870000002</v>
      </c>
      <c r="M398">
        <v>0.99684754399999997</v>
      </c>
      <c r="N398">
        <v>-7.416915623429067</v>
      </c>
      <c r="O398">
        <v>6.0117531806696807E-4</v>
      </c>
    </row>
    <row r="399" spans="1:15" x14ac:dyDescent="0.3">
      <c r="A399">
        <v>2017</v>
      </c>
      <c r="B399">
        <v>27</v>
      </c>
      <c r="C399" t="s">
        <v>11</v>
      </c>
      <c r="D399">
        <v>1665</v>
      </c>
      <c r="E399">
        <v>2351456</v>
      </c>
      <c r="F399">
        <v>7.0799999999999997E-4</v>
      </c>
      <c r="G399">
        <v>0.99929199999999996</v>
      </c>
      <c r="H399">
        <v>99624.82531</v>
      </c>
      <c r="I399">
        <v>70.53</v>
      </c>
      <c r="J399">
        <v>99589.558120000002</v>
      </c>
      <c r="K399">
        <v>5131157.7350000003</v>
      </c>
      <c r="L399">
        <v>51.504810370000001</v>
      </c>
      <c r="M399">
        <v>0.99624825299999997</v>
      </c>
      <c r="N399">
        <v>-7.253066464270554</v>
      </c>
      <c r="O399">
        <v>7.0820680266896598E-4</v>
      </c>
    </row>
    <row r="400" spans="1:15" x14ac:dyDescent="0.3">
      <c r="A400">
        <v>2017</v>
      </c>
      <c r="B400">
        <v>28</v>
      </c>
      <c r="C400" t="s">
        <v>11</v>
      </c>
      <c r="D400">
        <v>1745</v>
      </c>
      <c r="E400">
        <v>2260383</v>
      </c>
      <c r="F400">
        <v>7.7200000000000001E-4</v>
      </c>
      <c r="G400">
        <v>0.99922800000000001</v>
      </c>
      <c r="H400">
        <v>99554.283769999995</v>
      </c>
      <c r="I400">
        <v>76.86</v>
      </c>
      <c r="J400">
        <v>99515.855819999997</v>
      </c>
      <c r="K400">
        <v>5031568.1770000001</v>
      </c>
      <c r="L400">
        <v>50.540950989999999</v>
      </c>
      <c r="M400">
        <v>0.99554283799999999</v>
      </c>
      <c r="N400">
        <v>-7.1665260079394981</v>
      </c>
      <c r="O400">
        <v>7.7233923281959935E-4</v>
      </c>
    </row>
    <row r="401" spans="1:15" x14ac:dyDescent="0.3">
      <c r="A401">
        <v>2017</v>
      </c>
      <c r="B401">
        <v>29</v>
      </c>
      <c r="C401" t="s">
        <v>11</v>
      </c>
      <c r="D401">
        <v>1655</v>
      </c>
      <c r="E401">
        <v>2210555</v>
      </c>
      <c r="F401">
        <v>7.4899999999999999E-4</v>
      </c>
      <c r="G401">
        <v>0.999251</v>
      </c>
      <c r="H401">
        <v>99477.428549999997</v>
      </c>
      <c r="I401">
        <v>74.510000000000005</v>
      </c>
      <c r="J401">
        <v>99440.174249999996</v>
      </c>
      <c r="K401">
        <v>4932052.3210000005</v>
      </c>
      <c r="L401">
        <v>49.579612109999999</v>
      </c>
      <c r="M401">
        <v>0.99477428599999995</v>
      </c>
      <c r="N401">
        <v>-7.1967715744470544</v>
      </c>
      <c r="O401">
        <v>7.4929462526762767E-4</v>
      </c>
    </row>
    <row r="402" spans="1:15" x14ac:dyDescent="0.3">
      <c r="A402">
        <v>2017</v>
      </c>
      <c r="B402">
        <v>30</v>
      </c>
      <c r="C402" t="s">
        <v>11</v>
      </c>
      <c r="D402">
        <v>1786</v>
      </c>
      <c r="E402">
        <v>2174279</v>
      </c>
      <c r="F402">
        <v>8.2100000000000001E-4</v>
      </c>
      <c r="G402">
        <v>0.99917900000000004</v>
      </c>
      <c r="H402">
        <v>99402.951709999994</v>
      </c>
      <c r="I402">
        <v>81.61</v>
      </c>
      <c r="J402">
        <v>99362.146800000002</v>
      </c>
      <c r="K402">
        <v>4832612.1469999999</v>
      </c>
      <c r="L402">
        <v>48.616384770000003</v>
      </c>
      <c r="M402">
        <v>0.99402951699999997</v>
      </c>
      <c r="N402">
        <v>-7.1049874485118458</v>
      </c>
      <c r="O402">
        <v>8.2133910994833443E-4</v>
      </c>
    </row>
    <row r="403" spans="1:15" x14ac:dyDescent="0.3">
      <c r="A403">
        <v>2017</v>
      </c>
      <c r="B403">
        <v>31</v>
      </c>
      <c r="C403" t="s">
        <v>11</v>
      </c>
      <c r="D403">
        <v>1916</v>
      </c>
      <c r="E403">
        <v>2183649</v>
      </c>
      <c r="F403">
        <v>8.7699999999999996E-4</v>
      </c>
      <c r="G403">
        <v>0.99912299999999998</v>
      </c>
      <c r="H403">
        <v>99321.299969999993</v>
      </c>
      <c r="I403">
        <v>87.1</v>
      </c>
      <c r="J403">
        <v>99277.747579999996</v>
      </c>
      <c r="K403">
        <v>4733250</v>
      </c>
      <c r="L403">
        <v>47.655940889999997</v>
      </c>
      <c r="M403">
        <v>0.99321300000000001</v>
      </c>
      <c r="N403">
        <v>-7.0390035655920915</v>
      </c>
      <c r="O403">
        <v>8.7733677360968113E-4</v>
      </c>
    </row>
    <row r="404" spans="1:15" x14ac:dyDescent="0.3">
      <c r="A404">
        <v>2017</v>
      </c>
      <c r="B404">
        <v>32</v>
      </c>
      <c r="C404" t="s">
        <v>11</v>
      </c>
      <c r="D404">
        <v>2028</v>
      </c>
      <c r="E404">
        <v>2204770</v>
      </c>
      <c r="F404">
        <v>9.2000000000000003E-4</v>
      </c>
      <c r="G404">
        <v>0.99907999999999997</v>
      </c>
      <c r="H404">
        <v>99234.152440000005</v>
      </c>
      <c r="I404">
        <v>91.3</v>
      </c>
      <c r="J404">
        <v>99188.504730000001</v>
      </c>
      <c r="K404">
        <v>4633972.2529999996</v>
      </c>
      <c r="L404">
        <v>46.697353069999998</v>
      </c>
      <c r="M404">
        <v>0.99234152399999997</v>
      </c>
      <c r="N404">
        <v>-6.9911368879211881</v>
      </c>
      <c r="O404">
        <v>9.2046948589076375E-4</v>
      </c>
    </row>
    <row r="405" spans="1:15" x14ac:dyDescent="0.3">
      <c r="A405">
        <v>2017</v>
      </c>
      <c r="B405">
        <v>33</v>
      </c>
      <c r="C405" t="s">
        <v>11</v>
      </c>
      <c r="D405">
        <v>2166</v>
      </c>
      <c r="E405">
        <v>2142863</v>
      </c>
      <c r="F405">
        <v>1.011E-3</v>
      </c>
      <c r="G405">
        <v>0.99898900000000002</v>
      </c>
      <c r="H405">
        <v>99142.874500000005</v>
      </c>
      <c r="I405">
        <v>100.23</v>
      </c>
      <c r="J405">
        <v>99092.75778</v>
      </c>
      <c r="K405">
        <v>4534783.7479999997</v>
      </c>
      <c r="L405">
        <v>45.739885700000002</v>
      </c>
      <c r="M405">
        <v>0.991428745</v>
      </c>
      <c r="N405">
        <v>-6.8968153389438029</v>
      </c>
      <c r="O405">
        <v>1.0114764396524981E-3</v>
      </c>
    </row>
    <row r="406" spans="1:15" x14ac:dyDescent="0.3">
      <c r="A406">
        <v>2017</v>
      </c>
      <c r="B406">
        <v>34</v>
      </c>
      <c r="C406" t="s">
        <v>11</v>
      </c>
      <c r="D406">
        <v>2279</v>
      </c>
      <c r="E406">
        <v>2177520</v>
      </c>
      <c r="F406">
        <v>1.047E-3</v>
      </c>
      <c r="G406">
        <v>0.99895299999999998</v>
      </c>
      <c r="H406">
        <v>99042.661160000003</v>
      </c>
      <c r="I406">
        <v>103.7</v>
      </c>
      <c r="J406">
        <v>98990.812330000001</v>
      </c>
      <c r="K406">
        <v>4435690.99</v>
      </c>
      <c r="L406">
        <v>44.785660419999999</v>
      </c>
      <c r="M406">
        <v>0.99042661200000004</v>
      </c>
      <c r="N406">
        <v>-6.8618263470937375</v>
      </c>
      <c r="O406">
        <v>1.0475717593389357E-3</v>
      </c>
    </row>
    <row r="407" spans="1:15" x14ac:dyDescent="0.3">
      <c r="A407">
        <v>2017</v>
      </c>
      <c r="B407">
        <v>35</v>
      </c>
      <c r="C407" t="s">
        <v>11</v>
      </c>
      <c r="D407">
        <v>2385</v>
      </c>
      <c r="E407">
        <v>2179052</v>
      </c>
      <c r="F407">
        <v>1.0950000000000001E-3</v>
      </c>
      <c r="G407">
        <v>0.99890500000000004</v>
      </c>
      <c r="H407">
        <v>98939.002770000006</v>
      </c>
      <c r="I407">
        <v>108.34</v>
      </c>
      <c r="J407">
        <v>98884.833670000007</v>
      </c>
      <c r="K407">
        <v>4336700.1780000003</v>
      </c>
      <c r="L407">
        <v>43.832058709999998</v>
      </c>
      <c r="M407">
        <v>0.98939002799999998</v>
      </c>
      <c r="N407">
        <v>-6.8170009157136731</v>
      </c>
      <c r="O407">
        <v>1.0956176955476233E-3</v>
      </c>
    </row>
    <row r="408" spans="1:15" x14ac:dyDescent="0.3">
      <c r="A408">
        <v>2017</v>
      </c>
      <c r="B408">
        <v>36</v>
      </c>
      <c r="C408" t="s">
        <v>11</v>
      </c>
      <c r="D408">
        <v>2460</v>
      </c>
      <c r="E408">
        <v>2157640</v>
      </c>
      <c r="F408">
        <v>1.14E-3</v>
      </c>
      <c r="G408">
        <v>0.99885999999999997</v>
      </c>
      <c r="H408">
        <v>98830.712780000002</v>
      </c>
      <c r="I408">
        <v>112.67</v>
      </c>
      <c r="J408">
        <v>98774.379270000005</v>
      </c>
      <c r="K408">
        <v>4237815.3439999996</v>
      </c>
      <c r="L408">
        <v>42.879538410000002</v>
      </c>
      <c r="M408">
        <v>0.98830712799999998</v>
      </c>
      <c r="N408">
        <v>-6.776727016575733</v>
      </c>
      <c r="O408">
        <v>1.1406804924335848E-3</v>
      </c>
    </row>
    <row r="409" spans="1:15" x14ac:dyDescent="0.3">
      <c r="A409">
        <v>2017</v>
      </c>
      <c r="B409">
        <v>37</v>
      </c>
      <c r="C409" t="s">
        <v>11</v>
      </c>
      <c r="D409">
        <v>2662</v>
      </c>
      <c r="E409">
        <v>2190170</v>
      </c>
      <c r="F409">
        <v>1.2149999999999999E-3</v>
      </c>
      <c r="G409">
        <v>0.99878500000000003</v>
      </c>
      <c r="H409">
        <v>98718.032460000002</v>
      </c>
      <c r="I409">
        <v>119.94</v>
      </c>
      <c r="J409">
        <v>98658.061260000002</v>
      </c>
      <c r="K409">
        <v>4139040.9649999999</v>
      </c>
      <c r="L409">
        <v>41.927911870000003</v>
      </c>
      <c r="M409">
        <v>0.98718032499999997</v>
      </c>
      <c r="N409">
        <v>-6.7130112021896258</v>
      </c>
      <c r="O409">
        <v>1.215714401036941E-3</v>
      </c>
    </row>
    <row r="410" spans="1:15" x14ac:dyDescent="0.3">
      <c r="A410">
        <v>2017</v>
      </c>
      <c r="B410">
        <v>38</v>
      </c>
      <c r="C410" t="s">
        <v>11</v>
      </c>
      <c r="D410">
        <v>2519</v>
      </c>
      <c r="E410">
        <v>2063849</v>
      </c>
      <c r="F410">
        <v>1.2210000000000001E-3</v>
      </c>
      <c r="G410">
        <v>0.99877899999999997</v>
      </c>
      <c r="H410">
        <v>98598.047529999996</v>
      </c>
      <c r="I410">
        <v>120.39</v>
      </c>
      <c r="J410">
        <v>98537.853419999999</v>
      </c>
      <c r="K410">
        <v>4040382.9040000001</v>
      </c>
      <c r="L410">
        <v>40.978325689999998</v>
      </c>
      <c r="M410">
        <v>0.98598047499999997</v>
      </c>
      <c r="N410">
        <v>-6.7080850838535691</v>
      </c>
      <c r="O410">
        <v>1.2217636960075284E-3</v>
      </c>
    </row>
    <row r="411" spans="1:15" x14ac:dyDescent="0.3">
      <c r="A411">
        <v>2017</v>
      </c>
      <c r="B411">
        <v>39</v>
      </c>
      <c r="C411" t="s">
        <v>11</v>
      </c>
      <c r="D411">
        <v>2770</v>
      </c>
      <c r="E411">
        <v>2025301</v>
      </c>
      <c r="F411">
        <v>1.3680000000000001E-3</v>
      </c>
      <c r="G411">
        <v>0.99863199999999996</v>
      </c>
      <c r="H411">
        <v>98477.705159999998</v>
      </c>
      <c r="I411">
        <v>134.72</v>
      </c>
      <c r="J411">
        <v>98410.346409999998</v>
      </c>
      <c r="K411">
        <v>3941845.05</v>
      </c>
      <c r="L411">
        <v>40.02779151</v>
      </c>
      <c r="M411">
        <v>0.98477705199999999</v>
      </c>
      <c r="N411">
        <v>-6.5944054597817781</v>
      </c>
      <c r="O411">
        <v>1.36896154274539E-3</v>
      </c>
    </row>
    <row r="412" spans="1:15" x14ac:dyDescent="0.3">
      <c r="A412">
        <v>2017</v>
      </c>
      <c r="B412">
        <v>40</v>
      </c>
      <c r="C412" t="s">
        <v>11</v>
      </c>
      <c r="D412">
        <v>2898</v>
      </c>
      <c r="E412">
        <v>2009156</v>
      </c>
      <c r="F412">
        <v>1.4419999999999999E-3</v>
      </c>
      <c r="G412">
        <v>0.99855799999999995</v>
      </c>
      <c r="H412">
        <v>98343.017399999997</v>
      </c>
      <c r="I412">
        <v>141.81</v>
      </c>
      <c r="J412">
        <v>98272.112080000006</v>
      </c>
      <c r="K412">
        <v>3843434.7039999999</v>
      </c>
      <c r="L412">
        <v>39.081927780000001</v>
      </c>
      <c r="M412">
        <v>0.98343017399999999</v>
      </c>
      <c r="N412">
        <v>-6.5417242401193798</v>
      </c>
      <c r="O412">
        <v>1.4430342966855749E-3</v>
      </c>
    </row>
    <row r="413" spans="1:15" x14ac:dyDescent="0.3">
      <c r="A413">
        <v>2017</v>
      </c>
      <c r="B413">
        <v>41</v>
      </c>
      <c r="C413" t="s">
        <v>11</v>
      </c>
      <c r="D413">
        <v>2956</v>
      </c>
      <c r="E413">
        <v>1948683</v>
      </c>
      <c r="F413">
        <v>1.5169999999999999E-3</v>
      </c>
      <c r="G413">
        <v>0.99848300000000001</v>
      </c>
      <c r="H413">
        <v>98201.167759999997</v>
      </c>
      <c r="I413">
        <v>148.97</v>
      </c>
      <c r="J413">
        <v>98126.68217</v>
      </c>
      <c r="K413">
        <v>3745162.5920000002</v>
      </c>
      <c r="L413">
        <v>38.13765841</v>
      </c>
      <c r="M413">
        <v>0.982011678</v>
      </c>
      <c r="N413">
        <v>-6.4910205786157418</v>
      </c>
      <c r="O413">
        <v>1.5181395200935381E-3</v>
      </c>
    </row>
    <row r="414" spans="1:15" x14ac:dyDescent="0.3">
      <c r="A414">
        <v>2017</v>
      </c>
      <c r="B414">
        <v>42</v>
      </c>
      <c r="C414" t="s">
        <v>11</v>
      </c>
      <c r="D414">
        <v>3277</v>
      </c>
      <c r="E414">
        <v>2003193</v>
      </c>
      <c r="F414">
        <v>1.6360000000000001E-3</v>
      </c>
      <c r="G414">
        <v>0.99836400000000003</v>
      </c>
      <c r="H414">
        <v>98052.204249999995</v>
      </c>
      <c r="I414">
        <v>160.41</v>
      </c>
      <c r="J414">
        <v>97971.99755</v>
      </c>
      <c r="K414">
        <v>3647035.91</v>
      </c>
      <c r="L414">
        <v>37.194838580000003</v>
      </c>
      <c r="M414">
        <v>0.98052204300000001</v>
      </c>
      <c r="N414">
        <v>-6.4155010408015816</v>
      </c>
      <c r="O414">
        <v>1.6373044854361852E-3</v>
      </c>
    </row>
    <row r="415" spans="1:15" x14ac:dyDescent="0.3">
      <c r="A415">
        <v>2017</v>
      </c>
      <c r="B415">
        <v>43</v>
      </c>
      <c r="C415" t="s">
        <v>11</v>
      </c>
      <c r="D415">
        <v>3436</v>
      </c>
      <c r="E415">
        <v>1947353</v>
      </c>
      <c r="F415">
        <v>1.7639999999999999E-3</v>
      </c>
      <c r="G415">
        <v>0.99823600000000001</v>
      </c>
      <c r="H415">
        <v>97891.801800000001</v>
      </c>
      <c r="I415">
        <v>172.68</v>
      </c>
      <c r="J415">
        <v>97805.461230000001</v>
      </c>
      <c r="K415">
        <v>3549063.912</v>
      </c>
      <c r="L415">
        <v>36.254965650000003</v>
      </c>
      <c r="M415">
        <v>0.978918018</v>
      </c>
      <c r="N415">
        <v>-6.3401713213975377</v>
      </c>
      <c r="O415">
        <v>1.7655459767333855E-3</v>
      </c>
    </row>
    <row r="416" spans="1:15" x14ac:dyDescent="0.3">
      <c r="A416">
        <v>2017</v>
      </c>
      <c r="B416">
        <v>44</v>
      </c>
      <c r="C416" t="s">
        <v>11</v>
      </c>
      <c r="D416">
        <v>3641</v>
      </c>
      <c r="E416">
        <v>1981873</v>
      </c>
      <c r="F416">
        <v>1.8370000000000001E-3</v>
      </c>
      <c r="G416">
        <v>0.99816300000000002</v>
      </c>
      <c r="H416">
        <v>97719.076960000006</v>
      </c>
      <c r="I416">
        <v>179.51</v>
      </c>
      <c r="J416">
        <v>97629.321989999997</v>
      </c>
      <c r="K416">
        <v>3451258.4509999999</v>
      </c>
      <c r="L416">
        <v>35.318164660000001</v>
      </c>
      <c r="M416">
        <v>0.97719076999999999</v>
      </c>
      <c r="N416">
        <v>-6.2996214727491484</v>
      </c>
      <c r="O416">
        <v>1.8386895443964644E-3</v>
      </c>
    </row>
    <row r="417" spans="1:15" x14ac:dyDescent="0.3">
      <c r="A417">
        <v>2017</v>
      </c>
      <c r="B417">
        <v>45</v>
      </c>
      <c r="C417" t="s">
        <v>11</v>
      </c>
      <c r="D417">
        <v>4140</v>
      </c>
      <c r="E417">
        <v>2066554</v>
      </c>
      <c r="F417">
        <v>2.003E-3</v>
      </c>
      <c r="G417">
        <v>0.99799700000000002</v>
      </c>
      <c r="H417">
        <v>97539.552259999997</v>
      </c>
      <c r="I417">
        <v>195.37</v>
      </c>
      <c r="J417">
        <v>97441.866399999999</v>
      </c>
      <c r="K417">
        <v>3353629.1290000002</v>
      </c>
      <c r="L417">
        <v>34.38224855</v>
      </c>
      <c r="M417">
        <v>0.97539552299999999</v>
      </c>
      <c r="N417">
        <v>-6.2131092222984554</v>
      </c>
      <c r="O417">
        <v>2.0049906675591706E-3</v>
      </c>
    </row>
    <row r="418" spans="1:15" x14ac:dyDescent="0.3">
      <c r="A418">
        <v>2017</v>
      </c>
      <c r="B418">
        <v>46</v>
      </c>
      <c r="C418" t="s">
        <v>11</v>
      </c>
      <c r="D418">
        <v>4863</v>
      </c>
      <c r="E418">
        <v>2183846</v>
      </c>
      <c r="F418">
        <v>2.2269999999999998E-3</v>
      </c>
      <c r="G418">
        <v>0.99777300000000002</v>
      </c>
      <c r="H418">
        <v>97344.147859999997</v>
      </c>
      <c r="I418">
        <v>216.79</v>
      </c>
      <c r="J418">
        <v>97235.755149999997</v>
      </c>
      <c r="K418">
        <v>3256187.2620000001</v>
      </c>
      <c r="L418">
        <v>33.450262129999999</v>
      </c>
      <c r="M418">
        <v>0.973441479</v>
      </c>
      <c r="N418">
        <v>-6.1070998907069063</v>
      </c>
      <c r="O418">
        <v>2.2295294415184941E-3</v>
      </c>
    </row>
    <row r="419" spans="1:15" x14ac:dyDescent="0.3">
      <c r="A419">
        <v>2017</v>
      </c>
      <c r="B419">
        <v>47</v>
      </c>
      <c r="C419" t="s">
        <v>11</v>
      </c>
      <c r="D419">
        <v>5251</v>
      </c>
      <c r="E419">
        <v>2201202</v>
      </c>
      <c r="F419">
        <v>2.3860000000000001E-3</v>
      </c>
      <c r="G419">
        <v>0.997614</v>
      </c>
      <c r="H419">
        <v>97127.381389999995</v>
      </c>
      <c r="I419">
        <v>231.75</v>
      </c>
      <c r="J419">
        <v>97011.508419999998</v>
      </c>
      <c r="K419">
        <v>3158951.5070000002</v>
      </c>
      <c r="L419">
        <v>32.523799799999999</v>
      </c>
      <c r="M419">
        <v>0.97127381400000001</v>
      </c>
      <c r="N419">
        <v>-6.0381369553064124</v>
      </c>
      <c r="O419">
        <v>2.3888912509477055E-3</v>
      </c>
    </row>
    <row r="420" spans="1:15" x14ac:dyDescent="0.3">
      <c r="A420">
        <v>2017</v>
      </c>
      <c r="B420">
        <v>48</v>
      </c>
      <c r="C420" t="s">
        <v>11</v>
      </c>
      <c r="D420">
        <v>5441</v>
      </c>
      <c r="E420">
        <v>2089271</v>
      </c>
      <c r="F420">
        <v>2.604E-3</v>
      </c>
      <c r="G420">
        <v>0.99739599999999995</v>
      </c>
      <c r="H420">
        <v>96895.682579999993</v>
      </c>
      <c r="I420">
        <v>252.32</v>
      </c>
      <c r="J420">
        <v>96769.524399999995</v>
      </c>
      <c r="K420">
        <v>3061939.9989999998</v>
      </c>
      <c r="L420">
        <v>31.600375960000001</v>
      </c>
      <c r="M420">
        <v>0.96895682599999999</v>
      </c>
      <c r="N420">
        <v>-5.950706554635814</v>
      </c>
      <c r="O420">
        <v>2.6074328059915671E-3</v>
      </c>
    </row>
    <row r="421" spans="1:15" x14ac:dyDescent="0.3">
      <c r="A421">
        <v>2017</v>
      </c>
      <c r="B421">
        <v>49</v>
      </c>
      <c r="C421" t="s">
        <v>11</v>
      </c>
      <c r="D421">
        <v>5780</v>
      </c>
      <c r="E421">
        <v>2046810</v>
      </c>
      <c r="F421">
        <v>2.8240000000000001E-3</v>
      </c>
      <c r="G421">
        <v>0.99717599999999995</v>
      </c>
      <c r="H421">
        <v>96643.341260000001</v>
      </c>
      <c r="I421">
        <v>272.92</v>
      </c>
      <c r="J421">
        <v>96506.880860000005</v>
      </c>
      <c r="K421">
        <v>2965170.4739999999</v>
      </c>
      <c r="L421">
        <v>30.681580709999999</v>
      </c>
      <c r="M421">
        <v>0.96643341299999996</v>
      </c>
      <c r="N421">
        <v>-5.8696009593511418</v>
      </c>
      <c r="O421">
        <v>2.8279847487085075E-3</v>
      </c>
    </row>
    <row r="422" spans="1:15" x14ac:dyDescent="0.3">
      <c r="A422">
        <v>2017</v>
      </c>
      <c r="B422">
        <v>50</v>
      </c>
      <c r="C422" t="s">
        <v>11</v>
      </c>
      <c r="D422">
        <v>6490</v>
      </c>
      <c r="E422">
        <v>2053593</v>
      </c>
      <c r="F422">
        <v>3.16E-3</v>
      </c>
      <c r="G422">
        <v>0.99683999999999995</v>
      </c>
      <c r="H422">
        <v>96370.429499999998</v>
      </c>
      <c r="I422">
        <v>304.52999999999997</v>
      </c>
      <c r="J422">
        <v>96218.164220000006</v>
      </c>
      <c r="K422">
        <v>2868663.594</v>
      </c>
      <c r="L422">
        <v>29.767052079999999</v>
      </c>
      <c r="M422">
        <v>0.96370429499999999</v>
      </c>
      <c r="N422">
        <v>-5.7571832513833163</v>
      </c>
      <c r="O422">
        <v>3.1649954086115321E-3</v>
      </c>
    </row>
    <row r="423" spans="1:15" x14ac:dyDescent="0.3">
      <c r="A423">
        <v>2017</v>
      </c>
      <c r="B423">
        <v>51</v>
      </c>
      <c r="C423" t="s">
        <v>11</v>
      </c>
      <c r="D423">
        <v>7200</v>
      </c>
      <c r="E423">
        <v>2089015</v>
      </c>
      <c r="F423">
        <v>3.447E-3</v>
      </c>
      <c r="G423">
        <v>0.99655300000000002</v>
      </c>
      <c r="H423">
        <v>96065.868619999994</v>
      </c>
      <c r="I423">
        <v>331.14</v>
      </c>
      <c r="J423">
        <v>95900.299100000004</v>
      </c>
      <c r="K423">
        <v>2772445.429</v>
      </c>
      <c r="L423">
        <v>28.859838249999999</v>
      </c>
      <c r="M423">
        <v>0.96065868600000004</v>
      </c>
      <c r="N423">
        <v>-5.6702509914474089</v>
      </c>
      <c r="O423">
        <v>3.4529603853726688E-3</v>
      </c>
    </row>
    <row r="424" spans="1:15" x14ac:dyDescent="0.3">
      <c r="A424">
        <v>2017</v>
      </c>
      <c r="B424">
        <v>52</v>
      </c>
      <c r="C424" t="s">
        <v>11</v>
      </c>
      <c r="D424">
        <v>8160</v>
      </c>
      <c r="E424">
        <v>2214239</v>
      </c>
      <c r="F424">
        <v>3.6849999999999999E-3</v>
      </c>
      <c r="G424">
        <v>0.99631499999999995</v>
      </c>
      <c r="H424">
        <v>95734.767959999997</v>
      </c>
      <c r="I424">
        <v>352.78</v>
      </c>
      <c r="J424">
        <v>95558.376650000006</v>
      </c>
      <c r="K424">
        <v>2676545.13</v>
      </c>
      <c r="L424">
        <v>27.95792153</v>
      </c>
      <c r="M424">
        <v>0.95734768000000003</v>
      </c>
      <c r="N424">
        <v>-5.6034847533408367</v>
      </c>
      <c r="O424">
        <v>3.691775170527311E-3</v>
      </c>
    </row>
    <row r="425" spans="1:15" x14ac:dyDescent="0.3">
      <c r="A425">
        <v>2017</v>
      </c>
      <c r="B425">
        <v>53</v>
      </c>
      <c r="C425" t="s">
        <v>11</v>
      </c>
      <c r="D425">
        <v>9047</v>
      </c>
      <c r="E425">
        <v>2261664</v>
      </c>
      <c r="F425">
        <v>4.0000000000000001E-3</v>
      </c>
      <c r="G425">
        <v>0.996</v>
      </c>
      <c r="H425">
        <v>95381.962450000006</v>
      </c>
      <c r="I425">
        <v>381.53</v>
      </c>
      <c r="J425">
        <v>95191.198529999994</v>
      </c>
      <c r="K425">
        <v>2580986.7540000002</v>
      </c>
      <c r="L425">
        <v>27.059484699999999</v>
      </c>
      <c r="M425">
        <v>0.95381962499999995</v>
      </c>
      <c r="N425">
        <v>-5.521460917862246</v>
      </c>
      <c r="O425">
        <v>4.0080389257639336E-3</v>
      </c>
    </row>
    <row r="426" spans="1:15" x14ac:dyDescent="0.3">
      <c r="A426">
        <v>2017</v>
      </c>
      <c r="B426">
        <v>54</v>
      </c>
      <c r="C426" t="s">
        <v>11</v>
      </c>
      <c r="D426">
        <v>9966</v>
      </c>
      <c r="E426">
        <v>2262401</v>
      </c>
      <c r="F426">
        <v>4.4050000000000001E-3</v>
      </c>
      <c r="G426">
        <v>0.99559500000000001</v>
      </c>
      <c r="H426">
        <v>95000.42009</v>
      </c>
      <c r="I426">
        <v>418.48</v>
      </c>
      <c r="J426">
        <v>94791.181660000002</v>
      </c>
      <c r="K426">
        <v>2485795.5550000002</v>
      </c>
      <c r="L426">
        <v>26.16615329</v>
      </c>
      <c r="M426">
        <v>0.95000420100000005</v>
      </c>
      <c r="N426">
        <v>-5.4250150195939941</v>
      </c>
      <c r="O426">
        <v>4.4147567748995618E-3</v>
      </c>
    </row>
    <row r="427" spans="1:15" x14ac:dyDescent="0.3">
      <c r="A427">
        <v>2017</v>
      </c>
      <c r="B427">
        <v>55</v>
      </c>
      <c r="C427" t="s">
        <v>11</v>
      </c>
      <c r="D427">
        <v>10959</v>
      </c>
      <c r="E427">
        <v>2258814</v>
      </c>
      <c r="F427">
        <v>4.8520000000000004E-3</v>
      </c>
      <c r="G427">
        <v>0.99514800000000003</v>
      </c>
      <c r="H427">
        <v>94581.938049999997</v>
      </c>
      <c r="I427">
        <v>458.91</v>
      </c>
      <c r="J427">
        <v>94352.482269999993</v>
      </c>
      <c r="K427">
        <v>2391004.3730000001</v>
      </c>
      <c r="L427">
        <v>25.27971432</v>
      </c>
      <c r="M427">
        <v>0.94581938099999996</v>
      </c>
      <c r="N427">
        <v>-5.3283642879003335</v>
      </c>
      <c r="O427">
        <v>4.8637821813775966E-3</v>
      </c>
    </row>
    <row r="428" spans="1:15" x14ac:dyDescent="0.3">
      <c r="A428">
        <v>2017</v>
      </c>
      <c r="B428">
        <v>56</v>
      </c>
      <c r="C428" t="s">
        <v>11</v>
      </c>
      <c r="D428">
        <v>11882</v>
      </c>
      <c r="E428">
        <v>2290060</v>
      </c>
      <c r="F428">
        <v>5.189E-3</v>
      </c>
      <c r="G428">
        <v>0.994811</v>
      </c>
      <c r="H428">
        <v>94123.058550000002</v>
      </c>
      <c r="I428">
        <v>488.4</v>
      </c>
      <c r="J428">
        <v>93878.856270000004</v>
      </c>
      <c r="K428">
        <v>2296651.8909999998</v>
      </c>
      <c r="L428">
        <v>24.400523379999999</v>
      </c>
      <c r="M428">
        <v>0.94123058599999998</v>
      </c>
      <c r="N428">
        <v>-5.2612142785965341</v>
      </c>
      <c r="O428">
        <v>5.2024481285213135E-3</v>
      </c>
    </row>
    <row r="429" spans="1:15" x14ac:dyDescent="0.3">
      <c r="A429">
        <v>2017</v>
      </c>
      <c r="B429">
        <v>57</v>
      </c>
      <c r="C429" t="s">
        <v>11</v>
      </c>
      <c r="D429">
        <v>12929</v>
      </c>
      <c r="E429">
        <v>2303341</v>
      </c>
      <c r="F429">
        <v>5.6129999999999999E-3</v>
      </c>
      <c r="G429">
        <v>0.99438700000000002</v>
      </c>
      <c r="H429">
        <v>93634.700079999995</v>
      </c>
      <c r="I429">
        <v>525.57000000000005</v>
      </c>
      <c r="J429">
        <v>93371.914290000001</v>
      </c>
      <c r="K429">
        <v>2202773.0350000001</v>
      </c>
      <c r="L429">
        <v>23.525178520000001</v>
      </c>
      <c r="M429">
        <v>0.93634700100000001</v>
      </c>
      <c r="N429">
        <v>-5.1826699430220744</v>
      </c>
      <c r="O429">
        <v>5.6287808132798314E-3</v>
      </c>
    </row>
    <row r="430" spans="1:15" x14ac:dyDescent="0.3">
      <c r="A430">
        <v>2017</v>
      </c>
      <c r="B430">
        <v>58</v>
      </c>
      <c r="C430" t="s">
        <v>11</v>
      </c>
      <c r="D430">
        <v>13554</v>
      </c>
      <c r="E430">
        <v>2232903</v>
      </c>
      <c r="F430">
        <v>6.0699999999999999E-3</v>
      </c>
      <c r="G430">
        <v>0.99392999999999998</v>
      </c>
      <c r="H430">
        <v>93109.114409999995</v>
      </c>
      <c r="I430">
        <v>565.16999999999996</v>
      </c>
      <c r="J430">
        <v>92826.528250000003</v>
      </c>
      <c r="K430">
        <v>2109401.1209999998</v>
      </c>
      <c r="L430">
        <v>22.655151799999999</v>
      </c>
      <c r="M430">
        <v>0.93109114400000004</v>
      </c>
      <c r="N430">
        <v>-5.1043966739107303</v>
      </c>
      <c r="O430">
        <v>6.0884538726068242E-3</v>
      </c>
    </row>
    <row r="431" spans="1:15" x14ac:dyDescent="0.3">
      <c r="A431">
        <v>2017</v>
      </c>
      <c r="B431">
        <v>59</v>
      </c>
      <c r="C431" t="s">
        <v>11</v>
      </c>
      <c r="D431">
        <v>14387</v>
      </c>
      <c r="E431">
        <v>2222318</v>
      </c>
      <c r="F431">
        <v>6.4739999999999997E-3</v>
      </c>
      <c r="G431">
        <v>0.99352600000000002</v>
      </c>
      <c r="H431">
        <v>92543.930460000003</v>
      </c>
      <c r="I431">
        <v>599.13</v>
      </c>
      <c r="J431">
        <v>92244.365760000001</v>
      </c>
      <c r="K431">
        <v>2016574.5919999999</v>
      </c>
      <c r="L431">
        <v>21.7904576</v>
      </c>
      <c r="M431">
        <v>0.92543930500000005</v>
      </c>
      <c r="N431">
        <v>-5.0399611234780846</v>
      </c>
      <c r="O431">
        <v>6.4950304153638047E-3</v>
      </c>
    </row>
    <row r="432" spans="1:15" x14ac:dyDescent="0.3">
      <c r="A432">
        <v>2017</v>
      </c>
      <c r="B432">
        <v>60</v>
      </c>
      <c r="C432" t="s">
        <v>11</v>
      </c>
      <c r="D432">
        <v>15369</v>
      </c>
      <c r="E432">
        <v>2202546</v>
      </c>
      <c r="F432">
        <v>6.9779999999999998E-3</v>
      </c>
      <c r="G432">
        <v>0.99302199999999996</v>
      </c>
      <c r="H432">
        <v>91944.812990000006</v>
      </c>
      <c r="I432">
        <v>641.59</v>
      </c>
      <c r="J432">
        <v>91624.017540000001</v>
      </c>
      <c r="K432">
        <v>1924330.227</v>
      </c>
      <c r="L432">
        <v>20.929187460000001</v>
      </c>
      <c r="M432">
        <v>0.91944813000000003</v>
      </c>
      <c r="N432">
        <v>-4.9649929362175547</v>
      </c>
      <c r="O432">
        <v>7.0024210219380382E-3</v>
      </c>
    </row>
    <row r="433" spans="1:15" x14ac:dyDescent="0.3">
      <c r="A433">
        <v>2017</v>
      </c>
      <c r="B433">
        <v>61</v>
      </c>
      <c r="C433" t="s">
        <v>11</v>
      </c>
      <c r="D433">
        <v>15902</v>
      </c>
      <c r="E433">
        <v>2128409</v>
      </c>
      <c r="F433">
        <v>7.4710000000000002E-3</v>
      </c>
      <c r="G433">
        <v>0.99252899999999999</v>
      </c>
      <c r="H433">
        <v>91303.237359999999</v>
      </c>
      <c r="I433">
        <v>682.13</v>
      </c>
      <c r="J433">
        <v>90962.174119999996</v>
      </c>
      <c r="K433">
        <v>1832706.209</v>
      </c>
      <c r="L433">
        <v>20.072740710000001</v>
      </c>
      <c r="M433">
        <v>0.91303237400000004</v>
      </c>
      <c r="N433">
        <v>-4.8967264199884726</v>
      </c>
      <c r="O433">
        <v>7.4990523499006388E-3</v>
      </c>
    </row>
    <row r="434" spans="1:15" x14ac:dyDescent="0.3">
      <c r="A434">
        <v>2017</v>
      </c>
      <c r="B434">
        <v>62</v>
      </c>
      <c r="C434" t="s">
        <v>11</v>
      </c>
      <c r="D434">
        <v>16467</v>
      </c>
      <c r="E434">
        <v>2111180</v>
      </c>
      <c r="F434">
        <v>7.7999999999999996E-3</v>
      </c>
      <c r="G434">
        <v>0.99219999999999997</v>
      </c>
      <c r="H434">
        <v>90621.082720000006</v>
      </c>
      <c r="I434">
        <v>706.84</v>
      </c>
      <c r="J434">
        <v>90267.660499999998</v>
      </c>
      <c r="K434">
        <v>1741744.0349999999</v>
      </c>
      <c r="L434">
        <v>19.220075309999999</v>
      </c>
      <c r="M434">
        <v>0.906210827</v>
      </c>
      <c r="N434">
        <v>-4.853631545286591</v>
      </c>
      <c r="O434">
        <v>7.8304894779189331E-3</v>
      </c>
    </row>
    <row r="435" spans="1:15" x14ac:dyDescent="0.3">
      <c r="A435">
        <v>2017</v>
      </c>
      <c r="B435">
        <v>63</v>
      </c>
      <c r="C435" t="s">
        <v>11</v>
      </c>
      <c r="D435">
        <v>17301</v>
      </c>
      <c r="E435">
        <v>2032205</v>
      </c>
      <c r="F435">
        <v>8.5129999999999997E-3</v>
      </c>
      <c r="G435">
        <v>0.99148700000000001</v>
      </c>
      <c r="H435">
        <v>89914.247029999999</v>
      </c>
      <c r="I435">
        <v>765.44</v>
      </c>
      <c r="J435">
        <v>89531.527040000001</v>
      </c>
      <c r="K435">
        <v>1651476.3740000001</v>
      </c>
      <c r="L435">
        <v>18.367238</v>
      </c>
      <c r="M435">
        <v>0.89914247000000003</v>
      </c>
      <c r="N435">
        <v>-4.7661608720802171</v>
      </c>
      <c r="O435">
        <v>8.5493924205575968E-3</v>
      </c>
    </row>
    <row r="436" spans="1:15" x14ac:dyDescent="0.3">
      <c r="A436">
        <v>2017</v>
      </c>
      <c r="B436">
        <v>64</v>
      </c>
      <c r="C436" t="s">
        <v>11</v>
      </c>
      <c r="D436">
        <v>17921</v>
      </c>
      <c r="E436">
        <v>1956079</v>
      </c>
      <c r="F436">
        <v>9.162E-3</v>
      </c>
      <c r="G436">
        <v>0.990838</v>
      </c>
      <c r="H436">
        <v>89148.769929999995</v>
      </c>
      <c r="I436">
        <v>816.78</v>
      </c>
      <c r="J436">
        <v>88740.379409999994</v>
      </c>
      <c r="K436">
        <v>1561944.8470000001</v>
      </c>
      <c r="L436">
        <v>17.52065507</v>
      </c>
      <c r="M436">
        <v>0.89148769900000002</v>
      </c>
      <c r="N436">
        <v>-4.6926907835175866</v>
      </c>
      <c r="O436">
        <v>9.2041512600245165E-3</v>
      </c>
    </row>
    <row r="437" spans="1:15" x14ac:dyDescent="0.3">
      <c r="A437">
        <v>2017</v>
      </c>
      <c r="B437">
        <v>65</v>
      </c>
      <c r="C437" t="s">
        <v>11</v>
      </c>
      <c r="D437">
        <v>18620</v>
      </c>
      <c r="E437">
        <v>1878995</v>
      </c>
      <c r="F437">
        <v>9.9100000000000004E-3</v>
      </c>
      <c r="G437">
        <v>0.99009000000000003</v>
      </c>
      <c r="H437">
        <v>88332.016059999994</v>
      </c>
      <c r="I437">
        <v>875.37</v>
      </c>
      <c r="J437">
        <v>87894.330919999993</v>
      </c>
      <c r="K437">
        <v>1473204.4680000001</v>
      </c>
      <c r="L437">
        <v>16.678035139999999</v>
      </c>
      <c r="M437">
        <v>0.88332016099999999</v>
      </c>
      <c r="N437">
        <v>-4.6142109306402403</v>
      </c>
      <c r="O437">
        <v>9.9593431577506795E-3</v>
      </c>
    </row>
    <row r="438" spans="1:15" x14ac:dyDescent="0.3">
      <c r="A438">
        <v>2017</v>
      </c>
      <c r="B438">
        <v>66</v>
      </c>
      <c r="C438" t="s">
        <v>11</v>
      </c>
      <c r="D438">
        <v>19061</v>
      </c>
      <c r="E438">
        <v>1825058</v>
      </c>
      <c r="F438">
        <v>1.0444E-2</v>
      </c>
      <c r="G438">
        <v>0.98955599999999999</v>
      </c>
      <c r="H438">
        <v>87456.685289999994</v>
      </c>
      <c r="I438">
        <v>913.4</v>
      </c>
      <c r="J438">
        <v>86999.986480000007</v>
      </c>
      <c r="K438">
        <v>1385310.1370000001</v>
      </c>
      <c r="L438">
        <v>15.839957030000001</v>
      </c>
      <c r="M438">
        <v>0.87456685300000003</v>
      </c>
      <c r="N438">
        <v>-4.5617276281452543</v>
      </c>
      <c r="O438">
        <v>1.0498852478987266E-2</v>
      </c>
    </row>
    <row r="439" spans="1:15" x14ac:dyDescent="0.3">
      <c r="A439">
        <v>2017</v>
      </c>
      <c r="B439">
        <v>67</v>
      </c>
      <c r="C439" t="s">
        <v>11</v>
      </c>
      <c r="D439">
        <v>19936</v>
      </c>
      <c r="E439">
        <v>1778116</v>
      </c>
      <c r="F439">
        <v>1.1212E-2</v>
      </c>
      <c r="G439">
        <v>0.988788</v>
      </c>
      <c r="H439">
        <v>86543.283150000003</v>
      </c>
      <c r="I439">
        <v>970.32</v>
      </c>
      <c r="J439">
        <v>86058.121499999994</v>
      </c>
      <c r="K439">
        <v>1298310.1510000001</v>
      </c>
      <c r="L439">
        <v>15.00185922</v>
      </c>
      <c r="M439">
        <v>0.86543283199999999</v>
      </c>
      <c r="N439">
        <v>-4.4907706456795955</v>
      </c>
      <c r="O439">
        <v>1.1275169828087009E-2</v>
      </c>
    </row>
    <row r="440" spans="1:15" x14ac:dyDescent="0.3">
      <c r="A440">
        <v>2017</v>
      </c>
      <c r="B440">
        <v>68</v>
      </c>
      <c r="C440" t="s">
        <v>11</v>
      </c>
      <c r="D440">
        <v>21697</v>
      </c>
      <c r="E440">
        <v>1723919</v>
      </c>
      <c r="F440">
        <v>1.2586E-2</v>
      </c>
      <c r="G440">
        <v>0.98741400000000001</v>
      </c>
      <c r="H440">
        <v>85572.971380000003</v>
      </c>
      <c r="I440">
        <v>1077.02</v>
      </c>
      <c r="J440">
        <v>85034.46067</v>
      </c>
      <c r="K440">
        <v>1212252.0290000001</v>
      </c>
      <c r="L440">
        <v>14.166295849999999</v>
      </c>
      <c r="M440">
        <v>0.85572971399999997</v>
      </c>
      <c r="N440">
        <v>-4.3751701938773948</v>
      </c>
      <c r="O440">
        <v>1.266568770629301E-2</v>
      </c>
    </row>
    <row r="441" spans="1:15" x14ac:dyDescent="0.3">
      <c r="A441">
        <v>2017</v>
      </c>
      <c r="B441">
        <v>69</v>
      </c>
      <c r="C441" t="s">
        <v>11</v>
      </c>
      <c r="D441">
        <v>23515</v>
      </c>
      <c r="E441">
        <v>1700425</v>
      </c>
      <c r="F441">
        <v>1.3828999999999999E-2</v>
      </c>
      <c r="G441">
        <v>0.98617100000000002</v>
      </c>
      <c r="H441">
        <v>84495.962100000004</v>
      </c>
      <c r="I441">
        <v>1168.49</v>
      </c>
      <c r="J441">
        <v>83911.714770000006</v>
      </c>
      <c r="K441">
        <v>1127217.568</v>
      </c>
      <c r="L441">
        <v>13.340490369999999</v>
      </c>
      <c r="M441">
        <v>0.84495962099999999</v>
      </c>
      <c r="N441">
        <v>-4.2809874424996162</v>
      </c>
      <c r="O441">
        <v>1.3925230128619874E-2</v>
      </c>
    </row>
    <row r="442" spans="1:15" x14ac:dyDescent="0.3">
      <c r="A442">
        <v>2017</v>
      </c>
      <c r="B442">
        <v>70</v>
      </c>
      <c r="C442" t="s">
        <v>11</v>
      </c>
      <c r="D442">
        <v>25874</v>
      </c>
      <c r="E442">
        <v>1765955</v>
      </c>
      <c r="F442">
        <v>1.4652E-2</v>
      </c>
      <c r="G442">
        <v>0.985348</v>
      </c>
      <c r="H442">
        <v>83327.476250000007</v>
      </c>
      <c r="I442">
        <v>1220.9100000000001</v>
      </c>
      <c r="J442">
        <v>82717.019159999996</v>
      </c>
      <c r="K442">
        <v>1043305.8540000001</v>
      </c>
      <c r="L442">
        <v>12.520550249999999</v>
      </c>
      <c r="M442">
        <v>0.83327476300000003</v>
      </c>
      <c r="N442">
        <v>-4.2231784340655691</v>
      </c>
      <c r="O442">
        <v>1.4760078922040808E-2</v>
      </c>
    </row>
    <row r="443" spans="1:15" x14ac:dyDescent="0.3">
      <c r="A443">
        <v>2017</v>
      </c>
      <c r="B443">
        <v>71</v>
      </c>
      <c r="C443" t="s">
        <v>11</v>
      </c>
      <c r="D443">
        <v>21865</v>
      </c>
      <c r="E443">
        <v>1307666</v>
      </c>
      <c r="F443">
        <v>1.6721E-2</v>
      </c>
      <c r="G443">
        <v>0.98327900000000001</v>
      </c>
      <c r="H443">
        <v>82106.59852</v>
      </c>
      <c r="I443">
        <v>1372.9</v>
      </c>
      <c r="J443">
        <v>81420.146299999993</v>
      </c>
      <c r="K443">
        <v>960588.8345</v>
      </c>
      <c r="L443">
        <v>11.69928912</v>
      </c>
      <c r="M443">
        <v>0.82106598500000005</v>
      </c>
      <c r="N443">
        <v>-4.0910898645016047</v>
      </c>
      <c r="O443">
        <v>1.6861916939596686E-2</v>
      </c>
    </row>
    <row r="444" spans="1:15" x14ac:dyDescent="0.3">
      <c r="A444">
        <v>2017</v>
      </c>
      <c r="B444">
        <v>72</v>
      </c>
      <c r="C444" t="s">
        <v>11</v>
      </c>
      <c r="D444">
        <v>23530</v>
      </c>
      <c r="E444">
        <v>1290521</v>
      </c>
      <c r="F444">
        <v>1.8232999999999999E-2</v>
      </c>
      <c r="G444">
        <v>0.98176699999999995</v>
      </c>
      <c r="H444">
        <v>80733.724430000002</v>
      </c>
      <c r="I444">
        <v>1472.02</v>
      </c>
      <c r="J444">
        <v>79997.715429999997</v>
      </c>
      <c r="K444">
        <v>879168.68819999998</v>
      </c>
      <c r="L444">
        <v>10.889732820000001</v>
      </c>
      <c r="M444">
        <v>0.80733724399999995</v>
      </c>
      <c r="N444">
        <v>-4.0045221399250694</v>
      </c>
      <c r="O444">
        <v>1.840077497411001E-2</v>
      </c>
    </row>
    <row r="445" spans="1:15" x14ac:dyDescent="0.3">
      <c r="A445">
        <v>2017</v>
      </c>
      <c r="B445">
        <v>73</v>
      </c>
      <c r="C445" t="s">
        <v>11</v>
      </c>
      <c r="D445">
        <v>25389</v>
      </c>
      <c r="E445">
        <v>1255382</v>
      </c>
      <c r="F445">
        <v>2.0223999999999999E-2</v>
      </c>
      <c r="G445">
        <v>0.97977599999999998</v>
      </c>
      <c r="H445">
        <v>79261.710770000005</v>
      </c>
      <c r="I445">
        <v>1602.99</v>
      </c>
      <c r="J445">
        <v>78460.216350000002</v>
      </c>
      <c r="K445">
        <v>799170.97279999999</v>
      </c>
      <c r="L445">
        <v>10.082686389999999</v>
      </c>
      <c r="M445">
        <v>0.79261710799999996</v>
      </c>
      <c r="N445">
        <v>-3.9008852610176903</v>
      </c>
      <c r="O445">
        <v>2.0430610240080287E-2</v>
      </c>
    </row>
    <row r="446" spans="1:15" x14ac:dyDescent="0.3">
      <c r="A446">
        <v>2017</v>
      </c>
      <c r="B446">
        <v>74</v>
      </c>
      <c r="C446" t="s">
        <v>11</v>
      </c>
      <c r="D446">
        <v>28192</v>
      </c>
      <c r="E446">
        <v>1280269</v>
      </c>
      <c r="F446">
        <v>2.2020000000000001E-2</v>
      </c>
      <c r="G446">
        <v>0.97797999999999996</v>
      </c>
      <c r="H446">
        <v>77658.712180000002</v>
      </c>
      <c r="I446">
        <v>1710.04</v>
      </c>
      <c r="J446">
        <v>76803.689759999994</v>
      </c>
      <c r="K446">
        <v>720710.75639999995</v>
      </c>
      <c r="L446">
        <v>9.280488128</v>
      </c>
      <c r="M446">
        <v>0.77658712200000002</v>
      </c>
      <c r="N446">
        <v>-3.815804147687603</v>
      </c>
      <c r="O446">
        <v>2.226508032602802E-2</v>
      </c>
    </row>
    <row r="447" spans="1:15" x14ac:dyDescent="0.3">
      <c r="A447">
        <v>2017</v>
      </c>
      <c r="B447">
        <v>75</v>
      </c>
      <c r="C447" t="s">
        <v>11</v>
      </c>
      <c r="D447">
        <v>27378</v>
      </c>
      <c r="E447">
        <v>1115294</v>
      </c>
      <c r="F447">
        <v>2.4548E-2</v>
      </c>
      <c r="G447">
        <v>0.97545199999999999</v>
      </c>
      <c r="H447">
        <v>75948.638430000006</v>
      </c>
      <c r="I447">
        <v>1864.39</v>
      </c>
      <c r="J447">
        <v>75016.444839999996</v>
      </c>
      <c r="K447">
        <v>643907.06669999997</v>
      </c>
      <c r="L447">
        <v>8.4781910509999996</v>
      </c>
      <c r="M447">
        <v>0.75948638400000001</v>
      </c>
      <c r="N447">
        <v>-3.7071248944552866</v>
      </c>
      <c r="O447">
        <v>2.485308125822094E-2</v>
      </c>
    </row>
    <row r="448" spans="1:15" x14ac:dyDescent="0.3">
      <c r="A448">
        <v>2017</v>
      </c>
      <c r="B448">
        <v>76</v>
      </c>
      <c r="C448" t="s">
        <v>11</v>
      </c>
      <c r="D448">
        <v>27440</v>
      </c>
      <c r="E448">
        <v>1019726</v>
      </c>
      <c r="F448">
        <v>2.6908999999999999E-2</v>
      </c>
      <c r="G448">
        <v>0.97309100000000004</v>
      </c>
      <c r="H448">
        <v>74084.267399999997</v>
      </c>
      <c r="I448">
        <v>1993.53</v>
      </c>
      <c r="J448">
        <v>73087.500620000006</v>
      </c>
      <c r="K448">
        <v>568890.62179999996</v>
      </c>
      <c r="L448">
        <v>7.6789666929999996</v>
      </c>
      <c r="M448">
        <v>0.74084267400000003</v>
      </c>
      <c r="N448">
        <v>-3.6152944758405323</v>
      </c>
      <c r="O448">
        <v>2.7275938762349902E-2</v>
      </c>
    </row>
    <row r="449" spans="1:15" x14ac:dyDescent="0.3">
      <c r="A449">
        <v>2017</v>
      </c>
      <c r="B449">
        <v>77</v>
      </c>
      <c r="C449" t="s">
        <v>11</v>
      </c>
      <c r="D449">
        <v>28187</v>
      </c>
      <c r="E449">
        <v>959502</v>
      </c>
      <c r="F449">
        <v>2.9377E-2</v>
      </c>
      <c r="G449">
        <v>0.97062300000000001</v>
      </c>
      <c r="H449">
        <v>72090.719819999998</v>
      </c>
      <c r="I449">
        <v>2117.81</v>
      </c>
      <c r="J449">
        <v>71031.815279999995</v>
      </c>
      <c r="K449">
        <v>495803.12119999999</v>
      </c>
      <c r="L449">
        <v>6.8774888430000001</v>
      </c>
      <c r="M449">
        <v>0.72090719800000003</v>
      </c>
      <c r="N449">
        <v>-3.5275432237291167</v>
      </c>
      <c r="O449">
        <v>2.9814945127332574E-2</v>
      </c>
    </row>
    <row r="450" spans="1:15" x14ac:dyDescent="0.3">
      <c r="A450">
        <v>2017</v>
      </c>
      <c r="B450">
        <v>78</v>
      </c>
      <c r="C450" t="s">
        <v>11</v>
      </c>
      <c r="D450">
        <v>29753</v>
      </c>
      <c r="E450">
        <v>894185</v>
      </c>
      <c r="F450">
        <v>3.3273999999999998E-2</v>
      </c>
      <c r="G450">
        <v>0.96672599999999997</v>
      </c>
      <c r="H450">
        <v>69972.932549999998</v>
      </c>
      <c r="I450">
        <v>2328.2800000000002</v>
      </c>
      <c r="J450">
        <v>68808.792870000005</v>
      </c>
      <c r="K450">
        <v>424771.30589999998</v>
      </c>
      <c r="L450">
        <v>6.070508845</v>
      </c>
      <c r="M450">
        <v>0.69972932600000004</v>
      </c>
      <c r="N450">
        <v>-3.4029789677445859</v>
      </c>
      <c r="O450">
        <v>3.3836952442431845E-2</v>
      </c>
    </row>
    <row r="451" spans="1:15" x14ac:dyDescent="0.3">
      <c r="A451">
        <v>2017</v>
      </c>
      <c r="B451">
        <v>79</v>
      </c>
      <c r="C451" t="s">
        <v>11</v>
      </c>
      <c r="D451">
        <v>31235</v>
      </c>
      <c r="E451">
        <v>853738</v>
      </c>
      <c r="F451">
        <v>3.6586E-2</v>
      </c>
      <c r="G451">
        <v>0.96341399999999999</v>
      </c>
      <c r="H451">
        <v>67644.661940000005</v>
      </c>
      <c r="I451">
        <v>2474.85</v>
      </c>
      <c r="J451">
        <v>66407.238140000001</v>
      </c>
      <c r="K451">
        <v>355962.51309999998</v>
      </c>
      <c r="L451">
        <v>5.2622409939999999</v>
      </c>
      <c r="M451">
        <v>0.67644661900000003</v>
      </c>
      <c r="N451">
        <v>-3.3080896254130305</v>
      </c>
      <c r="O451">
        <v>3.7267778007191707E-2</v>
      </c>
    </row>
    <row r="452" spans="1:15" x14ac:dyDescent="0.3">
      <c r="A452">
        <v>2017</v>
      </c>
      <c r="B452">
        <v>80</v>
      </c>
      <c r="C452" t="s">
        <v>11</v>
      </c>
      <c r="D452">
        <v>32267</v>
      </c>
      <c r="E452">
        <v>782413</v>
      </c>
      <c r="F452">
        <v>4.1239999999999999E-2</v>
      </c>
      <c r="G452">
        <v>0.95875999999999995</v>
      </c>
      <c r="H452">
        <v>65169.803119999997</v>
      </c>
      <c r="I452">
        <v>2687.6</v>
      </c>
      <c r="J452">
        <v>63826.001779999999</v>
      </c>
      <c r="K452">
        <v>289555.27490000002</v>
      </c>
      <c r="L452">
        <v>4.4430896070000001</v>
      </c>
      <c r="M452">
        <v>0.65169803100000001</v>
      </c>
      <c r="N452">
        <v>-3.1883466198333781</v>
      </c>
      <c r="O452">
        <v>4.2108238490977265E-2</v>
      </c>
    </row>
    <row r="453" spans="1:15" x14ac:dyDescent="0.3">
      <c r="A453">
        <v>2017</v>
      </c>
      <c r="B453">
        <v>81</v>
      </c>
      <c r="C453" t="s">
        <v>11</v>
      </c>
      <c r="D453">
        <v>33792</v>
      </c>
      <c r="E453">
        <v>741699</v>
      </c>
      <c r="F453">
        <v>4.5560000000000003E-2</v>
      </c>
      <c r="G453">
        <v>0.95443999999999996</v>
      </c>
      <c r="H453">
        <v>62482.176460000002</v>
      </c>
      <c r="I453">
        <v>2846.69</v>
      </c>
      <c r="J453">
        <v>61058.832479999997</v>
      </c>
      <c r="K453">
        <v>225729.27309999999</v>
      </c>
      <c r="L453">
        <v>3.612698628</v>
      </c>
      <c r="M453">
        <v>0.62482176499999997</v>
      </c>
      <c r="N453">
        <v>-3.0887251404031555</v>
      </c>
      <c r="O453">
        <v>4.6622089947469511E-2</v>
      </c>
    </row>
    <row r="454" spans="1:15" x14ac:dyDescent="0.3">
      <c r="A454">
        <v>2017</v>
      </c>
      <c r="B454">
        <v>82</v>
      </c>
      <c r="C454" t="s">
        <v>11</v>
      </c>
      <c r="D454">
        <v>35949</v>
      </c>
      <c r="E454">
        <v>706475</v>
      </c>
      <c r="F454">
        <v>5.0885E-2</v>
      </c>
      <c r="G454">
        <v>0.94911500000000004</v>
      </c>
      <c r="H454">
        <v>59635.472199999997</v>
      </c>
      <c r="I454">
        <v>3034.55</v>
      </c>
      <c r="J454">
        <v>58118.1967</v>
      </c>
      <c r="K454">
        <v>164670.44070000001</v>
      </c>
      <c r="L454">
        <v>2.7612834209999999</v>
      </c>
      <c r="M454">
        <v>0.59635472199999995</v>
      </c>
      <c r="N454">
        <v>-2.9781870943382422</v>
      </c>
      <c r="O454">
        <v>5.2213423947084413E-2</v>
      </c>
    </row>
    <row r="455" spans="1:15" x14ac:dyDescent="0.3">
      <c r="A455">
        <v>2017</v>
      </c>
      <c r="B455">
        <v>83</v>
      </c>
      <c r="C455" t="s">
        <v>11</v>
      </c>
      <c r="D455">
        <v>36345</v>
      </c>
      <c r="E455">
        <v>626409</v>
      </c>
      <c r="F455">
        <v>5.8021000000000003E-2</v>
      </c>
      <c r="G455">
        <v>0.94197900000000001</v>
      </c>
      <c r="H455">
        <v>56600.919540000003</v>
      </c>
      <c r="I455">
        <v>3284.04</v>
      </c>
      <c r="J455">
        <v>54958.898560000001</v>
      </c>
      <c r="K455">
        <v>106552.24400000001</v>
      </c>
      <c r="L455">
        <v>1.882517896</v>
      </c>
      <c r="M455">
        <v>0.56600919500000002</v>
      </c>
      <c r="N455">
        <v>-2.8469502650013507</v>
      </c>
      <c r="O455">
        <v>5.9754478695491872E-2</v>
      </c>
    </row>
    <row r="456" spans="1:15" x14ac:dyDescent="0.3">
      <c r="A456">
        <v>2017</v>
      </c>
      <c r="B456">
        <v>84</v>
      </c>
      <c r="C456" t="s">
        <v>11</v>
      </c>
      <c r="D456">
        <v>38742</v>
      </c>
      <c r="E456">
        <v>599235</v>
      </c>
      <c r="F456">
        <v>6.4652000000000001E-2</v>
      </c>
      <c r="G456">
        <v>0.93534799999999996</v>
      </c>
      <c r="H456">
        <v>53316.866430000002</v>
      </c>
      <c r="I456">
        <v>3447.04</v>
      </c>
      <c r="J456">
        <v>51593.345410000002</v>
      </c>
      <c r="K456">
        <v>51593.345410000002</v>
      </c>
      <c r="L456">
        <v>0.96767400000000003</v>
      </c>
      <c r="M456">
        <v>0.53316866399999996</v>
      </c>
      <c r="N456">
        <v>-2.7387362384345746</v>
      </c>
      <c r="O456">
        <v>4.4966220354807705E-2</v>
      </c>
    </row>
    <row r="457" spans="1:15" x14ac:dyDescent="0.3">
      <c r="A457">
        <v>2017</v>
      </c>
      <c r="B457">
        <v>20</v>
      </c>
      <c r="C457" t="s">
        <v>12</v>
      </c>
      <c r="D457">
        <v>2633</v>
      </c>
      <c r="E457">
        <v>2187409</v>
      </c>
      <c r="F457">
        <v>1.204E-3</v>
      </c>
      <c r="G457">
        <v>0.99879600000000002</v>
      </c>
      <c r="H457">
        <v>100000</v>
      </c>
      <c r="I457">
        <v>120.4</v>
      </c>
      <c r="J457">
        <v>99939.8</v>
      </c>
      <c r="K457">
        <v>5481504.0290000001</v>
      </c>
      <c r="L457">
        <v>54.815040289999999</v>
      </c>
      <c r="M457">
        <v>1</v>
      </c>
      <c r="N457">
        <v>-6.7221059320955074</v>
      </c>
      <c r="O457">
        <v>1.2047250681192579E-3</v>
      </c>
    </row>
    <row r="458" spans="1:15" x14ac:dyDescent="0.3">
      <c r="A458">
        <v>2017</v>
      </c>
      <c r="B458">
        <v>21</v>
      </c>
      <c r="C458" t="s">
        <v>12</v>
      </c>
      <c r="D458">
        <v>2864</v>
      </c>
      <c r="E458">
        <v>2213975</v>
      </c>
      <c r="F458">
        <v>1.294E-3</v>
      </c>
      <c r="G458">
        <v>0.99870599999999998</v>
      </c>
      <c r="H458">
        <v>99879.629279999994</v>
      </c>
      <c r="I458">
        <v>129.24</v>
      </c>
      <c r="J458">
        <v>99815.007159999994</v>
      </c>
      <c r="K458">
        <v>5381564.2290000003</v>
      </c>
      <c r="L458">
        <v>53.880498629999998</v>
      </c>
      <c r="M458">
        <v>0.99879629299999995</v>
      </c>
      <c r="N458">
        <v>-6.6500170829034282</v>
      </c>
      <c r="O458">
        <v>1.2947950200270794E-3</v>
      </c>
    </row>
    <row r="459" spans="1:15" x14ac:dyDescent="0.3">
      <c r="A459">
        <v>2017</v>
      </c>
      <c r="B459">
        <v>22</v>
      </c>
      <c r="C459" t="s">
        <v>12</v>
      </c>
      <c r="D459">
        <v>3115</v>
      </c>
      <c r="E459">
        <v>2270148</v>
      </c>
      <c r="F459">
        <v>1.372E-3</v>
      </c>
      <c r="G459">
        <v>0.99862799999999996</v>
      </c>
      <c r="H459">
        <v>99750.424899999998</v>
      </c>
      <c r="I459">
        <v>136.86000000000001</v>
      </c>
      <c r="J459">
        <v>99681.996109999993</v>
      </c>
      <c r="K459">
        <v>5281749.2220000001</v>
      </c>
      <c r="L459">
        <v>52.949641339999999</v>
      </c>
      <c r="M459">
        <v>0.99750424900000001</v>
      </c>
      <c r="N459">
        <v>-6.5914857496784434</v>
      </c>
      <c r="O459">
        <v>1.3729661935444057E-3</v>
      </c>
    </row>
    <row r="460" spans="1:15" x14ac:dyDescent="0.3">
      <c r="A460">
        <v>2017</v>
      </c>
      <c r="B460">
        <v>23</v>
      </c>
      <c r="C460" t="s">
        <v>12</v>
      </c>
      <c r="D460">
        <v>3387</v>
      </c>
      <c r="E460">
        <v>2318784</v>
      </c>
      <c r="F460">
        <v>1.4610000000000001E-3</v>
      </c>
      <c r="G460">
        <v>0.99853899999999995</v>
      </c>
      <c r="H460">
        <v>99613.551640000005</v>
      </c>
      <c r="I460">
        <v>145.54</v>
      </c>
      <c r="J460">
        <v>99540.783939999994</v>
      </c>
      <c r="K460">
        <v>5182067.2249999996</v>
      </c>
      <c r="L460">
        <v>52.021709299999998</v>
      </c>
      <c r="M460">
        <v>0.99613551600000005</v>
      </c>
      <c r="N460">
        <v>-6.5286341462135749</v>
      </c>
      <c r="O460">
        <v>1.4621140290102233E-3</v>
      </c>
    </row>
    <row r="461" spans="1:15" x14ac:dyDescent="0.3">
      <c r="A461">
        <v>2017</v>
      </c>
      <c r="B461">
        <v>24</v>
      </c>
      <c r="C461" t="s">
        <v>12</v>
      </c>
      <c r="D461">
        <v>3655</v>
      </c>
      <c r="E461">
        <v>2358826</v>
      </c>
      <c r="F461">
        <v>1.549E-3</v>
      </c>
      <c r="G461">
        <v>0.99845099999999998</v>
      </c>
      <c r="H461">
        <v>99468.048169999995</v>
      </c>
      <c r="I461">
        <v>154.08000000000001</v>
      </c>
      <c r="J461">
        <v>99391.010169999994</v>
      </c>
      <c r="K461">
        <v>5082526.4419999998</v>
      </c>
      <c r="L461">
        <v>51.097076250000001</v>
      </c>
      <c r="M461">
        <v>0.99468048200000003</v>
      </c>
      <c r="N461">
        <v>-6.4701457175474051</v>
      </c>
      <c r="O461">
        <v>1.5502411964618604E-3</v>
      </c>
    </row>
    <row r="462" spans="1:15" x14ac:dyDescent="0.3">
      <c r="A462">
        <v>2017</v>
      </c>
      <c r="B462">
        <v>25</v>
      </c>
      <c r="C462" t="s">
        <v>12</v>
      </c>
      <c r="D462">
        <v>3851</v>
      </c>
      <c r="E462">
        <v>2413370</v>
      </c>
      <c r="F462">
        <v>1.596E-3</v>
      </c>
      <c r="G462">
        <v>0.99840399999999996</v>
      </c>
      <c r="H462">
        <v>99313.922470000005</v>
      </c>
      <c r="I462">
        <v>158.51</v>
      </c>
      <c r="J462">
        <v>99234.669959999999</v>
      </c>
      <c r="K462">
        <v>4983135.4309999999</v>
      </c>
      <c r="L462">
        <v>50.17559782</v>
      </c>
      <c r="M462">
        <v>0.99313922499999996</v>
      </c>
      <c r="N462">
        <v>-6.44025477995452</v>
      </c>
      <c r="O462">
        <v>1.597324561995785E-3</v>
      </c>
    </row>
    <row r="463" spans="1:15" x14ac:dyDescent="0.3">
      <c r="A463">
        <v>2017</v>
      </c>
      <c r="B463">
        <v>26</v>
      </c>
      <c r="C463" t="s">
        <v>12</v>
      </c>
      <c r="D463">
        <v>4102</v>
      </c>
      <c r="E463">
        <v>2443974</v>
      </c>
      <c r="F463">
        <v>1.678E-3</v>
      </c>
      <c r="G463">
        <v>0.99832200000000004</v>
      </c>
      <c r="H463">
        <v>99155.447839999993</v>
      </c>
      <c r="I463">
        <v>166.38</v>
      </c>
      <c r="J463">
        <v>99072.256420000005</v>
      </c>
      <c r="K463">
        <v>4883900.7609999999</v>
      </c>
      <c r="L463">
        <v>49.254991709999999</v>
      </c>
      <c r="M463">
        <v>0.99155447799999996</v>
      </c>
      <c r="N463">
        <v>-6.3901526709371224</v>
      </c>
      <c r="O463">
        <v>1.6793806911548667E-3</v>
      </c>
    </row>
    <row r="464" spans="1:15" x14ac:dyDescent="0.3">
      <c r="A464">
        <v>2017</v>
      </c>
      <c r="B464">
        <v>27</v>
      </c>
      <c r="C464" t="s">
        <v>12</v>
      </c>
      <c r="D464">
        <v>4147</v>
      </c>
      <c r="E464">
        <v>2432679</v>
      </c>
      <c r="F464">
        <v>1.7049999999999999E-3</v>
      </c>
      <c r="G464">
        <v>0.99829500000000004</v>
      </c>
      <c r="H464">
        <v>98989.023960000006</v>
      </c>
      <c r="I464">
        <v>168.78</v>
      </c>
      <c r="J464">
        <v>98904.635819999996</v>
      </c>
      <c r="K464">
        <v>4784828.5049999999</v>
      </c>
      <c r="L464">
        <v>48.336960140000002</v>
      </c>
      <c r="M464">
        <v>0.98989024000000003</v>
      </c>
      <c r="N464">
        <v>-6.3741901682466571</v>
      </c>
      <c r="O464">
        <v>1.7064920536274662E-3</v>
      </c>
    </row>
    <row r="465" spans="1:15" x14ac:dyDescent="0.3">
      <c r="A465">
        <v>2017</v>
      </c>
      <c r="B465">
        <v>28</v>
      </c>
      <c r="C465" t="s">
        <v>12</v>
      </c>
      <c r="D465">
        <v>4170</v>
      </c>
      <c r="E465">
        <v>2335023</v>
      </c>
      <c r="F465">
        <v>1.786E-3</v>
      </c>
      <c r="G465">
        <v>0.99821400000000005</v>
      </c>
      <c r="H465">
        <v>98820.276870000002</v>
      </c>
      <c r="I465">
        <v>176.49</v>
      </c>
      <c r="J465">
        <v>98732.030360000004</v>
      </c>
      <c r="K465">
        <v>4685923.8689999999</v>
      </c>
      <c r="L465">
        <v>47.418647440000001</v>
      </c>
      <c r="M465">
        <v>0.98820276900000004</v>
      </c>
      <c r="N465">
        <v>-6.3277767965278295</v>
      </c>
      <c r="O465">
        <v>1.7875656569192966E-3</v>
      </c>
    </row>
    <row r="466" spans="1:15" x14ac:dyDescent="0.3">
      <c r="A466">
        <v>2017</v>
      </c>
      <c r="B466">
        <v>29</v>
      </c>
      <c r="C466" t="s">
        <v>12</v>
      </c>
      <c r="D466">
        <v>4115</v>
      </c>
      <c r="E466">
        <v>2277184</v>
      </c>
      <c r="F466">
        <v>1.807E-3</v>
      </c>
      <c r="G466">
        <v>0.998193</v>
      </c>
      <c r="H466">
        <v>98643.798720000006</v>
      </c>
      <c r="I466">
        <v>178.25</v>
      </c>
      <c r="J466">
        <v>98554.674050000001</v>
      </c>
      <c r="K466">
        <v>4587191.8389999997</v>
      </c>
      <c r="L466">
        <v>46.502587069999997</v>
      </c>
      <c r="M466">
        <v>0.98643798699999996</v>
      </c>
      <c r="N466">
        <v>-6.3160872673720458</v>
      </c>
      <c r="O466">
        <v>1.8086408052715246E-3</v>
      </c>
    </row>
    <row r="467" spans="1:15" x14ac:dyDescent="0.3">
      <c r="A467">
        <v>2017</v>
      </c>
      <c r="B467">
        <v>30</v>
      </c>
      <c r="C467" t="s">
        <v>12</v>
      </c>
      <c r="D467">
        <v>4033</v>
      </c>
      <c r="E467">
        <v>2236352</v>
      </c>
      <c r="F467">
        <v>1.8029999999999999E-3</v>
      </c>
      <c r="G467">
        <v>0.998197</v>
      </c>
      <c r="H467">
        <v>98465.543810000003</v>
      </c>
      <c r="I467">
        <v>177.53</v>
      </c>
      <c r="J467">
        <v>98376.777119999999</v>
      </c>
      <c r="K467">
        <v>4488637.165</v>
      </c>
      <c r="L467">
        <v>45.585866799999998</v>
      </c>
      <c r="M467">
        <v>0.98465543799999999</v>
      </c>
      <c r="N467">
        <v>-6.318303334760957</v>
      </c>
      <c r="O467">
        <v>1.804592905550666E-3</v>
      </c>
    </row>
    <row r="468" spans="1:15" x14ac:dyDescent="0.3">
      <c r="A468">
        <v>2017</v>
      </c>
      <c r="B468">
        <v>31</v>
      </c>
      <c r="C468" t="s">
        <v>12</v>
      </c>
      <c r="D468">
        <v>4244</v>
      </c>
      <c r="E468">
        <v>2241759</v>
      </c>
      <c r="F468">
        <v>1.8929999999999999E-3</v>
      </c>
      <c r="G468">
        <v>0.99810699999999997</v>
      </c>
      <c r="H468">
        <v>98287.972680000006</v>
      </c>
      <c r="I468">
        <v>186.06</v>
      </c>
      <c r="J468">
        <v>98194.943109999993</v>
      </c>
      <c r="K468">
        <v>4390260.3880000003</v>
      </c>
      <c r="L468">
        <v>44.667320609999997</v>
      </c>
      <c r="M468">
        <v>0.98287972700000004</v>
      </c>
      <c r="N468">
        <v>-6.2695924067549509</v>
      </c>
      <c r="O468">
        <v>1.8948024067258352E-3</v>
      </c>
    </row>
    <row r="469" spans="1:15" x14ac:dyDescent="0.3">
      <c r="A469">
        <v>2017</v>
      </c>
      <c r="B469">
        <v>32</v>
      </c>
      <c r="C469" t="s">
        <v>12</v>
      </c>
      <c r="D469">
        <v>4432</v>
      </c>
      <c r="E469">
        <v>2248948</v>
      </c>
      <c r="F469">
        <v>1.9710000000000001E-3</v>
      </c>
      <c r="G469">
        <v>0.99802900000000005</v>
      </c>
      <c r="H469">
        <v>98101.898199999996</v>
      </c>
      <c r="I469">
        <v>193.36</v>
      </c>
      <c r="J469">
        <v>98005.218779999996</v>
      </c>
      <c r="K469">
        <v>4292065.4450000003</v>
      </c>
      <c r="L469">
        <v>43.751094760000001</v>
      </c>
      <c r="M469">
        <v>0.98101898200000004</v>
      </c>
      <c r="N469">
        <v>-6.2292142508115536</v>
      </c>
      <c r="O469">
        <v>1.9729558620031383E-3</v>
      </c>
    </row>
    <row r="470" spans="1:15" x14ac:dyDescent="0.3">
      <c r="A470">
        <v>2017</v>
      </c>
      <c r="B470">
        <v>33</v>
      </c>
      <c r="C470" t="s">
        <v>12</v>
      </c>
      <c r="D470">
        <v>4453</v>
      </c>
      <c r="E470">
        <v>2168114</v>
      </c>
      <c r="F470">
        <v>2.0539999999999998E-3</v>
      </c>
      <c r="G470">
        <v>0.997946</v>
      </c>
      <c r="H470">
        <v>97908.568859999999</v>
      </c>
      <c r="I470">
        <v>201.1</v>
      </c>
      <c r="J470">
        <v>97808.016759999999</v>
      </c>
      <c r="K470">
        <v>4194060.2259999998</v>
      </c>
      <c r="L470">
        <v>42.836498120000002</v>
      </c>
      <c r="M470">
        <v>0.97908568900000004</v>
      </c>
      <c r="N470">
        <v>-6.1879661674757704</v>
      </c>
      <c r="O470">
        <v>2.0560685355244706E-3</v>
      </c>
    </row>
    <row r="471" spans="1:15" x14ac:dyDescent="0.3">
      <c r="A471">
        <v>2017</v>
      </c>
      <c r="B471">
        <v>34</v>
      </c>
      <c r="C471" t="s">
        <v>12</v>
      </c>
      <c r="D471">
        <v>4602</v>
      </c>
      <c r="E471">
        <v>2193958</v>
      </c>
      <c r="F471">
        <v>2.098E-3</v>
      </c>
      <c r="G471">
        <v>0.99790199999999996</v>
      </c>
      <c r="H471">
        <v>97707.478489999994</v>
      </c>
      <c r="I471">
        <v>204.99</v>
      </c>
      <c r="J471">
        <v>97604.983349999995</v>
      </c>
      <c r="K471">
        <v>4096252.2089999998</v>
      </c>
      <c r="L471">
        <v>41.923630330000002</v>
      </c>
      <c r="M471">
        <v>0.977074785</v>
      </c>
      <c r="N471">
        <v>-6.166770769008032</v>
      </c>
      <c r="O471">
        <v>2.1001997006067129E-3</v>
      </c>
    </row>
    <row r="472" spans="1:15" x14ac:dyDescent="0.3">
      <c r="A472">
        <v>2017</v>
      </c>
      <c r="B472">
        <v>35</v>
      </c>
      <c r="C472" t="s">
        <v>12</v>
      </c>
      <c r="D472">
        <v>4661</v>
      </c>
      <c r="E472">
        <v>2185895</v>
      </c>
      <c r="F472">
        <v>2.1320000000000002E-3</v>
      </c>
      <c r="G472">
        <v>0.99786799999999998</v>
      </c>
      <c r="H472">
        <v>97502.529339999994</v>
      </c>
      <c r="I472">
        <v>207.88</v>
      </c>
      <c r="J472">
        <v>97398.591639999999</v>
      </c>
      <c r="K472">
        <v>3998647.2259999998</v>
      </c>
      <c r="L472">
        <v>41.010702520000002</v>
      </c>
      <c r="M472">
        <v>0.97502529299999996</v>
      </c>
      <c r="N472">
        <v>-6.1506947726785386</v>
      </c>
      <c r="O472">
        <v>2.1343227707081363E-3</v>
      </c>
    </row>
    <row r="473" spans="1:15" x14ac:dyDescent="0.3">
      <c r="A473">
        <v>2017</v>
      </c>
      <c r="B473">
        <v>36</v>
      </c>
      <c r="C473" t="s">
        <v>12</v>
      </c>
      <c r="D473">
        <v>4809</v>
      </c>
      <c r="E473">
        <v>2156347</v>
      </c>
      <c r="F473">
        <v>2.2300000000000002E-3</v>
      </c>
      <c r="G473">
        <v>0.99777000000000005</v>
      </c>
      <c r="H473">
        <v>97294.623980000004</v>
      </c>
      <c r="I473">
        <v>216.97</v>
      </c>
      <c r="J473">
        <v>97186.140469999998</v>
      </c>
      <c r="K473">
        <v>3901248.6340000001</v>
      </c>
      <c r="L473">
        <v>40.097268219999997</v>
      </c>
      <c r="M473">
        <v>0.97294623999999996</v>
      </c>
      <c r="N473">
        <v>-6.1057536935101098</v>
      </c>
      <c r="O473">
        <v>2.2325201554000943E-3</v>
      </c>
    </row>
    <row r="474" spans="1:15" x14ac:dyDescent="0.3">
      <c r="A474">
        <v>2017</v>
      </c>
      <c r="B474">
        <v>37</v>
      </c>
      <c r="C474" t="s">
        <v>12</v>
      </c>
      <c r="D474">
        <v>4920</v>
      </c>
      <c r="E474">
        <v>2204181</v>
      </c>
      <c r="F474">
        <v>2.232E-3</v>
      </c>
      <c r="G474">
        <v>0.99776799999999999</v>
      </c>
      <c r="H474">
        <v>97077.641350000005</v>
      </c>
      <c r="I474">
        <v>216.68</v>
      </c>
      <c r="J474">
        <v>96969.3027</v>
      </c>
      <c r="K474">
        <v>3804062.4939999999</v>
      </c>
      <c r="L474">
        <v>39.185773779999998</v>
      </c>
      <c r="M474">
        <v>0.97077641400000003</v>
      </c>
      <c r="N474">
        <v>-6.1048572344630729</v>
      </c>
      <c r="O474">
        <v>2.2345217213125134E-3</v>
      </c>
    </row>
    <row r="475" spans="1:15" x14ac:dyDescent="0.3">
      <c r="A475">
        <v>2017</v>
      </c>
      <c r="B475">
        <v>38</v>
      </c>
      <c r="C475" t="s">
        <v>12</v>
      </c>
      <c r="D475">
        <v>4831</v>
      </c>
      <c r="E475">
        <v>2056619</v>
      </c>
      <c r="F475">
        <v>2.349E-3</v>
      </c>
      <c r="G475">
        <v>0.99765099999999995</v>
      </c>
      <c r="H475">
        <v>96860.952250000002</v>
      </c>
      <c r="I475">
        <v>227.53</v>
      </c>
      <c r="J475">
        <v>96747.189060000004</v>
      </c>
      <c r="K475">
        <v>3707093.1910000001</v>
      </c>
      <c r="L475">
        <v>38.272318249999998</v>
      </c>
      <c r="M475">
        <v>0.96860952300000003</v>
      </c>
      <c r="N475">
        <v>-6.0537655733053617</v>
      </c>
      <c r="O475">
        <v>2.3517995955905551E-3</v>
      </c>
    </row>
    <row r="476" spans="1:15" x14ac:dyDescent="0.3">
      <c r="A476">
        <v>2017</v>
      </c>
      <c r="B476">
        <v>39</v>
      </c>
      <c r="C476" t="s">
        <v>12</v>
      </c>
      <c r="D476">
        <v>4884</v>
      </c>
      <c r="E476">
        <v>2012943</v>
      </c>
      <c r="F476">
        <v>2.4260000000000002E-3</v>
      </c>
      <c r="G476">
        <v>0.99757399999999996</v>
      </c>
      <c r="H476">
        <v>96633.425780000005</v>
      </c>
      <c r="I476">
        <v>234.43</v>
      </c>
      <c r="J476">
        <v>96516.209430000003</v>
      </c>
      <c r="K476">
        <v>3610346.0019999999</v>
      </c>
      <c r="L476">
        <v>37.361254379999998</v>
      </c>
      <c r="M476">
        <v>0.96633425799999995</v>
      </c>
      <c r="N476">
        <v>-6.0215114684602788</v>
      </c>
      <c r="O476">
        <v>2.4289187936504587E-3</v>
      </c>
    </row>
    <row r="477" spans="1:15" x14ac:dyDescent="0.3">
      <c r="A477">
        <v>2017</v>
      </c>
      <c r="B477">
        <v>40</v>
      </c>
      <c r="C477" t="s">
        <v>12</v>
      </c>
      <c r="D477">
        <v>5074</v>
      </c>
      <c r="E477">
        <v>1985267</v>
      </c>
      <c r="F477">
        <v>2.5560000000000001E-3</v>
      </c>
      <c r="G477">
        <v>0.997444</v>
      </c>
      <c r="H477">
        <v>96398.96428</v>
      </c>
      <c r="I477">
        <v>246.4</v>
      </c>
      <c r="J477">
        <v>96275.766399999993</v>
      </c>
      <c r="K477">
        <v>3513829.7919999999</v>
      </c>
      <c r="L477">
        <v>36.450908149999997</v>
      </c>
      <c r="M477">
        <v>0.96398964300000001</v>
      </c>
      <c r="N477">
        <v>-5.9693117424668483</v>
      </c>
      <c r="O477">
        <v>2.5593146430595306E-3</v>
      </c>
    </row>
    <row r="478" spans="1:15" x14ac:dyDescent="0.3">
      <c r="A478">
        <v>2017</v>
      </c>
      <c r="B478">
        <v>41</v>
      </c>
      <c r="C478" t="s">
        <v>12</v>
      </c>
      <c r="D478">
        <v>5045</v>
      </c>
      <c r="E478">
        <v>1927055</v>
      </c>
      <c r="F478">
        <v>2.6180000000000001E-3</v>
      </c>
      <c r="G478">
        <v>0.99738199999999999</v>
      </c>
      <c r="H478">
        <v>96152.585149999999</v>
      </c>
      <c r="I478">
        <v>251.73</v>
      </c>
      <c r="J478">
        <v>96026.721420000002</v>
      </c>
      <c r="K478">
        <v>3417554.0260000001</v>
      </c>
      <c r="L478">
        <v>35.543028</v>
      </c>
      <c r="M478">
        <v>0.96152585199999996</v>
      </c>
      <c r="N478">
        <v>-5.9453446114944288</v>
      </c>
      <c r="O478">
        <v>2.6214578017924994E-3</v>
      </c>
    </row>
    <row r="479" spans="1:15" x14ac:dyDescent="0.3">
      <c r="A479">
        <v>2017</v>
      </c>
      <c r="B479">
        <v>42</v>
      </c>
      <c r="C479" t="s">
        <v>12</v>
      </c>
      <c r="D479">
        <v>5236</v>
      </c>
      <c r="E479">
        <v>1987507</v>
      </c>
      <c r="F479">
        <v>2.6340000000000001E-3</v>
      </c>
      <c r="G479">
        <v>0.99736599999999997</v>
      </c>
      <c r="H479">
        <v>95900.859179999999</v>
      </c>
      <c r="I479">
        <v>252.6</v>
      </c>
      <c r="J479">
        <v>95774.557750000007</v>
      </c>
      <c r="K479">
        <v>3321527.304</v>
      </c>
      <c r="L479">
        <v>34.635010919999999</v>
      </c>
      <c r="M479">
        <v>0.95900859199999999</v>
      </c>
      <c r="N479">
        <v>-5.9392516756610476</v>
      </c>
      <c r="O479">
        <v>2.6374442610683129E-3</v>
      </c>
    </row>
    <row r="480" spans="1:15" x14ac:dyDescent="0.3">
      <c r="A480">
        <v>2017</v>
      </c>
      <c r="B480">
        <v>43</v>
      </c>
      <c r="C480" t="s">
        <v>12</v>
      </c>
      <c r="D480">
        <v>5464</v>
      </c>
      <c r="E480">
        <v>1916102</v>
      </c>
      <c r="F480">
        <v>2.8519999999999999E-3</v>
      </c>
      <c r="G480">
        <v>0.99714800000000003</v>
      </c>
      <c r="H480">
        <v>95648.212570000003</v>
      </c>
      <c r="I480">
        <v>272.79000000000002</v>
      </c>
      <c r="J480">
        <v>95511.818220000001</v>
      </c>
      <c r="K480">
        <v>3225752.747</v>
      </c>
      <c r="L480">
        <v>33.725175409999999</v>
      </c>
      <c r="M480">
        <v>0.95648212600000004</v>
      </c>
      <c r="N480">
        <v>-5.8597347764300878</v>
      </c>
      <c r="O480">
        <v>2.8560858074504745E-3</v>
      </c>
    </row>
    <row r="481" spans="1:15" x14ac:dyDescent="0.3">
      <c r="A481">
        <v>2017</v>
      </c>
      <c r="B481">
        <v>44</v>
      </c>
      <c r="C481" t="s">
        <v>12</v>
      </c>
      <c r="D481">
        <v>5868</v>
      </c>
      <c r="E481">
        <v>1937184</v>
      </c>
      <c r="F481">
        <v>3.029E-3</v>
      </c>
      <c r="G481">
        <v>0.99697100000000005</v>
      </c>
      <c r="H481">
        <v>95375.459959999993</v>
      </c>
      <c r="I481">
        <v>288.89</v>
      </c>
      <c r="J481">
        <v>95231.013829999996</v>
      </c>
      <c r="K481">
        <v>3130240.929</v>
      </c>
      <c r="L481">
        <v>32.820192220000003</v>
      </c>
      <c r="M481">
        <v>0.95375460000000001</v>
      </c>
      <c r="N481">
        <v>-5.7995227469370372</v>
      </c>
      <c r="O481">
        <v>3.0335707721623633E-3</v>
      </c>
    </row>
    <row r="482" spans="1:15" x14ac:dyDescent="0.3">
      <c r="A482">
        <v>2017</v>
      </c>
      <c r="B482">
        <v>45</v>
      </c>
      <c r="C482" t="s">
        <v>12</v>
      </c>
      <c r="D482">
        <v>6870</v>
      </c>
      <c r="E482">
        <v>2025025</v>
      </c>
      <c r="F482">
        <v>3.3930000000000002E-3</v>
      </c>
      <c r="G482">
        <v>0.99660700000000002</v>
      </c>
      <c r="H482">
        <v>95086.554409999997</v>
      </c>
      <c r="I482">
        <v>322.63</v>
      </c>
      <c r="J482">
        <v>94925.24007</v>
      </c>
      <c r="K482">
        <v>3035009.915</v>
      </c>
      <c r="L482">
        <v>31.918391969999998</v>
      </c>
      <c r="M482">
        <v>0.95086554400000001</v>
      </c>
      <c r="N482">
        <v>-5.6860407931800436</v>
      </c>
      <c r="O482">
        <v>3.398779156778141E-3</v>
      </c>
    </row>
    <row r="483" spans="1:15" x14ac:dyDescent="0.3">
      <c r="A483">
        <v>2017</v>
      </c>
      <c r="B483">
        <v>46</v>
      </c>
      <c r="C483" t="s">
        <v>12</v>
      </c>
      <c r="D483">
        <v>7680</v>
      </c>
      <c r="E483">
        <v>2136737</v>
      </c>
      <c r="F483">
        <v>3.594E-3</v>
      </c>
      <c r="G483">
        <v>0.99640600000000001</v>
      </c>
      <c r="H483">
        <v>94763.96845</v>
      </c>
      <c r="I483">
        <v>340.58</v>
      </c>
      <c r="J483">
        <v>94593.677599999995</v>
      </c>
      <c r="K483">
        <v>2940084.6749999998</v>
      </c>
      <c r="L483">
        <v>31.02534352</v>
      </c>
      <c r="M483">
        <v>0.94763968499999995</v>
      </c>
      <c r="N483">
        <v>-5.6284894906207699</v>
      </c>
      <c r="O483">
        <v>3.6004525240668989E-3</v>
      </c>
    </row>
    <row r="484" spans="1:15" x14ac:dyDescent="0.3">
      <c r="A484">
        <v>2017</v>
      </c>
      <c r="B484">
        <v>47</v>
      </c>
      <c r="C484" t="s">
        <v>12</v>
      </c>
      <c r="D484">
        <v>8282</v>
      </c>
      <c r="E484">
        <v>2169762</v>
      </c>
      <c r="F484">
        <v>3.8170000000000001E-3</v>
      </c>
      <c r="G484">
        <v>0.99618300000000004</v>
      </c>
      <c r="H484">
        <v>94423.361600000004</v>
      </c>
      <c r="I484">
        <v>360.41</v>
      </c>
      <c r="J484">
        <v>94243.154609999998</v>
      </c>
      <c r="K484">
        <v>2845490.997</v>
      </c>
      <c r="L484">
        <v>30.13545534</v>
      </c>
      <c r="M484">
        <v>0.944233616</v>
      </c>
      <c r="N484">
        <v>-5.5682905052190446</v>
      </c>
      <c r="O484">
        <v>3.8242565523317071E-3</v>
      </c>
    </row>
    <row r="485" spans="1:15" x14ac:dyDescent="0.3">
      <c r="A485">
        <v>2017</v>
      </c>
      <c r="B485">
        <v>48</v>
      </c>
      <c r="C485" t="s">
        <v>12</v>
      </c>
      <c r="D485">
        <v>8450</v>
      </c>
      <c r="E485">
        <v>2050739</v>
      </c>
      <c r="F485">
        <v>4.1200000000000004E-3</v>
      </c>
      <c r="G485">
        <v>0.99587999999999999</v>
      </c>
      <c r="H485">
        <v>94062.946819999997</v>
      </c>
      <c r="I485">
        <v>387.54</v>
      </c>
      <c r="J485">
        <v>93869.177150000003</v>
      </c>
      <c r="K485">
        <v>2751247.8420000002</v>
      </c>
      <c r="L485">
        <v>29.249007559999999</v>
      </c>
      <c r="M485">
        <v>0.94062946800000002</v>
      </c>
      <c r="N485">
        <v>-5.491902115620702</v>
      </c>
      <c r="O485">
        <v>4.1285127048300051E-3</v>
      </c>
    </row>
    <row r="486" spans="1:15" x14ac:dyDescent="0.3">
      <c r="A486">
        <v>2017</v>
      </c>
      <c r="B486">
        <v>49</v>
      </c>
      <c r="C486" t="s">
        <v>12</v>
      </c>
      <c r="D486">
        <v>8941</v>
      </c>
      <c r="E486">
        <v>2003912</v>
      </c>
      <c r="F486">
        <v>4.4619999999999998E-3</v>
      </c>
      <c r="G486">
        <v>0.99553800000000003</v>
      </c>
      <c r="H486">
        <v>93675.363660000003</v>
      </c>
      <c r="I486">
        <v>417.98</v>
      </c>
      <c r="J486">
        <v>93466.373919999998</v>
      </c>
      <c r="K486">
        <v>2657378.665</v>
      </c>
      <c r="L486">
        <v>28.367956750000001</v>
      </c>
      <c r="M486">
        <v>0.93675363700000003</v>
      </c>
      <c r="N486">
        <v>-5.4121581829717966</v>
      </c>
      <c r="O486">
        <v>4.4719821133871003E-3</v>
      </c>
    </row>
    <row r="487" spans="1:15" x14ac:dyDescent="0.3">
      <c r="A487">
        <v>2017</v>
      </c>
      <c r="B487">
        <v>50</v>
      </c>
      <c r="C487" t="s">
        <v>12</v>
      </c>
      <c r="D487">
        <v>9935</v>
      </c>
      <c r="E487">
        <v>1997485</v>
      </c>
      <c r="F487">
        <v>4.9740000000000001E-3</v>
      </c>
      <c r="G487">
        <v>0.99502599999999997</v>
      </c>
      <c r="H487">
        <v>93257.405480000001</v>
      </c>
      <c r="I487">
        <v>463.86</v>
      </c>
      <c r="J487">
        <v>93025.474310000005</v>
      </c>
      <c r="K487">
        <v>2563912.2910000002</v>
      </c>
      <c r="L487">
        <v>27.492854619999999</v>
      </c>
      <c r="M487">
        <v>0.93257405500000001</v>
      </c>
      <c r="N487">
        <v>-5.303530933600924</v>
      </c>
      <c r="O487">
        <v>4.9863754670062144E-3</v>
      </c>
    </row>
    <row r="488" spans="1:15" x14ac:dyDescent="0.3">
      <c r="A488">
        <v>2017</v>
      </c>
      <c r="B488">
        <v>51</v>
      </c>
      <c r="C488" t="s">
        <v>12</v>
      </c>
      <c r="D488">
        <v>11297</v>
      </c>
      <c r="E488">
        <v>2032379</v>
      </c>
      <c r="F488">
        <v>5.5589999999999997E-3</v>
      </c>
      <c r="G488">
        <v>0.99444100000000002</v>
      </c>
      <c r="H488">
        <v>92793.566040000005</v>
      </c>
      <c r="I488">
        <v>515.84</v>
      </c>
      <c r="J488">
        <v>92535.64632</v>
      </c>
      <c r="K488">
        <v>2470886.8169999998</v>
      </c>
      <c r="L488">
        <v>26.627781670000001</v>
      </c>
      <c r="M488">
        <v>0.92793566000000005</v>
      </c>
      <c r="N488">
        <v>-5.1923370430108049</v>
      </c>
      <c r="O488">
        <v>5.5744990597384131E-3</v>
      </c>
    </row>
    <row r="489" spans="1:15" x14ac:dyDescent="0.3">
      <c r="A489">
        <v>2017</v>
      </c>
      <c r="B489">
        <v>52</v>
      </c>
      <c r="C489" t="s">
        <v>12</v>
      </c>
      <c r="D489">
        <v>12566</v>
      </c>
      <c r="E489">
        <v>2148966</v>
      </c>
      <c r="F489">
        <v>5.8469999999999998E-3</v>
      </c>
      <c r="G489">
        <v>0.99415299999999995</v>
      </c>
      <c r="H489">
        <v>92277.772020000004</v>
      </c>
      <c r="I489">
        <v>539.54999999999995</v>
      </c>
      <c r="J489">
        <v>92007.997950000004</v>
      </c>
      <c r="K489">
        <v>2378351.1710000001</v>
      </c>
      <c r="L489">
        <v>25.773825250000002</v>
      </c>
      <c r="M489">
        <v>0.92277772000000002</v>
      </c>
      <c r="N489">
        <v>-5.1418265697886039</v>
      </c>
      <c r="O489">
        <v>5.8641654787418077E-3</v>
      </c>
    </row>
    <row r="490" spans="1:15" x14ac:dyDescent="0.3">
      <c r="A490">
        <v>2017</v>
      </c>
      <c r="B490">
        <v>53</v>
      </c>
      <c r="C490" t="s">
        <v>12</v>
      </c>
      <c r="D490">
        <v>14244</v>
      </c>
      <c r="E490">
        <v>2175762</v>
      </c>
      <c r="F490">
        <v>6.5469999999999999E-3</v>
      </c>
      <c r="G490">
        <v>0.99345300000000003</v>
      </c>
      <c r="H490">
        <v>91738.181129999997</v>
      </c>
      <c r="I490">
        <v>600.61</v>
      </c>
      <c r="J490">
        <v>91437.876189999995</v>
      </c>
      <c r="K490">
        <v>2286343.173</v>
      </c>
      <c r="L490">
        <v>24.922482049999999</v>
      </c>
      <c r="M490">
        <v>0.91738181100000005</v>
      </c>
      <c r="N490">
        <v>-5.0287483495231831</v>
      </c>
      <c r="O490">
        <v>6.568502311483944E-3</v>
      </c>
    </row>
    <row r="491" spans="1:15" x14ac:dyDescent="0.3">
      <c r="A491">
        <v>2017</v>
      </c>
      <c r="B491">
        <v>54</v>
      </c>
      <c r="C491" t="s">
        <v>12</v>
      </c>
      <c r="D491">
        <v>15539</v>
      </c>
      <c r="E491">
        <v>2165590</v>
      </c>
      <c r="F491">
        <v>7.175E-3</v>
      </c>
      <c r="G491">
        <v>0.99282499999999996</v>
      </c>
      <c r="H491">
        <v>91137.601360000001</v>
      </c>
      <c r="I491">
        <v>653.91</v>
      </c>
      <c r="J491">
        <v>90810.645220000006</v>
      </c>
      <c r="K491">
        <v>2194905.2969999998</v>
      </c>
      <c r="L491">
        <v>24.083421810000001</v>
      </c>
      <c r="M491">
        <v>0.91137601400000001</v>
      </c>
      <c r="N491">
        <v>-4.9371525173364521</v>
      </c>
      <c r="O491">
        <v>7.2008092616786465E-3</v>
      </c>
    </row>
    <row r="492" spans="1:15" x14ac:dyDescent="0.3">
      <c r="A492">
        <v>2017</v>
      </c>
      <c r="B492">
        <v>55</v>
      </c>
      <c r="C492" t="s">
        <v>12</v>
      </c>
      <c r="D492">
        <v>17001</v>
      </c>
      <c r="E492">
        <v>2154452</v>
      </c>
      <c r="F492">
        <v>7.8910000000000004E-3</v>
      </c>
      <c r="G492">
        <v>0.99210900000000002</v>
      </c>
      <c r="H492">
        <v>90483.651540000006</v>
      </c>
      <c r="I492">
        <v>714.01</v>
      </c>
      <c r="J492">
        <v>90126.648289999997</v>
      </c>
      <c r="K492">
        <v>2104094.6510000001</v>
      </c>
      <c r="L492">
        <v>23.25386537</v>
      </c>
      <c r="M492">
        <v>0.90483651499999995</v>
      </c>
      <c r="N492">
        <v>-4.842032409443239</v>
      </c>
      <c r="O492">
        <v>7.9222965681037885E-3</v>
      </c>
    </row>
    <row r="493" spans="1:15" x14ac:dyDescent="0.3">
      <c r="A493">
        <v>2017</v>
      </c>
      <c r="B493">
        <v>56</v>
      </c>
      <c r="C493" t="s">
        <v>12</v>
      </c>
      <c r="D493">
        <v>18374</v>
      </c>
      <c r="E493">
        <v>2171286</v>
      </c>
      <c r="F493">
        <v>8.4620000000000008E-3</v>
      </c>
      <c r="G493">
        <v>0.99153800000000003</v>
      </c>
      <c r="H493">
        <v>89769.635840000003</v>
      </c>
      <c r="I493">
        <v>759.63</v>
      </c>
      <c r="J493">
        <v>89389.820510000005</v>
      </c>
      <c r="K493">
        <v>2013968.003</v>
      </c>
      <c r="L493">
        <v>22.434846530000002</v>
      </c>
      <c r="M493">
        <v>0.89769635800000003</v>
      </c>
      <c r="N493">
        <v>-4.7721697266842611</v>
      </c>
      <c r="O493">
        <v>8.4979486162299282E-3</v>
      </c>
    </row>
    <row r="494" spans="1:15" x14ac:dyDescent="0.3">
      <c r="A494">
        <v>2017</v>
      </c>
      <c r="B494">
        <v>57</v>
      </c>
      <c r="C494" t="s">
        <v>12</v>
      </c>
      <c r="D494">
        <v>19776</v>
      </c>
      <c r="E494">
        <v>2190232</v>
      </c>
      <c r="F494">
        <v>9.0290000000000006E-3</v>
      </c>
      <c r="G494">
        <v>0.99097100000000005</v>
      </c>
      <c r="H494">
        <v>89009.981289999996</v>
      </c>
      <c r="I494">
        <v>803.67</v>
      </c>
      <c r="J494">
        <v>88608.145730000004</v>
      </c>
      <c r="K494">
        <v>1924578.183</v>
      </c>
      <c r="L494">
        <v>21.622049059999998</v>
      </c>
      <c r="M494">
        <v>0.89009981299999996</v>
      </c>
      <c r="N494">
        <v>-4.707313659656795</v>
      </c>
      <c r="O494">
        <v>9.0699344428875148E-3</v>
      </c>
    </row>
    <row r="495" spans="1:15" x14ac:dyDescent="0.3">
      <c r="A495">
        <v>2017</v>
      </c>
      <c r="B495">
        <v>58</v>
      </c>
      <c r="C495" t="s">
        <v>12</v>
      </c>
      <c r="D495">
        <v>20854</v>
      </c>
      <c r="E495">
        <v>2102988</v>
      </c>
      <c r="F495">
        <v>9.9159999999999995E-3</v>
      </c>
      <c r="G495">
        <v>0.99008399999999996</v>
      </c>
      <c r="H495">
        <v>88206.294099999999</v>
      </c>
      <c r="I495">
        <v>874.65</v>
      </c>
      <c r="J495">
        <v>87768.967290000001</v>
      </c>
      <c r="K495">
        <v>1835970.037</v>
      </c>
      <c r="L495">
        <v>20.814501450000002</v>
      </c>
      <c r="M495">
        <v>0.88206294100000004</v>
      </c>
      <c r="N495">
        <v>-4.6136056648091932</v>
      </c>
      <c r="O495">
        <v>9.9653691742804234E-3</v>
      </c>
    </row>
    <row r="496" spans="1:15" x14ac:dyDescent="0.3">
      <c r="A496">
        <v>2017</v>
      </c>
      <c r="B496">
        <v>59</v>
      </c>
      <c r="C496" t="s">
        <v>12</v>
      </c>
      <c r="D496">
        <v>22382</v>
      </c>
      <c r="E496">
        <v>2081562</v>
      </c>
      <c r="F496">
        <v>1.0753E-2</v>
      </c>
      <c r="G496">
        <v>0.98924699999999999</v>
      </c>
      <c r="H496">
        <v>87331.60815</v>
      </c>
      <c r="I496">
        <v>939.08</v>
      </c>
      <c r="J496">
        <v>86862.069759999998</v>
      </c>
      <c r="K496">
        <v>1748201.07</v>
      </c>
      <c r="L496">
        <v>20.017964930000002</v>
      </c>
      <c r="M496">
        <v>0.87331608199999999</v>
      </c>
      <c r="N496">
        <v>-4.5325704935737479</v>
      </c>
      <c r="O496">
        <v>1.0811160355885004E-2</v>
      </c>
    </row>
    <row r="497" spans="1:15" x14ac:dyDescent="0.3">
      <c r="A497">
        <v>2017</v>
      </c>
      <c r="B497">
        <v>60</v>
      </c>
      <c r="C497" t="s">
        <v>12</v>
      </c>
      <c r="D497">
        <v>23683</v>
      </c>
      <c r="E497">
        <v>2047375</v>
      </c>
      <c r="F497">
        <v>1.1566999999999999E-2</v>
      </c>
      <c r="G497">
        <v>0.98843300000000001</v>
      </c>
      <c r="H497">
        <v>86392.574840000001</v>
      </c>
      <c r="I497">
        <v>999.3</v>
      </c>
      <c r="J497">
        <v>85892.923379999993</v>
      </c>
      <c r="K497">
        <v>1661339</v>
      </c>
      <c r="L497">
        <v>19.23011327</v>
      </c>
      <c r="M497">
        <v>0.86392574799999999</v>
      </c>
      <c r="N497">
        <v>-4.4595990626688726</v>
      </c>
      <c r="O497">
        <v>1.1634255877648988E-2</v>
      </c>
    </row>
    <row r="498" spans="1:15" x14ac:dyDescent="0.3">
      <c r="A498">
        <v>2017</v>
      </c>
      <c r="B498">
        <v>61</v>
      </c>
      <c r="C498" t="s">
        <v>12</v>
      </c>
      <c r="D498">
        <v>24309</v>
      </c>
      <c r="E498">
        <v>1963253</v>
      </c>
      <c r="F498">
        <v>1.2382000000000001E-2</v>
      </c>
      <c r="G498">
        <v>0.987618</v>
      </c>
      <c r="H498">
        <v>85393.229170000006</v>
      </c>
      <c r="I498">
        <v>1057.3399999999999</v>
      </c>
      <c r="J498">
        <v>84864.559689999995</v>
      </c>
      <c r="K498">
        <v>1575446.0759999999</v>
      </c>
      <c r="L498">
        <v>18.449309060000001</v>
      </c>
      <c r="M498">
        <v>0.85393229199999998</v>
      </c>
      <c r="N498">
        <v>-4.3915114738850969</v>
      </c>
      <c r="O498">
        <v>1.2459146719177068E-2</v>
      </c>
    </row>
    <row r="499" spans="1:15" x14ac:dyDescent="0.3">
      <c r="A499">
        <v>2017</v>
      </c>
      <c r="B499">
        <v>62</v>
      </c>
      <c r="C499" t="s">
        <v>12</v>
      </c>
      <c r="D499">
        <v>25388</v>
      </c>
      <c r="E499">
        <v>1938979</v>
      </c>
      <c r="F499">
        <v>1.3093E-2</v>
      </c>
      <c r="G499">
        <v>0.98690699999999998</v>
      </c>
      <c r="H499">
        <v>84335.890140000003</v>
      </c>
      <c r="I499">
        <v>1104.21</v>
      </c>
      <c r="J499">
        <v>83783.785239999997</v>
      </c>
      <c r="K499">
        <v>1490581.517</v>
      </c>
      <c r="L499">
        <v>17.674343799999999</v>
      </c>
      <c r="M499">
        <v>0.84335890099999999</v>
      </c>
      <c r="N499">
        <v>-4.3356775427365211</v>
      </c>
      <c r="O499">
        <v>1.3179283659646088E-2</v>
      </c>
    </row>
    <row r="500" spans="1:15" x14ac:dyDescent="0.3">
      <c r="A500">
        <v>2017</v>
      </c>
      <c r="B500">
        <v>63</v>
      </c>
      <c r="C500" t="s">
        <v>12</v>
      </c>
      <c r="D500">
        <v>26512</v>
      </c>
      <c r="E500">
        <v>1843702</v>
      </c>
      <c r="F500">
        <v>1.438E-2</v>
      </c>
      <c r="G500">
        <v>0.98562000000000005</v>
      </c>
      <c r="H500">
        <v>83231.6391</v>
      </c>
      <c r="I500">
        <v>1196.8699999999999</v>
      </c>
      <c r="J500">
        <v>82633.203609999997</v>
      </c>
      <c r="K500">
        <v>1406797.7309999999</v>
      </c>
      <c r="L500">
        <v>16.90219905</v>
      </c>
      <c r="M500">
        <v>0.83231639099999999</v>
      </c>
      <c r="N500">
        <v>-4.2419169266892363</v>
      </c>
      <c r="O500">
        <v>1.4484127511438107E-2</v>
      </c>
    </row>
    <row r="501" spans="1:15" x14ac:dyDescent="0.3">
      <c r="A501">
        <v>2017</v>
      </c>
      <c r="B501">
        <v>64</v>
      </c>
      <c r="C501" t="s">
        <v>12</v>
      </c>
      <c r="D501">
        <v>27056</v>
      </c>
      <c r="E501">
        <v>1763974</v>
      </c>
      <c r="F501">
        <v>1.5337999999999999E-2</v>
      </c>
      <c r="G501">
        <v>0.98466200000000004</v>
      </c>
      <c r="H501">
        <v>82034.787760000007</v>
      </c>
      <c r="I501">
        <v>1258.25</v>
      </c>
      <c r="J501">
        <v>81405.662970000005</v>
      </c>
      <c r="K501">
        <v>1324164.5279999999</v>
      </c>
      <c r="L501">
        <v>16.141500010000001</v>
      </c>
      <c r="M501">
        <v>0.82034787799999997</v>
      </c>
      <c r="N501">
        <v>-4.1774218696394696</v>
      </c>
      <c r="O501">
        <v>1.5456542137096739E-2</v>
      </c>
    </row>
    <row r="502" spans="1:15" x14ac:dyDescent="0.3">
      <c r="A502">
        <v>2017</v>
      </c>
      <c r="B502">
        <v>65</v>
      </c>
      <c r="C502" t="s">
        <v>12</v>
      </c>
      <c r="D502">
        <v>27527</v>
      </c>
      <c r="E502">
        <v>1688983</v>
      </c>
      <c r="F502">
        <v>1.6298E-2</v>
      </c>
      <c r="G502">
        <v>0.98370199999999997</v>
      </c>
      <c r="H502">
        <v>80776.530429999999</v>
      </c>
      <c r="I502">
        <v>1316.5</v>
      </c>
      <c r="J502">
        <v>80118.282479999994</v>
      </c>
      <c r="K502">
        <v>1242758.865</v>
      </c>
      <c r="L502">
        <v>15.385147870000001</v>
      </c>
      <c r="M502">
        <v>0.80776530400000002</v>
      </c>
      <c r="N502">
        <v>-4.1167128780841091</v>
      </c>
      <c r="O502">
        <v>1.6431954624892112E-2</v>
      </c>
    </row>
    <row r="503" spans="1:15" x14ac:dyDescent="0.3">
      <c r="A503">
        <v>2017</v>
      </c>
      <c r="B503">
        <v>66</v>
      </c>
      <c r="C503" t="s">
        <v>12</v>
      </c>
      <c r="D503">
        <v>27805</v>
      </c>
      <c r="E503">
        <v>1626011</v>
      </c>
      <c r="F503">
        <v>1.7100000000000001E-2</v>
      </c>
      <c r="G503">
        <v>0.9829</v>
      </c>
      <c r="H503">
        <v>79460.036680000005</v>
      </c>
      <c r="I503">
        <v>1358.77</v>
      </c>
      <c r="J503">
        <v>78780.65337</v>
      </c>
      <c r="K503">
        <v>1162640.5819999999</v>
      </c>
      <c r="L503">
        <v>14.63176498</v>
      </c>
      <c r="M503">
        <v>0.79460036700000003</v>
      </c>
      <c r="N503">
        <v>-4.0686768154735224</v>
      </c>
      <c r="O503">
        <v>1.7247509778327452E-2</v>
      </c>
    </row>
    <row r="504" spans="1:15" x14ac:dyDescent="0.3">
      <c r="A504">
        <v>2017</v>
      </c>
      <c r="B504">
        <v>67</v>
      </c>
      <c r="C504" t="s">
        <v>12</v>
      </c>
      <c r="D504">
        <v>28708</v>
      </c>
      <c r="E504">
        <v>1583631</v>
      </c>
      <c r="F504">
        <v>1.8127999999999998E-2</v>
      </c>
      <c r="G504">
        <v>0.98187199999999997</v>
      </c>
      <c r="H504">
        <v>78101.259699999995</v>
      </c>
      <c r="I504">
        <v>1415.82</v>
      </c>
      <c r="J504">
        <v>77393.349879999994</v>
      </c>
      <c r="K504">
        <v>1083859.929</v>
      </c>
      <c r="L504">
        <v>13.877624170000001</v>
      </c>
      <c r="M504">
        <v>0.78101259700000003</v>
      </c>
      <c r="N504">
        <v>-4.0102975746964864</v>
      </c>
      <c r="O504">
        <v>1.829381947983694E-2</v>
      </c>
    </row>
    <row r="505" spans="1:15" x14ac:dyDescent="0.3">
      <c r="A505">
        <v>2017</v>
      </c>
      <c r="B505">
        <v>68</v>
      </c>
      <c r="C505" t="s">
        <v>12</v>
      </c>
      <c r="D505">
        <v>29696</v>
      </c>
      <c r="E505">
        <v>1527330</v>
      </c>
      <c r="F505">
        <v>1.9442999999999998E-2</v>
      </c>
      <c r="G505">
        <v>0.98055700000000001</v>
      </c>
      <c r="H505">
        <v>76685.443159999995</v>
      </c>
      <c r="I505">
        <v>1491</v>
      </c>
      <c r="J505">
        <v>75939.945619999999</v>
      </c>
      <c r="K505">
        <v>1006466.579</v>
      </c>
      <c r="L505">
        <v>13.12461059</v>
      </c>
      <c r="M505">
        <v>0.76685443200000003</v>
      </c>
      <c r="N505">
        <v>-3.9402681708684484</v>
      </c>
      <c r="O505">
        <v>1.9633936373004795E-2</v>
      </c>
    </row>
    <row r="506" spans="1:15" x14ac:dyDescent="0.3">
      <c r="A506">
        <v>2017</v>
      </c>
      <c r="B506">
        <v>69</v>
      </c>
      <c r="C506" t="s">
        <v>12</v>
      </c>
      <c r="D506">
        <v>31522</v>
      </c>
      <c r="E506">
        <v>1503913</v>
      </c>
      <c r="F506">
        <v>2.0959999999999999E-2</v>
      </c>
      <c r="G506">
        <v>0.97904000000000002</v>
      </c>
      <c r="H506">
        <v>75194.441919999997</v>
      </c>
      <c r="I506">
        <v>1576.08</v>
      </c>
      <c r="J506">
        <v>74406.404169999994</v>
      </c>
      <c r="K506">
        <v>930526.6335</v>
      </c>
      <c r="L506">
        <v>12.374939019999999</v>
      </c>
      <c r="M506">
        <v>0.75194441899999998</v>
      </c>
      <c r="N506">
        <v>-3.8651394195292958</v>
      </c>
      <c r="O506">
        <v>2.1182047550752515E-2</v>
      </c>
    </row>
    <row r="507" spans="1:15" x14ac:dyDescent="0.3">
      <c r="A507">
        <v>2017</v>
      </c>
      <c r="B507">
        <v>70</v>
      </c>
      <c r="C507" t="s">
        <v>12</v>
      </c>
      <c r="D507">
        <v>34188</v>
      </c>
      <c r="E507">
        <v>1558707</v>
      </c>
      <c r="F507">
        <v>2.1933999999999999E-2</v>
      </c>
      <c r="G507">
        <v>0.97806599999999999</v>
      </c>
      <c r="H507">
        <v>73618.367249999996</v>
      </c>
      <c r="I507">
        <v>1614.75</v>
      </c>
      <c r="J507">
        <v>72810.994619999998</v>
      </c>
      <c r="K507">
        <v>856120.22930000001</v>
      </c>
      <c r="L507">
        <v>11.62916622</v>
      </c>
      <c r="M507">
        <v>0.73618367299999998</v>
      </c>
      <c r="N507">
        <v>-3.8197173346441198</v>
      </c>
      <c r="O507">
        <v>2.217727765998416E-2</v>
      </c>
    </row>
    <row r="508" spans="1:15" x14ac:dyDescent="0.3">
      <c r="A508">
        <v>2017</v>
      </c>
      <c r="B508">
        <v>71</v>
      </c>
      <c r="C508" t="s">
        <v>12</v>
      </c>
      <c r="D508">
        <v>28792</v>
      </c>
      <c r="E508">
        <v>1136177</v>
      </c>
      <c r="F508">
        <v>2.5340999999999999E-2</v>
      </c>
      <c r="G508">
        <v>0.97465900000000005</v>
      </c>
      <c r="H508">
        <v>72003.654060000001</v>
      </c>
      <c r="I508">
        <v>1824.64</v>
      </c>
      <c r="J508">
        <v>71091.331760000001</v>
      </c>
      <c r="K508">
        <v>783309.23470000003</v>
      </c>
      <c r="L508">
        <v>10.878742819999999</v>
      </c>
      <c r="M508">
        <v>0.72003654100000003</v>
      </c>
      <c r="N508">
        <v>-3.6753316415686679</v>
      </c>
      <c r="O508">
        <v>2.5666140547686331E-2</v>
      </c>
    </row>
    <row r="509" spans="1:15" x14ac:dyDescent="0.3">
      <c r="A509">
        <v>2017</v>
      </c>
      <c r="B509">
        <v>72</v>
      </c>
      <c r="C509" t="s">
        <v>12</v>
      </c>
      <c r="D509">
        <v>29455</v>
      </c>
      <c r="E509">
        <v>1108765</v>
      </c>
      <c r="F509">
        <v>2.6565999999999999E-2</v>
      </c>
      <c r="G509">
        <v>0.97343400000000002</v>
      </c>
      <c r="H509">
        <v>70179.000679999997</v>
      </c>
      <c r="I509">
        <v>1864.38</v>
      </c>
      <c r="J509">
        <v>69246.813009999998</v>
      </c>
      <c r="K509">
        <v>712217.90300000005</v>
      </c>
      <c r="L509">
        <v>10.148589980000001</v>
      </c>
      <c r="M509">
        <v>0.70179000700000005</v>
      </c>
      <c r="N509">
        <v>-3.6281230762718253</v>
      </c>
      <c r="O509">
        <v>2.6923688392635647E-2</v>
      </c>
    </row>
    <row r="510" spans="1:15" x14ac:dyDescent="0.3">
      <c r="A510">
        <v>2017</v>
      </c>
      <c r="B510">
        <v>73</v>
      </c>
      <c r="C510" t="s">
        <v>12</v>
      </c>
      <c r="D510">
        <v>31658</v>
      </c>
      <c r="E510">
        <v>1066091</v>
      </c>
      <c r="F510">
        <v>2.9694999999999999E-2</v>
      </c>
      <c r="G510">
        <v>0.97030499999999997</v>
      </c>
      <c r="H510">
        <v>68314.653890000001</v>
      </c>
      <c r="I510">
        <v>2028.6</v>
      </c>
      <c r="J510">
        <v>67300.352069999994</v>
      </c>
      <c r="K510">
        <v>642971.08990000002</v>
      </c>
      <c r="L510">
        <v>9.4119058399999993</v>
      </c>
      <c r="M510">
        <v>0.683146539</v>
      </c>
      <c r="N510">
        <v>-3.5167765975143137</v>
      </c>
      <c r="O510">
        <v>3.0142493325932326E-2</v>
      </c>
    </row>
    <row r="511" spans="1:15" x14ac:dyDescent="0.3">
      <c r="A511">
        <v>2017</v>
      </c>
      <c r="B511">
        <v>74</v>
      </c>
      <c r="C511" t="s">
        <v>12</v>
      </c>
      <c r="D511">
        <v>34580</v>
      </c>
      <c r="E511">
        <v>1077532</v>
      </c>
      <c r="F511">
        <v>3.2092000000000002E-2</v>
      </c>
      <c r="G511">
        <v>0.96790799999999999</v>
      </c>
      <c r="H511">
        <v>66286.022840000005</v>
      </c>
      <c r="I511">
        <v>2127.25</v>
      </c>
      <c r="J511">
        <v>65222.397319999996</v>
      </c>
      <c r="K511">
        <v>575670.73789999995</v>
      </c>
      <c r="L511">
        <v>8.6846474300000001</v>
      </c>
      <c r="M511">
        <v>0.662860228</v>
      </c>
      <c r="N511">
        <v>-3.4391485010907274</v>
      </c>
      <c r="O511">
        <v>3.2615327403470631E-2</v>
      </c>
    </row>
    <row r="512" spans="1:15" x14ac:dyDescent="0.3">
      <c r="A512">
        <v>2017</v>
      </c>
      <c r="B512">
        <v>75</v>
      </c>
      <c r="C512" t="s">
        <v>12</v>
      </c>
      <c r="D512">
        <v>32363</v>
      </c>
      <c r="E512">
        <v>923942</v>
      </c>
      <c r="F512">
        <v>3.5027000000000003E-2</v>
      </c>
      <c r="G512">
        <v>0.96497299999999997</v>
      </c>
      <c r="H512">
        <v>64158.781450000002</v>
      </c>
      <c r="I512">
        <v>2247.29</v>
      </c>
      <c r="J512">
        <v>63035.136630000001</v>
      </c>
      <c r="K512">
        <v>510448.3406</v>
      </c>
      <c r="L512">
        <v>7.9560167609999999</v>
      </c>
      <c r="M512">
        <v>0.64158781499999995</v>
      </c>
      <c r="N512">
        <v>-3.3516360863193775</v>
      </c>
      <c r="O512">
        <v>3.5651387840376948E-2</v>
      </c>
    </row>
    <row r="513" spans="1:15" x14ac:dyDescent="0.3">
      <c r="A513">
        <v>2017</v>
      </c>
      <c r="B513">
        <v>76</v>
      </c>
      <c r="C513" t="s">
        <v>12</v>
      </c>
      <c r="D513">
        <v>31884</v>
      </c>
      <c r="E513">
        <v>827432</v>
      </c>
      <c r="F513">
        <v>3.8533999999999999E-2</v>
      </c>
      <c r="G513">
        <v>0.96146600000000004</v>
      </c>
      <c r="H513">
        <v>61911.485999999997</v>
      </c>
      <c r="I513">
        <v>2385.6999999999998</v>
      </c>
      <c r="J513">
        <v>60718.6374</v>
      </c>
      <c r="K513">
        <v>447413.20390000002</v>
      </c>
      <c r="L513">
        <v>7.2266591040000003</v>
      </c>
      <c r="M513">
        <v>0.61911486000000004</v>
      </c>
      <c r="N513">
        <v>-3.2562143105235686</v>
      </c>
      <c r="O513">
        <v>3.929105976317665E-2</v>
      </c>
    </row>
    <row r="514" spans="1:15" x14ac:dyDescent="0.3">
      <c r="A514">
        <v>2017</v>
      </c>
      <c r="B514">
        <v>77</v>
      </c>
      <c r="C514" t="s">
        <v>12</v>
      </c>
      <c r="D514">
        <v>32283</v>
      </c>
      <c r="E514">
        <v>769612</v>
      </c>
      <c r="F514">
        <v>4.1946999999999998E-2</v>
      </c>
      <c r="G514">
        <v>0.95805300000000004</v>
      </c>
      <c r="H514">
        <v>59525.80861</v>
      </c>
      <c r="I514">
        <v>2496.9299999999998</v>
      </c>
      <c r="J514">
        <v>58277.344060000003</v>
      </c>
      <c r="K514">
        <v>386694.56650000002</v>
      </c>
      <c r="L514">
        <v>6.4962505430000004</v>
      </c>
      <c r="M514">
        <v>0.59525808599999996</v>
      </c>
      <c r="N514">
        <v>-3.1713483623329428</v>
      </c>
      <c r="O514">
        <v>4.2845640645872186E-2</v>
      </c>
    </row>
    <row r="515" spans="1:15" x14ac:dyDescent="0.3">
      <c r="A515">
        <v>2017</v>
      </c>
      <c r="B515">
        <v>78</v>
      </c>
      <c r="C515" t="s">
        <v>12</v>
      </c>
      <c r="D515">
        <v>32945</v>
      </c>
      <c r="E515">
        <v>713055</v>
      </c>
      <c r="F515">
        <v>4.6203000000000001E-2</v>
      </c>
      <c r="G515">
        <v>0.95379700000000001</v>
      </c>
      <c r="H515">
        <v>57028.872909999998</v>
      </c>
      <c r="I515">
        <v>2634.91</v>
      </c>
      <c r="J515">
        <v>55711.420400000003</v>
      </c>
      <c r="K515">
        <v>328417.22249999997</v>
      </c>
      <c r="L515">
        <v>5.7587885869999997</v>
      </c>
      <c r="M515">
        <v>0.57028872900000005</v>
      </c>
      <c r="N515">
        <v>-3.0747105479376988</v>
      </c>
      <c r="O515">
        <v>4.7295679254516262E-2</v>
      </c>
    </row>
    <row r="516" spans="1:15" x14ac:dyDescent="0.3">
      <c r="A516">
        <v>2017</v>
      </c>
      <c r="B516">
        <v>79</v>
      </c>
      <c r="C516" t="s">
        <v>12</v>
      </c>
      <c r="D516">
        <v>34030</v>
      </c>
      <c r="E516">
        <v>664775</v>
      </c>
      <c r="F516">
        <v>5.1189999999999999E-2</v>
      </c>
      <c r="G516">
        <v>0.94881000000000004</v>
      </c>
      <c r="H516">
        <v>54393.990299999998</v>
      </c>
      <c r="I516">
        <v>2784.43</v>
      </c>
      <c r="J516">
        <v>53001.776120000002</v>
      </c>
      <c r="K516">
        <v>272705.80209999997</v>
      </c>
      <c r="L516">
        <v>5.0135281589999998</v>
      </c>
      <c r="M516">
        <v>0.54393990299999995</v>
      </c>
      <c r="N516">
        <v>-2.972211078512645</v>
      </c>
      <c r="O516">
        <v>5.2534661373352672E-2</v>
      </c>
    </row>
    <row r="517" spans="1:15" x14ac:dyDescent="0.3">
      <c r="A517">
        <v>2017</v>
      </c>
      <c r="B517">
        <v>80</v>
      </c>
      <c r="C517" t="s">
        <v>12</v>
      </c>
      <c r="D517">
        <v>33752</v>
      </c>
      <c r="E517">
        <v>596081</v>
      </c>
      <c r="F517">
        <v>5.6623E-2</v>
      </c>
      <c r="G517">
        <v>0.94337700000000002</v>
      </c>
      <c r="H517">
        <v>51609.548210000001</v>
      </c>
      <c r="I517">
        <v>2922.29</v>
      </c>
      <c r="J517">
        <v>50148.404490000001</v>
      </c>
      <c r="K517">
        <v>219704.02590000001</v>
      </c>
      <c r="L517">
        <v>4.2570422250000002</v>
      </c>
      <c r="M517">
        <v>0.51609548199999999</v>
      </c>
      <c r="N517">
        <v>-2.8713400158910081</v>
      </c>
      <c r="O517">
        <v>5.8272846291271344E-2</v>
      </c>
    </row>
    <row r="518" spans="1:15" x14ac:dyDescent="0.3">
      <c r="A518">
        <v>2017</v>
      </c>
      <c r="B518">
        <v>81</v>
      </c>
      <c r="C518" t="s">
        <v>12</v>
      </c>
      <c r="D518">
        <v>34438</v>
      </c>
      <c r="E518">
        <v>552132</v>
      </c>
      <c r="F518">
        <v>6.2372999999999998E-2</v>
      </c>
      <c r="G518">
        <v>0.93762699999999999</v>
      </c>
      <c r="H518">
        <v>48687.251620000003</v>
      </c>
      <c r="I518">
        <v>3036.77</v>
      </c>
      <c r="J518">
        <v>47168.866650000004</v>
      </c>
      <c r="K518">
        <v>169555.62150000001</v>
      </c>
      <c r="L518">
        <v>3.4825465769999999</v>
      </c>
      <c r="M518">
        <v>0.48687251599999998</v>
      </c>
      <c r="N518">
        <v>-2.774622789552776</v>
      </c>
      <c r="O518">
        <v>6.4380805582728851E-2</v>
      </c>
    </row>
    <row r="519" spans="1:15" x14ac:dyDescent="0.3">
      <c r="A519">
        <v>2017</v>
      </c>
      <c r="B519">
        <v>82</v>
      </c>
      <c r="C519" t="s">
        <v>12</v>
      </c>
      <c r="D519">
        <v>35325</v>
      </c>
      <c r="E519">
        <v>510165</v>
      </c>
      <c r="F519">
        <v>6.9241999999999998E-2</v>
      </c>
      <c r="G519">
        <v>0.93075799999999997</v>
      </c>
      <c r="H519">
        <v>45650.493069999997</v>
      </c>
      <c r="I519">
        <v>3160.93</v>
      </c>
      <c r="J519">
        <v>44070.027349999997</v>
      </c>
      <c r="K519">
        <v>122386.7548</v>
      </c>
      <c r="L519">
        <v>2.6809514330000002</v>
      </c>
      <c r="M519">
        <v>0.456504931</v>
      </c>
      <c r="N519">
        <v>-2.6701476640537427</v>
      </c>
      <c r="O519">
        <v>7.1725176667359156E-2</v>
      </c>
    </row>
    <row r="520" spans="1:15" x14ac:dyDescent="0.3">
      <c r="A520">
        <v>2017</v>
      </c>
      <c r="B520">
        <v>83</v>
      </c>
      <c r="C520" t="s">
        <v>12</v>
      </c>
      <c r="D520">
        <v>34510</v>
      </c>
      <c r="E520">
        <v>441701</v>
      </c>
      <c r="F520">
        <v>7.8130000000000005E-2</v>
      </c>
      <c r="G520">
        <v>0.92186999999999997</v>
      </c>
      <c r="H520">
        <v>42489.547760000001</v>
      </c>
      <c r="I520">
        <v>3319.71</v>
      </c>
      <c r="J520">
        <v>40829.693579999999</v>
      </c>
      <c r="K520">
        <v>78316.727459999995</v>
      </c>
      <c r="L520">
        <v>1.8431998359999999</v>
      </c>
      <c r="M520">
        <v>0.42489547799999999</v>
      </c>
      <c r="N520">
        <v>-2.5493811729734839</v>
      </c>
      <c r="O520">
        <v>8.1306258301233114E-2</v>
      </c>
    </row>
    <row r="521" spans="1:15" x14ac:dyDescent="0.3">
      <c r="A521">
        <v>2017</v>
      </c>
      <c r="B521">
        <v>84</v>
      </c>
      <c r="C521" t="s">
        <v>12</v>
      </c>
      <c r="D521">
        <v>35141</v>
      </c>
      <c r="E521">
        <v>408980</v>
      </c>
      <c r="F521">
        <v>8.5924E-2</v>
      </c>
      <c r="G521">
        <v>0.914076</v>
      </c>
      <c r="H521">
        <v>39169.84893</v>
      </c>
      <c r="I521">
        <v>3365.63</v>
      </c>
      <c r="J521">
        <v>37487.033880000003</v>
      </c>
      <c r="K521">
        <v>37487.033880000003</v>
      </c>
      <c r="L521">
        <v>0.95703800000000006</v>
      </c>
      <c r="M521">
        <v>0.39169848899999998</v>
      </c>
      <c r="N521">
        <v>-2.4542920943704067</v>
      </c>
      <c r="O521">
        <v>4.8367229337050628E-2</v>
      </c>
    </row>
    <row r="522" spans="1:15" x14ac:dyDescent="0.3">
      <c r="A522">
        <v>2017</v>
      </c>
      <c r="B522">
        <v>20</v>
      </c>
      <c r="C522" t="s">
        <v>13</v>
      </c>
      <c r="D522">
        <v>3537</v>
      </c>
      <c r="E522">
        <v>4276745</v>
      </c>
      <c r="F522">
        <v>8.2700000000000004E-4</v>
      </c>
      <c r="G522">
        <v>0.99917299999999998</v>
      </c>
      <c r="H522">
        <v>100000</v>
      </c>
      <c r="I522">
        <v>82.7</v>
      </c>
      <c r="J522">
        <v>99958.65</v>
      </c>
      <c r="K522">
        <v>5655482.5099999998</v>
      </c>
      <c r="L522">
        <v>56.554825100000002</v>
      </c>
      <c r="M522">
        <v>1</v>
      </c>
      <c r="N522">
        <v>-7.0977058629405825</v>
      </c>
      <c r="O522">
        <v>8.2734211870715414E-4</v>
      </c>
    </row>
    <row r="523" spans="1:15" x14ac:dyDescent="0.3">
      <c r="A523">
        <v>2017</v>
      </c>
      <c r="B523">
        <v>21</v>
      </c>
      <c r="C523" t="s">
        <v>13</v>
      </c>
      <c r="D523">
        <v>3892</v>
      </c>
      <c r="E523">
        <v>4318304</v>
      </c>
      <c r="F523">
        <v>9.01E-4</v>
      </c>
      <c r="G523">
        <v>0.99909899999999996</v>
      </c>
      <c r="H523">
        <v>99917.296919999993</v>
      </c>
      <c r="I523">
        <v>90.03</v>
      </c>
      <c r="J523">
        <v>99872.284180000002</v>
      </c>
      <c r="K523">
        <v>5555523.8600000003</v>
      </c>
      <c r="L523">
        <v>55.601222530000001</v>
      </c>
      <c r="M523">
        <v>0.99917296899999997</v>
      </c>
      <c r="N523">
        <v>-7.0120053003559359</v>
      </c>
      <c r="O523">
        <v>9.0145142209854367E-4</v>
      </c>
    </row>
    <row r="524" spans="1:15" x14ac:dyDescent="0.3">
      <c r="A524">
        <v>2017</v>
      </c>
      <c r="B524">
        <v>22</v>
      </c>
      <c r="C524" t="s">
        <v>13</v>
      </c>
      <c r="D524">
        <v>4202</v>
      </c>
      <c r="E524">
        <v>4420763</v>
      </c>
      <c r="F524">
        <v>9.5100000000000002E-4</v>
      </c>
      <c r="G524">
        <v>0.99904899999999996</v>
      </c>
      <c r="H524">
        <v>99827.243480000005</v>
      </c>
      <c r="I524">
        <v>94.94</v>
      </c>
      <c r="J524">
        <v>99779.775630000004</v>
      </c>
      <c r="K524">
        <v>5455651.5760000004</v>
      </c>
      <c r="L524">
        <v>54.650928800000003</v>
      </c>
      <c r="M524">
        <v>0.99827243499999996</v>
      </c>
      <c r="N524">
        <v>-6.9579964954188842</v>
      </c>
      <c r="O524">
        <v>9.5149519384408738E-4</v>
      </c>
    </row>
    <row r="525" spans="1:15" x14ac:dyDescent="0.3">
      <c r="A525">
        <v>2017</v>
      </c>
      <c r="B525">
        <v>23</v>
      </c>
      <c r="C525" t="s">
        <v>13</v>
      </c>
      <c r="D525">
        <v>4594</v>
      </c>
      <c r="E525">
        <v>4515308</v>
      </c>
      <c r="F525">
        <v>1.0169999999999999E-3</v>
      </c>
      <c r="G525">
        <v>0.99898299999999995</v>
      </c>
      <c r="H525">
        <v>99732.356220000001</v>
      </c>
      <c r="I525">
        <v>101.43</v>
      </c>
      <c r="J525">
        <v>99681.642319999999</v>
      </c>
      <c r="K525">
        <v>5355871.8</v>
      </c>
      <c r="L525">
        <v>53.702449270000002</v>
      </c>
      <c r="M525">
        <v>0.99732356200000005</v>
      </c>
      <c r="N525">
        <v>-6.8908981619157146</v>
      </c>
      <c r="O525">
        <v>1.0175396326596966E-3</v>
      </c>
    </row>
    <row r="526" spans="1:15" x14ac:dyDescent="0.3">
      <c r="A526">
        <v>2017</v>
      </c>
      <c r="B526">
        <v>24</v>
      </c>
      <c r="C526" t="s">
        <v>13</v>
      </c>
      <c r="D526">
        <v>4914</v>
      </c>
      <c r="E526">
        <v>4587515</v>
      </c>
      <c r="F526">
        <v>1.0709999999999999E-3</v>
      </c>
      <c r="G526">
        <v>0.99892899999999996</v>
      </c>
      <c r="H526">
        <v>99630.885750000001</v>
      </c>
      <c r="I526">
        <v>106.7</v>
      </c>
      <c r="J526">
        <v>99577.533410000004</v>
      </c>
      <c r="K526">
        <v>5256190.1579999998</v>
      </c>
      <c r="L526">
        <v>52.756633829999998</v>
      </c>
      <c r="M526">
        <v>0.99630885800000002</v>
      </c>
      <c r="N526">
        <v>-6.8391624875165258</v>
      </c>
      <c r="O526">
        <v>1.0715269330891103E-3</v>
      </c>
    </row>
    <row r="527" spans="1:15" x14ac:dyDescent="0.3">
      <c r="A527">
        <v>2017</v>
      </c>
      <c r="B527">
        <v>25</v>
      </c>
      <c r="C527" t="s">
        <v>13</v>
      </c>
      <c r="D527">
        <v>5264</v>
      </c>
      <c r="E527">
        <v>4708854</v>
      </c>
      <c r="F527">
        <v>1.1180000000000001E-3</v>
      </c>
      <c r="G527">
        <v>0.99888200000000005</v>
      </c>
      <c r="H527">
        <v>99524.164309999993</v>
      </c>
      <c r="I527">
        <v>111.27</v>
      </c>
      <c r="J527">
        <v>99468.530299999999</v>
      </c>
      <c r="K527">
        <v>5156612.625</v>
      </c>
      <c r="L527">
        <v>51.812669419999999</v>
      </c>
      <c r="M527">
        <v>0.99524164299999995</v>
      </c>
      <c r="N527">
        <v>-6.79621390424923</v>
      </c>
      <c r="O527">
        <v>1.1186452012868092E-3</v>
      </c>
    </row>
    <row r="528" spans="1:15" x14ac:dyDescent="0.3">
      <c r="A528">
        <v>2017</v>
      </c>
      <c r="B528">
        <v>26</v>
      </c>
      <c r="C528" t="s">
        <v>13</v>
      </c>
      <c r="D528">
        <v>5515</v>
      </c>
      <c r="E528">
        <v>4794326</v>
      </c>
      <c r="F528">
        <v>1.15E-3</v>
      </c>
      <c r="G528">
        <v>0.99885000000000002</v>
      </c>
      <c r="H528">
        <v>99412.906839999996</v>
      </c>
      <c r="I528">
        <v>114.32</v>
      </c>
      <c r="J528">
        <v>99355.744420000003</v>
      </c>
      <c r="K528">
        <v>5057144.0939999996</v>
      </c>
      <c r="L528">
        <v>50.870095800000001</v>
      </c>
      <c r="M528">
        <v>0.994129068</v>
      </c>
      <c r="N528">
        <v>-6.7679933366069784</v>
      </c>
      <c r="O528">
        <v>1.1506130708828291E-3</v>
      </c>
    </row>
    <row r="529" spans="1:15" x14ac:dyDescent="0.3">
      <c r="A529">
        <v>2017</v>
      </c>
      <c r="B529">
        <v>27</v>
      </c>
      <c r="C529" t="s">
        <v>13</v>
      </c>
      <c r="D529">
        <v>5812</v>
      </c>
      <c r="E529">
        <v>4784135</v>
      </c>
      <c r="F529">
        <v>1.2149999999999999E-3</v>
      </c>
      <c r="G529">
        <v>0.99878500000000003</v>
      </c>
      <c r="H529">
        <v>99298.550369999997</v>
      </c>
      <c r="I529">
        <v>120.65</v>
      </c>
      <c r="J529">
        <v>99238.226500000004</v>
      </c>
      <c r="K529">
        <v>4957788.3499999996</v>
      </c>
      <c r="L529">
        <v>49.928103999999998</v>
      </c>
      <c r="M529">
        <v>0.99298550399999996</v>
      </c>
      <c r="N529">
        <v>-6.7130112021896258</v>
      </c>
      <c r="O529">
        <v>1.215761255704768E-3</v>
      </c>
    </row>
    <row r="530" spans="1:15" x14ac:dyDescent="0.3">
      <c r="A530">
        <v>2017</v>
      </c>
      <c r="B530">
        <v>28</v>
      </c>
      <c r="C530" t="s">
        <v>13</v>
      </c>
      <c r="D530">
        <v>5915</v>
      </c>
      <c r="E530">
        <v>4595406</v>
      </c>
      <c r="F530">
        <v>1.2869999999999999E-3</v>
      </c>
      <c r="G530">
        <v>0.99871299999999996</v>
      </c>
      <c r="H530">
        <v>99177.917660000006</v>
      </c>
      <c r="I530">
        <v>127.64</v>
      </c>
      <c r="J530">
        <v>99114.096669999999</v>
      </c>
      <c r="K530">
        <v>4858550.1229999997</v>
      </c>
      <c r="L530">
        <v>48.988224780000003</v>
      </c>
      <c r="M530">
        <v>0.99177917699999996</v>
      </c>
      <c r="N530">
        <v>-6.6554413503681475</v>
      </c>
      <c r="O530">
        <v>1.2878088403689724E-3</v>
      </c>
    </row>
    <row r="531" spans="1:15" x14ac:dyDescent="0.3">
      <c r="A531">
        <v>2017</v>
      </c>
      <c r="B531">
        <v>29</v>
      </c>
      <c r="C531" t="s">
        <v>13</v>
      </c>
      <c r="D531">
        <v>5770</v>
      </c>
      <c r="E531">
        <v>4487739</v>
      </c>
      <c r="F531">
        <v>1.286E-3</v>
      </c>
      <c r="G531">
        <v>0.99871399999999999</v>
      </c>
      <c r="H531">
        <v>99050.260309999998</v>
      </c>
      <c r="I531">
        <v>127.38</v>
      </c>
      <c r="J531">
        <v>98986.570989999993</v>
      </c>
      <c r="K531">
        <v>4759436.0269999998</v>
      </c>
      <c r="L531">
        <v>48.050716999999999</v>
      </c>
      <c r="M531">
        <v>0.99050260300000004</v>
      </c>
      <c r="N531">
        <v>-6.6562186531667091</v>
      </c>
      <c r="O531">
        <v>1.286841045456865E-3</v>
      </c>
    </row>
    <row r="532" spans="1:15" x14ac:dyDescent="0.3">
      <c r="A532">
        <v>2017</v>
      </c>
      <c r="B532">
        <v>30</v>
      </c>
      <c r="C532" t="s">
        <v>13</v>
      </c>
      <c r="D532">
        <v>5819</v>
      </c>
      <c r="E532">
        <v>4410631</v>
      </c>
      <c r="F532">
        <v>1.3190000000000001E-3</v>
      </c>
      <c r="G532">
        <v>0.99868100000000004</v>
      </c>
      <c r="H532">
        <v>98922.908869999999</v>
      </c>
      <c r="I532">
        <v>130.47999999999999</v>
      </c>
      <c r="J532">
        <v>98857.669209999993</v>
      </c>
      <c r="K532">
        <v>4660449.4560000002</v>
      </c>
      <c r="L532">
        <v>47.111933010000001</v>
      </c>
      <c r="M532">
        <v>0.98922908899999995</v>
      </c>
      <c r="N532">
        <v>-6.6308814052469591</v>
      </c>
      <c r="O532">
        <v>1.319877571814223E-3</v>
      </c>
    </row>
    <row r="533" spans="1:15" x14ac:dyDescent="0.3">
      <c r="A533">
        <v>2017</v>
      </c>
      <c r="B533">
        <v>31</v>
      </c>
      <c r="C533" t="s">
        <v>13</v>
      </c>
      <c r="D533">
        <v>6160</v>
      </c>
      <c r="E533">
        <v>4425408</v>
      </c>
      <c r="F533">
        <v>1.392E-3</v>
      </c>
      <c r="G533">
        <v>0.99860800000000005</v>
      </c>
      <c r="H533">
        <v>98792.398650000003</v>
      </c>
      <c r="I533">
        <v>137.52000000000001</v>
      </c>
      <c r="J533">
        <v>98723.639139999999</v>
      </c>
      <c r="K533">
        <v>4561591.7869999995</v>
      </c>
      <c r="L533">
        <v>46.173509789999997</v>
      </c>
      <c r="M533">
        <v>0.98792398699999995</v>
      </c>
      <c r="N533">
        <v>-6.5770137170699092</v>
      </c>
      <c r="O533">
        <v>1.3929794179603375E-3</v>
      </c>
    </row>
    <row r="534" spans="1:15" x14ac:dyDescent="0.3">
      <c r="A534">
        <v>2017</v>
      </c>
      <c r="B534">
        <v>32</v>
      </c>
      <c r="C534" t="s">
        <v>13</v>
      </c>
      <c r="D534">
        <v>6460</v>
      </c>
      <c r="E534">
        <v>4453718</v>
      </c>
      <c r="F534">
        <v>1.4499999999999999E-3</v>
      </c>
      <c r="G534">
        <v>0.99855000000000005</v>
      </c>
      <c r="H534">
        <v>98654.883379999999</v>
      </c>
      <c r="I534">
        <v>143.05000000000001</v>
      </c>
      <c r="J534">
        <v>98583.358590000003</v>
      </c>
      <c r="K534">
        <v>4462868.1469999999</v>
      </c>
      <c r="L534">
        <v>45.23717422</v>
      </c>
      <c r="M534">
        <v>0.98654883400000004</v>
      </c>
      <c r="N534">
        <v>-6.5361917225496544</v>
      </c>
      <c r="O534">
        <v>1.4510566076812242E-3</v>
      </c>
    </row>
    <row r="535" spans="1:15" x14ac:dyDescent="0.3">
      <c r="A535">
        <v>2017</v>
      </c>
      <c r="B535">
        <v>33</v>
      </c>
      <c r="C535" t="s">
        <v>13</v>
      </c>
      <c r="D535">
        <v>6619</v>
      </c>
      <c r="E535">
        <v>4310977</v>
      </c>
      <c r="F535">
        <v>1.5349999999999999E-3</v>
      </c>
      <c r="G535">
        <v>0.99846500000000005</v>
      </c>
      <c r="H535">
        <v>98511.787089999998</v>
      </c>
      <c r="I535">
        <v>151.22</v>
      </c>
      <c r="J535">
        <v>98436.17929</v>
      </c>
      <c r="K535">
        <v>4364284.7889999999</v>
      </c>
      <c r="L535">
        <v>44.302158329999997</v>
      </c>
      <c r="M535">
        <v>0.98511787100000003</v>
      </c>
      <c r="N535">
        <v>-6.4792248979429763</v>
      </c>
      <c r="O535">
        <v>1.5362240799696222E-3</v>
      </c>
    </row>
    <row r="536" spans="1:15" x14ac:dyDescent="0.3">
      <c r="A536">
        <v>2017</v>
      </c>
      <c r="B536">
        <v>34</v>
      </c>
      <c r="C536" t="s">
        <v>13</v>
      </c>
      <c r="D536">
        <v>6881</v>
      </c>
      <c r="E536">
        <v>4371478</v>
      </c>
      <c r="F536">
        <v>1.5740000000000001E-3</v>
      </c>
      <c r="G536">
        <v>0.99842600000000004</v>
      </c>
      <c r="H536">
        <v>98360.533779999998</v>
      </c>
      <c r="I536">
        <v>154.82</v>
      </c>
      <c r="J536">
        <v>98283.124039999995</v>
      </c>
      <c r="K536">
        <v>4265848.6100000003</v>
      </c>
      <c r="L536">
        <v>43.369514639999998</v>
      </c>
      <c r="M536">
        <v>0.98360533800000005</v>
      </c>
      <c r="N536">
        <v>-6.4541351289869251</v>
      </c>
      <c r="O536">
        <v>1.5752450556547112E-3</v>
      </c>
    </row>
    <row r="537" spans="1:15" x14ac:dyDescent="0.3">
      <c r="A537">
        <v>2017</v>
      </c>
      <c r="B537">
        <v>35</v>
      </c>
      <c r="C537" t="s">
        <v>13</v>
      </c>
      <c r="D537">
        <v>7046</v>
      </c>
      <c r="E537">
        <v>4364947</v>
      </c>
      <c r="F537">
        <v>1.614E-3</v>
      </c>
      <c r="G537">
        <v>0.998386</v>
      </c>
      <c r="H537">
        <v>98205.707699999999</v>
      </c>
      <c r="I537">
        <v>158.5</v>
      </c>
      <c r="J537">
        <v>98126.455690000003</v>
      </c>
      <c r="K537">
        <v>4167565.486</v>
      </c>
      <c r="L537">
        <v>42.437100479999998</v>
      </c>
      <c r="M537">
        <v>0.982057077</v>
      </c>
      <c r="N537">
        <v>-6.4290397091343801</v>
      </c>
      <c r="O537">
        <v>1.6152628422671747E-3</v>
      </c>
    </row>
    <row r="538" spans="1:15" x14ac:dyDescent="0.3">
      <c r="A538">
        <v>2017</v>
      </c>
      <c r="B538">
        <v>36</v>
      </c>
      <c r="C538" t="s">
        <v>13</v>
      </c>
      <c r="D538">
        <v>7269</v>
      </c>
      <c r="E538">
        <v>4313987</v>
      </c>
      <c r="F538">
        <v>1.6850000000000001E-3</v>
      </c>
      <c r="G538">
        <v>0.99831499999999995</v>
      </c>
      <c r="H538">
        <v>98047.18174</v>
      </c>
      <c r="I538">
        <v>165.21</v>
      </c>
      <c r="J538">
        <v>97964.576990000001</v>
      </c>
      <c r="K538">
        <v>4069439.03</v>
      </c>
      <c r="L538">
        <v>41.50490568</v>
      </c>
      <c r="M538">
        <v>0.98047181699999997</v>
      </c>
      <c r="N538">
        <v>-6.3859897151778116</v>
      </c>
      <c r="O538">
        <v>1.6864258875768569E-3</v>
      </c>
    </row>
    <row r="539" spans="1:15" x14ac:dyDescent="0.3">
      <c r="A539">
        <v>2017</v>
      </c>
      <c r="B539">
        <v>37</v>
      </c>
      <c r="C539" t="s">
        <v>13</v>
      </c>
      <c r="D539">
        <v>7582</v>
      </c>
      <c r="E539">
        <v>4394351</v>
      </c>
      <c r="F539">
        <v>1.725E-3</v>
      </c>
      <c r="G539">
        <v>0.99827500000000002</v>
      </c>
      <c r="H539">
        <v>97881.97378</v>
      </c>
      <c r="I539">
        <v>168.85</v>
      </c>
      <c r="J539">
        <v>97797.550579999996</v>
      </c>
      <c r="K539">
        <v>3971474.4530000002</v>
      </c>
      <c r="L539">
        <v>40.57411492</v>
      </c>
      <c r="M539">
        <v>0.97881973799999999</v>
      </c>
      <c r="N539">
        <v>-6.3625282284988138</v>
      </c>
      <c r="O539">
        <v>1.7265262017813218E-3</v>
      </c>
    </row>
    <row r="540" spans="1:15" x14ac:dyDescent="0.3">
      <c r="A540">
        <v>2017</v>
      </c>
      <c r="B540">
        <v>38</v>
      </c>
      <c r="C540" t="s">
        <v>13</v>
      </c>
      <c r="D540">
        <v>7350</v>
      </c>
      <c r="E540">
        <v>4120468</v>
      </c>
      <c r="F540">
        <v>1.784E-3</v>
      </c>
      <c r="G540">
        <v>0.99821599999999999</v>
      </c>
      <c r="H540">
        <v>97713.088520000005</v>
      </c>
      <c r="I540">
        <v>174.32</v>
      </c>
      <c r="J540">
        <v>97625.928450000007</v>
      </c>
      <c r="K540">
        <v>3873676.9019999998</v>
      </c>
      <c r="L540">
        <v>39.643377989999998</v>
      </c>
      <c r="M540">
        <v>0.977130885</v>
      </c>
      <c r="N540">
        <v>-6.3288972448243195</v>
      </c>
      <c r="O540">
        <v>1.7855910146303499E-3</v>
      </c>
    </row>
    <row r="541" spans="1:15" x14ac:dyDescent="0.3">
      <c r="A541">
        <v>2017</v>
      </c>
      <c r="B541">
        <v>39</v>
      </c>
      <c r="C541" t="s">
        <v>13</v>
      </c>
      <c r="D541">
        <v>7654</v>
      </c>
      <c r="E541">
        <v>4038244</v>
      </c>
      <c r="F541">
        <v>1.895E-3</v>
      </c>
      <c r="G541">
        <v>0.99810500000000002</v>
      </c>
      <c r="H541">
        <v>97538.790070000003</v>
      </c>
      <c r="I541">
        <v>184.84</v>
      </c>
      <c r="J541">
        <v>97446.372069999998</v>
      </c>
      <c r="K541">
        <v>3776050.9739999999</v>
      </c>
      <c r="L541">
        <v>38.713325959999999</v>
      </c>
      <c r="M541">
        <v>0.97538790099999995</v>
      </c>
      <c r="N541">
        <v>-6.2685364404477477</v>
      </c>
      <c r="O541">
        <v>1.8968385490367638E-3</v>
      </c>
    </row>
    <row r="542" spans="1:15" x14ac:dyDescent="0.3">
      <c r="A542">
        <v>2017</v>
      </c>
      <c r="B542">
        <v>40</v>
      </c>
      <c r="C542" t="s">
        <v>13</v>
      </c>
      <c r="D542">
        <v>7972</v>
      </c>
      <c r="E542">
        <v>3994423</v>
      </c>
      <c r="F542">
        <v>1.9959999999999999E-3</v>
      </c>
      <c r="G542">
        <v>0.998004</v>
      </c>
      <c r="H542">
        <v>97353.917159999997</v>
      </c>
      <c r="I542">
        <v>194.32</v>
      </c>
      <c r="J542">
        <v>97256.757949999999</v>
      </c>
      <c r="K542">
        <v>3678604.602</v>
      </c>
      <c r="L542">
        <v>37.785892019999999</v>
      </c>
      <c r="M542">
        <v>0.97353917199999995</v>
      </c>
      <c r="N542">
        <v>-6.2166101010928649</v>
      </c>
      <c r="O542">
        <v>1.9980100400937098E-3</v>
      </c>
    </row>
    <row r="543" spans="1:15" x14ac:dyDescent="0.3">
      <c r="A543">
        <v>2017</v>
      </c>
      <c r="B543">
        <v>41</v>
      </c>
      <c r="C543" t="s">
        <v>13</v>
      </c>
      <c r="D543">
        <v>8001</v>
      </c>
      <c r="E543">
        <v>3875738</v>
      </c>
      <c r="F543">
        <v>2.0639999999999999E-3</v>
      </c>
      <c r="G543">
        <v>0.99793600000000005</v>
      </c>
      <c r="H543">
        <v>97159.619909999994</v>
      </c>
      <c r="I543">
        <v>200.54</v>
      </c>
      <c r="J543">
        <v>97059.351179999998</v>
      </c>
      <c r="K543">
        <v>3581347.844</v>
      </c>
      <c r="L543">
        <v>36.860455479999999</v>
      </c>
      <c r="M543">
        <v>0.97159619900000005</v>
      </c>
      <c r="N543">
        <v>-6.183109431362821</v>
      </c>
      <c r="O543">
        <v>2.0661588585389559E-3</v>
      </c>
    </row>
    <row r="544" spans="1:15" x14ac:dyDescent="0.3">
      <c r="A544">
        <v>2017</v>
      </c>
      <c r="B544">
        <v>42</v>
      </c>
      <c r="C544" t="s">
        <v>13</v>
      </c>
      <c r="D544">
        <v>8513</v>
      </c>
      <c r="E544">
        <v>3990700</v>
      </c>
      <c r="F544">
        <v>2.1329999999999999E-3</v>
      </c>
      <c r="G544">
        <v>0.99786699999999995</v>
      </c>
      <c r="H544">
        <v>96959.045429999998</v>
      </c>
      <c r="I544">
        <v>206.81</v>
      </c>
      <c r="J544">
        <v>96855.638609999995</v>
      </c>
      <c r="K544">
        <v>3484288.4929999998</v>
      </c>
      <c r="L544">
        <v>35.935672400000001</v>
      </c>
      <c r="M544">
        <v>0.96959045399999999</v>
      </c>
      <c r="N544">
        <v>-6.1502258394929239</v>
      </c>
      <c r="O544">
        <v>2.1352398753792033E-3</v>
      </c>
    </row>
    <row r="545" spans="1:15" x14ac:dyDescent="0.3">
      <c r="A545">
        <v>2017</v>
      </c>
      <c r="B545">
        <v>43</v>
      </c>
      <c r="C545" t="s">
        <v>13</v>
      </c>
      <c r="D545">
        <v>8900</v>
      </c>
      <c r="E545">
        <v>3863455</v>
      </c>
      <c r="F545">
        <v>2.3040000000000001E-3</v>
      </c>
      <c r="G545">
        <v>0.99769600000000003</v>
      </c>
      <c r="H545">
        <v>96752.211450000003</v>
      </c>
      <c r="I545">
        <v>222.92</v>
      </c>
      <c r="J545">
        <v>96640.752900000007</v>
      </c>
      <c r="K545">
        <v>3387432.8539999998</v>
      </c>
      <c r="L545">
        <v>35.011425610000003</v>
      </c>
      <c r="M545">
        <v>0.96752211499999996</v>
      </c>
      <c r="N545">
        <v>-6.0731085361484922</v>
      </c>
      <c r="O545">
        <v>2.3066869086058729E-3</v>
      </c>
    </row>
    <row r="546" spans="1:15" x14ac:dyDescent="0.3">
      <c r="A546">
        <v>2017</v>
      </c>
      <c r="B546">
        <v>44</v>
      </c>
      <c r="C546" t="s">
        <v>13</v>
      </c>
      <c r="D546">
        <v>9509</v>
      </c>
      <c r="E546">
        <v>3919057</v>
      </c>
      <c r="F546">
        <v>2.4260000000000002E-3</v>
      </c>
      <c r="G546">
        <v>0.99757399999999996</v>
      </c>
      <c r="H546">
        <v>96529.329419999995</v>
      </c>
      <c r="I546">
        <v>234.18</v>
      </c>
      <c r="J546">
        <v>96412.23934</v>
      </c>
      <c r="K546">
        <v>3290792.1009999998</v>
      </c>
      <c r="L546">
        <v>34.091111179999999</v>
      </c>
      <c r="M546">
        <v>0.96529329399999997</v>
      </c>
      <c r="N546">
        <v>-6.0215114684602788</v>
      </c>
      <c r="O546">
        <v>2.4289451474889504E-3</v>
      </c>
    </row>
    <row r="547" spans="1:15" x14ac:dyDescent="0.3">
      <c r="A547">
        <v>2017</v>
      </c>
      <c r="B547">
        <v>45</v>
      </c>
      <c r="C547" t="s">
        <v>13</v>
      </c>
      <c r="D547">
        <v>11010</v>
      </c>
      <c r="E547">
        <v>4091579</v>
      </c>
      <c r="F547">
        <v>2.6909999999999998E-3</v>
      </c>
      <c r="G547">
        <v>0.997309</v>
      </c>
      <c r="H547">
        <v>96295.115579999998</v>
      </c>
      <c r="I547">
        <v>259.13</v>
      </c>
      <c r="J547">
        <v>96165.550499999998</v>
      </c>
      <c r="K547">
        <v>3194379.8620000002</v>
      </c>
      <c r="L547">
        <v>33.172812999999998</v>
      </c>
      <c r="M547">
        <v>0.96295115600000003</v>
      </c>
      <c r="N547">
        <v>-5.9178424072373685</v>
      </c>
      <c r="O547">
        <v>2.6946238514882173E-3</v>
      </c>
    </row>
    <row r="548" spans="1:15" x14ac:dyDescent="0.3">
      <c r="A548">
        <v>2017</v>
      </c>
      <c r="B548">
        <v>46</v>
      </c>
      <c r="C548" t="s">
        <v>13</v>
      </c>
      <c r="D548">
        <v>12543</v>
      </c>
      <c r="E548">
        <v>4320583</v>
      </c>
      <c r="F548">
        <v>2.9030000000000002E-3</v>
      </c>
      <c r="G548">
        <v>0.99709700000000001</v>
      </c>
      <c r="H548">
        <v>96035.995760000005</v>
      </c>
      <c r="I548">
        <v>278.79000000000002</v>
      </c>
      <c r="J548">
        <v>95896.59951</v>
      </c>
      <c r="K548">
        <v>3098214.3110000002</v>
      </c>
      <c r="L548">
        <v>32.260969299999999</v>
      </c>
      <c r="M548">
        <v>0.96035995799999996</v>
      </c>
      <c r="N548">
        <v>-5.8420105939396443</v>
      </c>
      <c r="O548">
        <v>2.9071939218522197E-3</v>
      </c>
    </row>
    <row r="549" spans="1:15" x14ac:dyDescent="0.3">
      <c r="A549">
        <v>2017</v>
      </c>
      <c r="B549">
        <v>47</v>
      </c>
      <c r="C549" t="s">
        <v>13</v>
      </c>
      <c r="D549">
        <v>13533</v>
      </c>
      <c r="E549">
        <v>4370964</v>
      </c>
      <c r="F549">
        <v>3.0959999999999998E-3</v>
      </c>
      <c r="G549">
        <v>0.99690400000000001</v>
      </c>
      <c r="H549">
        <v>95757.195540000001</v>
      </c>
      <c r="I549">
        <v>296.45999999999998</v>
      </c>
      <c r="J549">
        <v>95608.963399999993</v>
      </c>
      <c r="K549">
        <v>3002317.7119999998</v>
      </c>
      <c r="L549">
        <v>31.35344237</v>
      </c>
      <c r="M549">
        <v>0.95757195500000003</v>
      </c>
      <c r="N549">
        <v>-5.7776443232546564</v>
      </c>
      <c r="O549">
        <v>3.1007554760456532E-3</v>
      </c>
    </row>
    <row r="550" spans="1:15" x14ac:dyDescent="0.3">
      <c r="A550">
        <v>2017</v>
      </c>
      <c r="B550">
        <v>48</v>
      </c>
      <c r="C550" t="s">
        <v>13</v>
      </c>
      <c r="D550">
        <v>13891</v>
      </c>
      <c r="E550">
        <v>4140010</v>
      </c>
      <c r="F550">
        <v>3.3549999999999999E-3</v>
      </c>
      <c r="G550">
        <v>0.996645</v>
      </c>
      <c r="H550">
        <v>95460.720409999994</v>
      </c>
      <c r="I550">
        <v>320.27</v>
      </c>
      <c r="J550">
        <v>95300.585049999994</v>
      </c>
      <c r="K550">
        <v>2906708.7480000001</v>
      </c>
      <c r="L550">
        <v>30.44926474</v>
      </c>
      <c r="M550">
        <v>0.95460720399999999</v>
      </c>
      <c r="N550">
        <v>-5.697303508558492</v>
      </c>
      <c r="O550">
        <v>3.360630460948096E-3</v>
      </c>
    </row>
    <row r="551" spans="1:15" x14ac:dyDescent="0.3">
      <c r="A551">
        <v>2017</v>
      </c>
      <c r="B551">
        <v>49</v>
      </c>
      <c r="C551" t="s">
        <v>13</v>
      </c>
      <c r="D551">
        <v>14721</v>
      </c>
      <c r="E551">
        <v>4050722</v>
      </c>
      <c r="F551">
        <v>3.6340000000000001E-3</v>
      </c>
      <c r="G551">
        <v>0.99636599999999997</v>
      </c>
      <c r="H551">
        <v>95140.420490000004</v>
      </c>
      <c r="I551">
        <v>345.74</v>
      </c>
      <c r="J551">
        <v>94967.550350000005</v>
      </c>
      <c r="K551">
        <v>2811408.1630000002</v>
      </c>
      <c r="L551">
        <v>29.55009184</v>
      </c>
      <c r="M551">
        <v>0.951404205</v>
      </c>
      <c r="N551">
        <v>-5.6174213090081579</v>
      </c>
      <c r="O551">
        <v>3.6406122686164924E-3</v>
      </c>
    </row>
    <row r="552" spans="1:15" x14ac:dyDescent="0.3">
      <c r="A552">
        <v>2017</v>
      </c>
      <c r="B552">
        <v>50</v>
      </c>
      <c r="C552" t="s">
        <v>13</v>
      </c>
      <c r="D552">
        <v>16425</v>
      </c>
      <c r="E552">
        <v>4051078</v>
      </c>
      <c r="F552">
        <v>4.0540000000000003E-3</v>
      </c>
      <c r="G552">
        <v>0.995946</v>
      </c>
      <c r="H552">
        <v>94794.664319999996</v>
      </c>
      <c r="I552">
        <v>384.3</v>
      </c>
      <c r="J552">
        <v>94602.515539999993</v>
      </c>
      <c r="K552">
        <v>2716440.6129999999</v>
      </c>
      <c r="L552">
        <v>28.656049710000001</v>
      </c>
      <c r="M552">
        <v>0.94794664299999998</v>
      </c>
      <c r="N552">
        <v>-5.5080512309523284</v>
      </c>
      <c r="O552">
        <v>4.0622608136003536E-3</v>
      </c>
    </row>
    <row r="553" spans="1:15" x14ac:dyDescent="0.3">
      <c r="A553">
        <v>2017</v>
      </c>
      <c r="B553">
        <v>51</v>
      </c>
      <c r="C553" t="s">
        <v>13</v>
      </c>
      <c r="D553">
        <v>18497</v>
      </c>
      <c r="E553">
        <v>4121394</v>
      </c>
      <c r="F553">
        <v>4.4879999999999998E-3</v>
      </c>
      <c r="G553">
        <v>0.99551199999999995</v>
      </c>
      <c r="H553">
        <v>94410.321590000007</v>
      </c>
      <c r="I553">
        <v>423.71</v>
      </c>
      <c r="J553">
        <v>94198.464829999997</v>
      </c>
      <c r="K553">
        <v>2621838.0970000001</v>
      </c>
      <c r="L553">
        <v>27.770672250000001</v>
      </c>
      <c r="M553">
        <v>0.94410321600000002</v>
      </c>
      <c r="N553">
        <v>-5.4063481107617415</v>
      </c>
      <c r="O553">
        <v>4.4980564198480125E-3</v>
      </c>
    </row>
    <row r="554" spans="1:15" x14ac:dyDescent="0.3">
      <c r="A554">
        <v>2017</v>
      </c>
      <c r="B554">
        <v>52</v>
      </c>
      <c r="C554" t="s">
        <v>13</v>
      </c>
      <c r="D554">
        <v>20726</v>
      </c>
      <c r="E554">
        <v>4363205</v>
      </c>
      <c r="F554">
        <v>4.7499999999999999E-3</v>
      </c>
      <c r="G554">
        <v>0.99524999999999997</v>
      </c>
      <c r="H554">
        <v>93986.603860000003</v>
      </c>
      <c r="I554">
        <v>446.44</v>
      </c>
      <c r="J554">
        <v>93763.385680000007</v>
      </c>
      <c r="K554">
        <v>2527639.6329999999</v>
      </c>
      <c r="L554">
        <v>26.893615990000001</v>
      </c>
      <c r="M554">
        <v>0.93986603899999999</v>
      </c>
      <c r="N554">
        <v>-5.3496106609355873</v>
      </c>
      <c r="O554">
        <v>4.761347263550199E-3</v>
      </c>
    </row>
    <row r="555" spans="1:15" x14ac:dyDescent="0.3">
      <c r="A555">
        <v>2017</v>
      </c>
      <c r="B555">
        <v>53</v>
      </c>
      <c r="C555" t="s">
        <v>13</v>
      </c>
      <c r="D555">
        <v>23291</v>
      </c>
      <c r="E555">
        <v>4437426</v>
      </c>
      <c r="F555">
        <v>5.2490000000000002E-3</v>
      </c>
      <c r="G555">
        <v>0.99475100000000005</v>
      </c>
      <c r="H555">
        <v>93540.150769999993</v>
      </c>
      <c r="I555">
        <v>490.99</v>
      </c>
      <c r="J555">
        <v>93294.654639999993</v>
      </c>
      <c r="K555">
        <v>2433876.247</v>
      </c>
      <c r="L555">
        <v>26.019588670000001</v>
      </c>
      <c r="M555">
        <v>0.93540150799999999</v>
      </c>
      <c r="N555">
        <v>-5.2497176967119739</v>
      </c>
      <c r="O555">
        <v>5.2627874950411024E-3</v>
      </c>
    </row>
    <row r="556" spans="1:15" x14ac:dyDescent="0.3">
      <c r="A556">
        <v>2017</v>
      </c>
      <c r="B556">
        <v>54</v>
      </c>
      <c r="C556" t="s">
        <v>13</v>
      </c>
      <c r="D556">
        <v>25505</v>
      </c>
      <c r="E556">
        <v>4427991</v>
      </c>
      <c r="F556">
        <v>5.7600000000000004E-3</v>
      </c>
      <c r="G556">
        <v>0.99424000000000001</v>
      </c>
      <c r="H556">
        <v>93049.180630000003</v>
      </c>
      <c r="I556">
        <v>535.96</v>
      </c>
      <c r="J556">
        <v>92781.198990000004</v>
      </c>
      <c r="K556">
        <v>2340581.5920000002</v>
      </c>
      <c r="L556">
        <v>25.154241840000001</v>
      </c>
      <c r="M556">
        <v>0.93049180600000003</v>
      </c>
      <c r="N556">
        <v>-5.1568178042743371</v>
      </c>
      <c r="O556">
        <v>5.7766012076856553E-3</v>
      </c>
    </row>
    <row r="557" spans="1:15" x14ac:dyDescent="0.3">
      <c r="A557">
        <v>2017</v>
      </c>
      <c r="B557">
        <v>55</v>
      </c>
      <c r="C557" t="s">
        <v>13</v>
      </c>
      <c r="D557">
        <v>27960</v>
      </c>
      <c r="E557">
        <v>4413266</v>
      </c>
      <c r="F557">
        <v>6.3350000000000004E-3</v>
      </c>
      <c r="G557">
        <v>0.99366500000000002</v>
      </c>
      <c r="H557">
        <v>92513.222150000001</v>
      </c>
      <c r="I557">
        <v>586.07000000000005</v>
      </c>
      <c r="J557">
        <v>92220.186520000003</v>
      </c>
      <c r="K557">
        <v>2247800.3930000002</v>
      </c>
      <c r="L557">
        <v>24.297071720000002</v>
      </c>
      <c r="M557">
        <v>0.925132222</v>
      </c>
      <c r="N557">
        <v>-5.0616654652090345</v>
      </c>
      <c r="O557">
        <v>6.3551176014894394E-3</v>
      </c>
    </row>
    <row r="558" spans="1:15" x14ac:dyDescent="0.3">
      <c r="A558">
        <v>2017</v>
      </c>
      <c r="B558">
        <v>56</v>
      </c>
      <c r="C558" t="s">
        <v>13</v>
      </c>
      <c r="D558">
        <v>30256</v>
      </c>
      <c r="E558">
        <v>4461346</v>
      </c>
      <c r="F558">
        <v>6.7819999999999998E-3</v>
      </c>
      <c r="G558">
        <v>0.99321800000000005</v>
      </c>
      <c r="H558">
        <v>91927.109800000006</v>
      </c>
      <c r="I558">
        <v>623.45000000000005</v>
      </c>
      <c r="J558">
        <v>91615.384969999999</v>
      </c>
      <c r="K558">
        <v>2155580.2069999999</v>
      </c>
      <c r="L558">
        <v>23.448797760000001</v>
      </c>
      <c r="M558">
        <v>0.91927109799999995</v>
      </c>
      <c r="N558">
        <v>-4.9934832352786902</v>
      </c>
      <c r="O558">
        <v>6.8050790889951042E-3</v>
      </c>
    </row>
    <row r="559" spans="1:15" x14ac:dyDescent="0.3">
      <c r="A559">
        <v>2017</v>
      </c>
      <c r="B559">
        <v>57</v>
      </c>
      <c r="C559" t="s">
        <v>13</v>
      </c>
      <c r="D559">
        <v>32705</v>
      </c>
      <c r="E559">
        <v>4493573</v>
      </c>
      <c r="F559">
        <v>7.2779999999999997E-3</v>
      </c>
      <c r="G559">
        <v>0.99272199999999999</v>
      </c>
      <c r="H559">
        <v>91303.677630000006</v>
      </c>
      <c r="I559">
        <v>664.51</v>
      </c>
      <c r="J559">
        <v>90971.423550000007</v>
      </c>
      <c r="K559">
        <v>2063964.8219999999</v>
      </c>
      <c r="L559">
        <v>22.605494929999999</v>
      </c>
      <c r="M559">
        <v>0.91303677599999999</v>
      </c>
      <c r="N559">
        <v>-4.9228991797921688</v>
      </c>
      <c r="O559">
        <v>7.304602166982227E-3</v>
      </c>
    </row>
    <row r="560" spans="1:15" x14ac:dyDescent="0.3">
      <c r="A560">
        <v>2017</v>
      </c>
      <c r="B560">
        <v>58</v>
      </c>
      <c r="C560" t="s">
        <v>13</v>
      </c>
      <c r="D560">
        <v>34408</v>
      </c>
      <c r="E560">
        <v>4335891</v>
      </c>
      <c r="F560">
        <v>7.9360000000000003E-3</v>
      </c>
      <c r="G560">
        <v>0.99206399999999995</v>
      </c>
      <c r="H560">
        <v>90639.153699999995</v>
      </c>
      <c r="I560">
        <v>719.31</v>
      </c>
      <c r="J560">
        <v>90279.497539999997</v>
      </c>
      <c r="K560">
        <v>1972993.398</v>
      </c>
      <c r="L560">
        <v>21.767562009999999</v>
      </c>
      <c r="M560">
        <v>0.90639153699999997</v>
      </c>
      <c r="N560">
        <v>-4.8363459089995651</v>
      </c>
      <c r="O560">
        <v>7.9675882541742626E-3</v>
      </c>
    </row>
    <row r="561" spans="1:15" x14ac:dyDescent="0.3">
      <c r="A561">
        <v>2017</v>
      </c>
      <c r="B561">
        <v>59</v>
      </c>
      <c r="C561" t="s">
        <v>13</v>
      </c>
      <c r="D561">
        <v>36769</v>
      </c>
      <c r="E561">
        <v>4303880</v>
      </c>
      <c r="F561">
        <v>8.5430000000000002E-3</v>
      </c>
      <c r="G561">
        <v>0.99145700000000003</v>
      </c>
      <c r="H561">
        <v>89919.875469999999</v>
      </c>
      <c r="I561">
        <v>768.19</v>
      </c>
      <c r="J561">
        <v>89535.782720000003</v>
      </c>
      <c r="K561">
        <v>1882713.9010000001</v>
      </c>
      <c r="L561">
        <v>20.937683589999999</v>
      </c>
      <c r="M561">
        <v>0.89919875500000002</v>
      </c>
      <c r="N561">
        <v>-4.7626430448126555</v>
      </c>
      <c r="O561">
        <v>8.5796992227478667E-3</v>
      </c>
    </row>
    <row r="562" spans="1:15" x14ac:dyDescent="0.3">
      <c r="A562">
        <v>2017</v>
      </c>
      <c r="B562">
        <v>60</v>
      </c>
      <c r="C562" t="s">
        <v>13</v>
      </c>
      <c r="D562">
        <v>39052</v>
      </c>
      <c r="E562">
        <v>4249921</v>
      </c>
      <c r="F562">
        <v>9.1889999999999993E-3</v>
      </c>
      <c r="G562">
        <v>0.990811</v>
      </c>
      <c r="H562">
        <v>89151.670060000004</v>
      </c>
      <c r="I562">
        <v>819.21</v>
      </c>
      <c r="J562">
        <v>88742.062709999998</v>
      </c>
      <c r="K562">
        <v>1793178.118</v>
      </c>
      <c r="L562">
        <v>20.11379166</v>
      </c>
      <c r="M562">
        <v>0.89151670100000002</v>
      </c>
      <c r="N562">
        <v>-4.6897481624633892</v>
      </c>
      <c r="O562">
        <v>9.231360238995269E-3</v>
      </c>
    </row>
    <row r="563" spans="1:15" x14ac:dyDescent="0.3">
      <c r="A563">
        <v>2017</v>
      </c>
      <c r="B563">
        <v>61</v>
      </c>
      <c r="C563" t="s">
        <v>13</v>
      </c>
      <c r="D563">
        <v>40211</v>
      </c>
      <c r="E563">
        <v>4091662</v>
      </c>
      <c r="F563">
        <v>9.8279999999999999E-3</v>
      </c>
      <c r="G563">
        <v>0.99017200000000005</v>
      </c>
      <c r="H563">
        <v>88332.466360000006</v>
      </c>
      <c r="I563">
        <v>868.13</v>
      </c>
      <c r="J563">
        <v>87898.40062</v>
      </c>
      <c r="K563">
        <v>1704436.0549999999</v>
      </c>
      <c r="L563">
        <v>19.295691900000001</v>
      </c>
      <c r="M563">
        <v>0.88332466399999998</v>
      </c>
      <c r="N563">
        <v>-4.622519824323204</v>
      </c>
      <c r="O563">
        <v>9.8765142050154416E-3</v>
      </c>
    </row>
    <row r="564" spans="1:15" x14ac:dyDescent="0.3">
      <c r="A564">
        <v>2017</v>
      </c>
      <c r="B564">
        <v>62</v>
      </c>
      <c r="C564" t="s">
        <v>13</v>
      </c>
      <c r="D564">
        <v>41855</v>
      </c>
      <c r="E564">
        <v>4050159</v>
      </c>
      <c r="F564">
        <v>1.0333999999999999E-2</v>
      </c>
      <c r="G564">
        <v>0.98966600000000005</v>
      </c>
      <c r="H564">
        <v>87464.374909999999</v>
      </c>
      <c r="I564">
        <v>903.86</v>
      </c>
      <c r="J564">
        <v>87012.446479999999</v>
      </c>
      <c r="K564">
        <v>1616537.655</v>
      </c>
      <c r="L564">
        <v>18.48224098</v>
      </c>
      <c r="M564">
        <v>0.87464374899999997</v>
      </c>
      <c r="N564">
        <v>-4.5723158491171443</v>
      </c>
      <c r="O564">
        <v>1.0387710151979455E-2</v>
      </c>
    </row>
    <row r="565" spans="1:15" x14ac:dyDescent="0.3">
      <c r="A565">
        <v>2017</v>
      </c>
      <c r="B565">
        <v>63</v>
      </c>
      <c r="C565" t="s">
        <v>13</v>
      </c>
      <c r="D565">
        <v>43813</v>
      </c>
      <c r="E565">
        <v>3875907</v>
      </c>
      <c r="F565">
        <v>1.1304E-2</v>
      </c>
      <c r="G565">
        <v>0.98869600000000002</v>
      </c>
      <c r="H565">
        <v>86560.50387</v>
      </c>
      <c r="I565">
        <v>978.48</v>
      </c>
      <c r="J565">
        <v>86071.263900000005</v>
      </c>
      <c r="K565">
        <v>1529525.2080000001</v>
      </c>
      <c r="L565">
        <v>17.670012759999999</v>
      </c>
      <c r="M565">
        <v>0.86560503899999997</v>
      </c>
      <c r="N565">
        <v>-4.4825986335999106</v>
      </c>
      <c r="O565">
        <v>1.1368253741707669E-2</v>
      </c>
    </row>
    <row r="566" spans="1:15" x14ac:dyDescent="0.3">
      <c r="A566">
        <v>2017</v>
      </c>
      <c r="B566">
        <v>64</v>
      </c>
      <c r="C566" t="s">
        <v>13</v>
      </c>
      <c r="D566">
        <v>44977</v>
      </c>
      <c r="E566">
        <v>3720053</v>
      </c>
      <c r="F566">
        <v>1.209E-2</v>
      </c>
      <c r="G566">
        <v>0.98790999999999995</v>
      </c>
      <c r="H566">
        <v>85582.029580000002</v>
      </c>
      <c r="I566">
        <v>1034.69</v>
      </c>
      <c r="J566">
        <v>85064.68621</v>
      </c>
      <c r="K566">
        <v>1443453.9439999999</v>
      </c>
      <c r="L566">
        <v>16.866320550000001</v>
      </c>
      <c r="M566">
        <v>0.85582029599999998</v>
      </c>
      <c r="N566">
        <v>-4.415376614355436</v>
      </c>
      <c r="O566">
        <v>1.2163569446424201E-2</v>
      </c>
    </row>
    <row r="567" spans="1:15" x14ac:dyDescent="0.3">
      <c r="A567">
        <v>2017</v>
      </c>
      <c r="B567">
        <v>65</v>
      </c>
      <c r="C567" t="s">
        <v>13</v>
      </c>
      <c r="D567">
        <v>46147</v>
      </c>
      <c r="E567">
        <v>3567978</v>
      </c>
      <c r="F567">
        <v>1.2933999999999999E-2</v>
      </c>
      <c r="G567">
        <v>0.987066</v>
      </c>
      <c r="H567">
        <v>84547.306970000005</v>
      </c>
      <c r="I567">
        <v>1093.53</v>
      </c>
      <c r="J567">
        <v>84000.539539999998</v>
      </c>
      <c r="K567">
        <v>1358389.2579999999</v>
      </c>
      <c r="L567">
        <v>16.066617690000001</v>
      </c>
      <c r="M567">
        <v>0.84547307000000005</v>
      </c>
      <c r="N567">
        <v>-4.3478957759577357</v>
      </c>
      <c r="O567">
        <v>1.3018128415659611E-2</v>
      </c>
    </row>
    <row r="568" spans="1:15" x14ac:dyDescent="0.3">
      <c r="A568">
        <v>2017</v>
      </c>
      <c r="B568">
        <v>66</v>
      </c>
      <c r="C568" t="s">
        <v>13</v>
      </c>
      <c r="D568">
        <v>46866</v>
      </c>
      <c r="E568">
        <v>3451069</v>
      </c>
      <c r="F568">
        <v>1.358E-2</v>
      </c>
      <c r="G568">
        <v>0.98641999999999996</v>
      </c>
      <c r="H568">
        <v>83453.801189999998</v>
      </c>
      <c r="I568">
        <v>1133.3</v>
      </c>
      <c r="J568">
        <v>82887.149879999997</v>
      </c>
      <c r="K568">
        <v>1274388.719</v>
      </c>
      <c r="L568">
        <v>15.27058924</v>
      </c>
      <c r="M568">
        <v>0.834538012</v>
      </c>
      <c r="N568">
        <v>-4.2991571568515869</v>
      </c>
      <c r="O568">
        <v>1.3672807926077024E-2</v>
      </c>
    </row>
    <row r="569" spans="1:15" x14ac:dyDescent="0.3">
      <c r="A569">
        <v>2017</v>
      </c>
      <c r="B569">
        <v>67</v>
      </c>
      <c r="C569" t="s">
        <v>13</v>
      </c>
      <c r="D569">
        <v>48644</v>
      </c>
      <c r="E569">
        <v>3361747</v>
      </c>
      <c r="F569">
        <v>1.447E-2</v>
      </c>
      <c r="G569">
        <v>0.98553000000000002</v>
      </c>
      <c r="H569">
        <v>82320.48689</v>
      </c>
      <c r="I569">
        <v>1191.18</v>
      </c>
      <c r="J569">
        <v>81724.89817</v>
      </c>
      <c r="K569">
        <v>1191501.5689999999</v>
      </c>
      <c r="L569">
        <v>14.473937340000001</v>
      </c>
      <c r="M569">
        <v>0.82320486900000001</v>
      </c>
      <c r="N569">
        <v>-4.2356777383387447</v>
      </c>
      <c r="O569">
        <v>1.4575483618675871E-2</v>
      </c>
    </row>
    <row r="570" spans="1:15" x14ac:dyDescent="0.3">
      <c r="A570">
        <v>2017</v>
      </c>
      <c r="B570">
        <v>68</v>
      </c>
      <c r="C570" t="s">
        <v>13</v>
      </c>
      <c r="D570">
        <v>51393</v>
      </c>
      <c r="E570">
        <v>3251249</v>
      </c>
      <c r="F570">
        <v>1.5807000000000002E-2</v>
      </c>
      <c r="G570">
        <v>0.98419299999999998</v>
      </c>
      <c r="H570">
        <v>81129.321179999999</v>
      </c>
      <c r="I570">
        <v>1282.4100000000001</v>
      </c>
      <c r="J570">
        <v>80488.115590000001</v>
      </c>
      <c r="K570">
        <v>1109776.67</v>
      </c>
      <c r="L570">
        <v>13.67910706</v>
      </c>
      <c r="M570">
        <v>0.81129321200000004</v>
      </c>
      <c r="N570">
        <v>-4.1473023990868789</v>
      </c>
      <c r="O570">
        <v>1.5932912473536221E-2</v>
      </c>
    </row>
    <row r="571" spans="1:15" x14ac:dyDescent="0.3">
      <c r="A571">
        <v>2017</v>
      </c>
      <c r="B571">
        <v>69</v>
      </c>
      <c r="C571" t="s">
        <v>13</v>
      </c>
      <c r="D571">
        <v>55037</v>
      </c>
      <c r="E571">
        <v>3204338</v>
      </c>
      <c r="F571">
        <v>1.7176E-2</v>
      </c>
      <c r="G571">
        <v>0.98282400000000003</v>
      </c>
      <c r="H571">
        <v>79846.897339999996</v>
      </c>
      <c r="I571">
        <v>1371.45</v>
      </c>
      <c r="J571">
        <v>79161.172189999997</v>
      </c>
      <c r="K571">
        <v>1029288.5550000001</v>
      </c>
      <c r="L571">
        <v>12.89077709</v>
      </c>
      <c r="M571">
        <v>0.79846897299999997</v>
      </c>
      <c r="N571">
        <v>-4.0642422184056572</v>
      </c>
      <c r="O571">
        <v>1.7324779421455078E-2</v>
      </c>
    </row>
    <row r="572" spans="1:15" x14ac:dyDescent="0.3">
      <c r="A572">
        <v>2017</v>
      </c>
      <c r="B572">
        <v>70</v>
      </c>
      <c r="C572" t="s">
        <v>13</v>
      </c>
      <c r="D572">
        <v>60062</v>
      </c>
      <c r="E572">
        <v>3324662</v>
      </c>
      <c r="F572">
        <v>1.8065999999999999E-2</v>
      </c>
      <c r="G572">
        <v>0.98193399999999997</v>
      </c>
      <c r="H572">
        <v>78475.46471</v>
      </c>
      <c r="I572">
        <v>1417.74</v>
      </c>
      <c r="J572">
        <v>77766.595839999994</v>
      </c>
      <c r="K572">
        <v>950127.38269999996</v>
      </c>
      <c r="L572">
        <v>12.107317699999999</v>
      </c>
      <c r="M572">
        <v>0.78475464699999997</v>
      </c>
      <c r="N572">
        <v>-4.0137235602544852</v>
      </c>
      <c r="O572">
        <v>1.8230702985496713E-2</v>
      </c>
    </row>
    <row r="573" spans="1:15" x14ac:dyDescent="0.3">
      <c r="A573">
        <v>2017</v>
      </c>
      <c r="B573">
        <v>71</v>
      </c>
      <c r="C573" t="s">
        <v>13</v>
      </c>
      <c r="D573">
        <v>50657</v>
      </c>
      <c r="E573">
        <v>2443843</v>
      </c>
      <c r="F573">
        <v>2.0728E-2</v>
      </c>
      <c r="G573">
        <v>0.97927200000000003</v>
      </c>
      <c r="H573">
        <v>77057.758679999999</v>
      </c>
      <c r="I573">
        <v>1597.25</v>
      </c>
      <c r="J573">
        <v>76259.132070000007</v>
      </c>
      <c r="K573">
        <v>872360.78689999995</v>
      </c>
      <c r="L573">
        <v>11.32086894</v>
      </c>
      <c r="M573">
        <v>0.77057758700000001</v>
      </c>
      <c r="N573">
        <v>-3.8762698357223284</v>
      </c>
      <c r="O573">
        <v>2.0945036930962151E-2</v>
      </c>
    </row>
    <row r="574" spans="1:15" x14ac:dyDescent="0.3">
      <c r="A574">
        <v>2017</v>
      </c>
      <c r="B574">
        <v>72</v>
      </c>
      <c r="C574" t="s">
        <v>13</v>
      </c>
      <c r="D574">
        <v>52985</v>
      </c>
      <c r="E574">
        <v>2399286</v>
      </c>
      <c r="F574">
        <v>2.2083999999999999E-2</v>
      </c>
      <c r="G574">
        <v>0.97791600000000001</v>
      </c>
      <c r="H574">
        <v>75460.473230000003</v>
      </c>
      <c r="I574">
        <v>1666.47</v>
      </c>
      <c r="J574">
        <v>74627.238679999995</v>
      </c>
      <c r="K574">
        <v>796101.65480000002</v>
      </c>
      <c r="L574">
        <v>10.54991601</v>
      </c>
      <c r="M574">
        <v>0.754604732</v>
      </c>
      <c r="N574">
        <v>-3.8129019145603391</v>
      </c>
      <c r="O574">
        <v>2.2330582467863534E-2</v>
      </c>
    </row>
    <row r="575" spans="1:15" x14ac:dyDescent="0.3">
      <c r="A575">
        <v>2017</v>
      </c>
      <c r="B575">
        <v>73</v>
      </c>
      <c r="C575" t="s">
        <v>13</v>
      </c>
      <c r="D575">
        <v>57047</v>
      </c>
      <c r="E575">
        <v>2321473</v>
      </c>
      <c r="F575">
        <v>2.4573999999999999E-2</v>
      </c>
      <c r="G575">
        <v>0.97542600000000002</v>
      </c>
      <c r="H575">
        <v>73794.030310000002</v>
      </c>
      <c r="I575">
        <v>1813.41</v>
      </c>
      <c r="J575">
        <v>72887.323059999995</v>
      </c>
      <c r="K575">
        <v>721474.41610000003</v>
      </c>
      <c r="L575">
        <v>9.7768669510000006</v>
      </c>
      <c r="M575">
        <v>0.73794030300000002</v>
      </c>
      <c r="N575">
        <v>-3.7060663055367575</v>
      </c>
      <c r="O575">
        <v>2.4879630324202977E-2</v>
      </c>
    </row>
    <row r="576" spans="1:15" x14ac:dyDescent="0.3">
      <c r="A576">
        <v>2017</v>
      </c>
      <c r="B576">
        <v>74</v>
      </c>
      <c r="C576" t="s">
        <v>13</v>
      </c>
      <c r="D576">
        <v>62772</v>
      </c>
      <c r="E576">
        <v>2357801</v>
      </c>
      <c r="F576">
        <v>2.6623000000000001E-2</v>
      </c>
      <c r="G576">
        <v>0.97337700000000005</v>
      </c>
      <c r="H576">
        <v>71980.643700000001</v>
      </c>
      <c r="I576">
        <v>1916.34</v>
      </c>
      <c r="J576">
        <v>71022.473360000004</v>
      </c>
      <c r="K576">
        <v>648587.09310000006</v>
      </c>
      <c r="L576">
        <v>9.0105764510000004</v>
      </c>
      <c r="M576">
        <v>0.71980643700000002</v>
      </c>
      <c r="N576">
        <v>-3.625979775144891</v>
      </c>
      <c r="O576">
        <v>2.6982165194734158E-2</v>
      </c>
    </row>
    <row r="577" spans="1:15" x14ac:dyDescent="0.3">
      <c r="A577">
        <v>2017</v>
      </c>
      <c r="B577">
        <v>75</v>
      </c>
      <c r="C577" t="s">
        <v>13</v>
      </c>
      <c r="D577">
        <v>59741</v>
      </c>
      <c r="E577">
        <v>2039236</v>
      </c>
      <c r="F577">
        <v>2.9295999999999999E-2</v>
      </c>
      <c r="G577">
        <v>0.97070400000000001</v>
      </c>
      <c r="H577">
        <v>70064.294959999999</v>
      </c>
      <c r="I577">
        <v>2052.6</v>
      </c>
      <c r="J577">
        <v>69037.993170000002</v>
      </c>
      <c r="K577">
        <v>577564.61970000004</v>
      </c>
      <c r="L577">
        <v>8.2433516250000007</v>
      </c>
      <c r="M577">
        <v>0.70064294999999999</v>
      </c>
      <c r="N577">
        <v>-3.530304291049982</v>
      </c>
      <c r="O577">
        <v>2.9731451797965578E-2</v>
      </c>
    </row>
    <row r="578" spans="1:15" x14ac:dyDescent="0.3">
      <c r="A578">
        <v>2017</v>
      </c>
      <c r="B578">
        <v>76</v>
      </c>
      <c r="C578" t="s">
        <v>13</v>
      </c>
      <c r="D578">
        <v>59324</v>
      </c>
      <c r="E578">
        <v>1847158</v>
      </c>
      <c r="F578">
        <v>3.2115999999999999E-2</v>
      </c>
      <c r="G578">
        <v>0.96788399999999997</v>
      </c>
      <c r="H578">
        <v>68011.707110000003</v>
      </c>
      <c r="I578">
        <v>2184.2600000000002</v>
      </c>
      <c r="J578">
        <v>66919.575119999994</v>
      </c>
      <c r="K578">
        <v>508526.62650000001</v>
      </c>
      <c r="L578">
        <v>7.4770454700000002</v>
      </c>
      <c r="M578">
        <v>0.68011707099999996</v>
      </c>
      <c r="N578">
        <v>-3.4384009306596997</v>
      </c>
      <c r="O578">
        <v>3.2640081784491376E-2</v>
      </c>
    </row>
    <row r="579" spans="1:15" x14ac:dyDescent="0.3">
      <c r="A579">
        <v>2017</v>
      </c>
      <c r="B579">
        <v>77</v>
      </c>
      <c r="C579" t="s">
        <v>13</v>
      </c>
      <c r="D579">
        <v>60470</v>
      </c>
      <c r="E579">
        <v>1729114</v>
      </c>
      <c r="F579">
        <v>3.4972000000000003E-2</v>
      </c>
      <c r="G579">
        <v>0.965028</v>
      </c>
      <c r="H579">
        <v>65827.418319999997</v>
      </c>
      <c r="I579">
        <v>2302.12</v>
      </c>
      <c r="J579">
        <v>64676.360079999999</v>
      </c>
      <c r="K579">
        <v>441607.0514</v>
      </c>
      <c r="L579">
        <v>6.7085579639999997</v>
      </c>
      <c r="M579">
        <v>0.65827418299999996</v>
      </c>
      <c r="N579">
        <v>-3.3532075376634922</v>
      </c>
      <c r="O579">
        <v>3.5594452247639845E-2</v>
      </c>
    </row>
    <row r="580" spans="1:15" x14ac:dyDescent="0.3">
      <c r="A580">
        <v>2017</v>
      </c>
      <c r="B580">
        <v>78</v>
      </c>
      <c r="C580" t="s">
        <v>13</v>
      </c>
      <c r="D580">
        <v>62698</v>
      </c>
      <c r="E580">
        <v>1607240</v>
      </c>
      <c r="F580">
        <v>3.9010000000000003E-2</v>
      </c>
      <c r="G580">
        <v>0.96099000000000001</v>
      </c>
      <c r="H580">
        <v>63525.323729999996</v>
      </c>
      <c r="I580">
        <v>2478.12</v>
      </c>
      <c r="J580">
        <v>62286.262289999999</v>
      </c>
      <c r="K580">
        <v>376930.69130000001</v>
      </c>
      <c r="L580">
        <v>5.9335501060000002</v>
      </c>
      <c r="M580">
        <v>0.63525323700000003</v>
      </c>
      <c r="N580">
        <v>-3.2439372554635719</v>
      </c>
      <c r="O580">
        <v>3.9785974770663111E-2</v>
      </c>
    </row>
    <row r="581" spans="1:15" x14ac:dyDescent="0.3">
      <c r="A581">
        <v>2017</v>
      </c>
      <c r="B581">
        <v>79</v>
      </c>
      <c r="C581" t="s">
        <v>13</v>
      </c>
      <c r="D581">
        <v>65265</v>
      </c>
      <c r="E581">
        <v>1518513</v>
      </c>
      <c r="F581">
        <v>4.2979999999999997E-2</v>
      </c>
      <c r="G581">
        <v>0.95701999999999998</v>
      </c>
      <c r="H581">
        <v>61047.217940000002</v>
      </c>
      <c r="I581">
        <v>2623.81</v>
      </c>
      <c r="J581">
        <v>59735.31323</v>
      </c>
      <c r="K581">
        <v>314644.429</v>
      </c>
      <c r="L581">
        <v>5.1541157760000003</v>
      </c>
      <c r="M581">
        <v>0.61047217899999995</v>
      </c>
      <c r="N581">
        <v>-3.1470203877677729</v>
      </c>
      <c r="O581">
        <v>4.3923924563522107E-2</v>
      </c>
    </row>
    <row r="582" spans="1:15" x14ac:dyDescent="0.3">
      <c r="A582">
        <v>2017</v>
      </c>
      <c r="B582">
        <v>80</v>
      </c>
      <c r="C582" t="s">
        <v>13</v>
      </c>
      <c r="D582">
        <v>66019</v>
      </c>
      <c r="E582">
        <v>1378494</v>
      </c>
      <c r="F582">
        <v>4.7891999999999997E-2</v>
      </c>
      <c r="G582">
        <v>0.95210799999999995</v>
      </c>
      <c r="H582">
        <v>58423.436199999996</v>
      </c>
      <c r="I582">
        <v>2798.02</v>
      </c>
      <c r="J582">
        <v>57024.428599999999</v>
      </c>
      <c r="K582">
        <v>254909.1158</v>
      </c>
      <c r="L582">
        <v>4.3631311750000004</v>
      </c>
      <c r="M582">
        <v>0.58423436200000001</v>
      </c>
      <c r="N582">
        <v>-3.0388068031275401</v>
      </c>
      <c r="O582">
        <v>4.9067044434707247E-2</v>
      </c>
    </row>
    <row r="583" spans="1:15" x14ac:dyDescent="0.3">
      <c r="A583">
        <v>2017</v>
      </c>
      <c r="B583">
        <v>81</v>
      </c>
      <c r="C583" t="s">
        <v>13</v>
      </c>
      <c r="D583">
        <v>68230</v>
      </c>
      <c r="E583">
        <v>1293831</v>
      </c>
      <c r="F583">
        <v>5.2734999999999997E-2</v>
      </c>
      <c r="G583">
        <v>0.94726500000000002</v>
      </c>
      <c r="H583">
        <v>55625.413990000001</v>
      </c>
      <c r="I583">
        <v>2933.41</v>
      </c>
      <c r="J583">
        <v>54158.710890000002</v>
      </c>
      <c r="K583">
        <v>197884.68719999999</v>
      </c>
      <c r="L583">
        <v>3.5574510469999998</v>
      </c>
      <c r="M583">
        <v>0.55625413999999995</v>
      </c>
      <c r="N583">
        <v>-2.9424759072535593</v>
      </c>
      <c r="O583">
        <v>5.416321299311011E-2</v>
      </c>
    </row>
    <row r="584" spans="1:15" x14ac:dyDescent="0.3">
      <c r="A584">
        <v>2017</v>
      </c>
      <c r="B584">
        <v>82</v>
      </c>
      <c r="C584" t="s">
        <v>13</v>
      </c>
      <c r="D584">
        <v>71274</v>
      </c>
      <c r="E584">
        <v>1216640</v>
      </c>
      <c r="F584">
        <v>5.8583000000000003E-2</v>
      </c>
      <c r="G584">
        <v>0.94141699999999995</v>
      </c>
      <c r="H584">
        <v>52692.015420000003</v>
      </c>
      <c r="I584">
        <v>3086.86</v>
      </c>
      <c r="J584">
        <v>51148.587249999997</v>
      </c>
      <c r="K584">
        <v>143725.97630000001</v>
      </c>
      <c r="L584">
        <v>2.7276613959999998</v>
      </c>
      <c r="M584">
        <v>0.52692015400000003</v>
      </c>
      <c r="N584">
        <v>-2.8373107268760869</v>
      </c>
      <c r="O584">
        <v>6.0350825224414664E-2</v>
      </c>
    </row>
    <row r="585" spans="1:15" x14ac:dyDescent="0.3">
      <c r="A585">
        <v>2017</v>
      </c>
      <c r="B585">
        <v>83</v>
      </c>
      <c r="C585" t="s">
        <v>13</v>
      </c>
      <c r="D585">
        <v>70855</v>
      </c>
      <c r="E585">
        <v>1068110</v>
      </c>
      <c r="F585">
        <v>6.6336999999999993E-2</v>
      </c>
      <c r="G585">
        <v>0.93366300000000002</v>
      </c>
      <c r="H585">
        <v>49605.177320000003</v>
      </c>
      <c r="I585">
        <v>3290.66</v>
      </c>
      <c r="J585">
        <v>47959.847999999998</v>
      </c>
      <c r="K585">
        <v>92577.389079999994</v>
      </c>
      <c r="L585">
        <v>1.866284813</v>
      </c>
      <c r="M585">
        <v>0.49605177299999997</v>
      </c>
      <c r="N585">
        <v>-2.7130074680715279</v>
      </c>
      <c r="O585">
        <v>6.8612804208839084E-2</v>
      </c>
    </row>
    <row r="586" spans="1:15" x14ac:dyDescent="0.3">
      <c r="A586">
        <v>2017</v>
      </c>
      <c r="B586">
        <v>84</v>
      </c>
      <c r="C586" t="s">
        <v>13</v>
      </c>
      <c r="D586">
        <v>73883</v>
      </c>
      <c r="E586">
        <v>1008215</v>
      </c>
      <c r="F586">
        <v>7.3280999999999999E-2</v>
      </c>
      <c r="G586">
        <v>0.92671899999999996</v>
      </c>
      <c r="H586">
        <v>46314.528570000002</v>
      </c>
      <c r="I586">
        <v>3393.97</v>
      </c>
      <c r="J586">
        <v>44617.541089999999</v>
      </c>
      <c r="K586">
        <v>44617.541089999999</v>
      </c>
      <c r="L586">
        <v>0.96335950000000004</v>
      </c>
      <c r="M586">
        <v>0.46314528599999999</v>
      </c>
      <c r="N586">
        <v>-2.6134539124211624</v>
      </c>
      <c r="O586">
        <v>4.6392795482046091E-2</v>
      </c>
    </row>
    <row r="587" spans="1:15" x14ac:dyDescent="0.3">
      <c r="A587">
        <v>2018</v>
      </c>
      <c r="B587">
        <v>20</v>
      </c>
      <c r="C587" t="s">
        <v>11</v>
      </c>
      <c r="D587">
        <v>890</v>
      </c>
      <c r="E587">
        <v>2087209</v>
      </c>
      <c r="F587">
        <v>4.26E-4</v>
      </c>
      <c r="G587">
        <v>0.99957399999999996</v>
      </c>
      <c r="H587">
        <v>100000</v>
      </c>
      <c r="I587">
        <v>42.6</v>
      </c>
      <c r="J587">
        <v>99978.7</v>
      </c>
      <c r="K587">
        <v>5837832.7089999998</v>
      </c>
      <c r="L587">
        <v>58.378327089999999</v>
      </c>
      <c r="M587">
        <v>1</v>
      </c>
      <c r="N587">
        <v>-7.7610712116949037</v>
      </c>
      <c r="O587">
        <v>4.2609084399534416E-4</v>
      </c>
    </row>
    <row r="588" spans="1:15" x14ac:dyDescent="0.3">
      <c r="A588">
        <v>2018</v>
      </c>
      <c r="B588">
        <v>21</v>
      </c>
      <c r="C588" t="s">
        <v>11</v>
      </c>
      <c r="D588">
        <v>946</v>
      </c>
      <c r="E588">
        <v>2098900</v>
      </c>
      <c r="F588">
        <v>4.5100000000000001E-4</v>
      </c>
      <c r="G588">
        <v>0.99954900000000002</v>
      </c>
      <c r="H588">
        <v>99957.359330000007</v>
      </c>
      <c r="I588">
        <v>45.08</v>
      </c>
      <c r="J588">
        <v>99934.818950000001</v>
      </c>
      <c r="K588">
        <v>5737854.0089999996</v>
      </c>
      <c r="L588">
        <v>57.403017120000001</v>
      </c>
      <c r="M588">
        <v>0.99957359300000004</v>
      </c>
      <c r="N588">
        <v>-7.7040432184615959</v>
      </c>
      <c r="O588">
        <v>4.5109396293677157E-4</v>
      </c>
    </row>
    <row r="589" spans="1:15" x14ac:dyDescent="0.3">
      <c r="A589">
        <v>2018</v>
      </c>
      <c r="B589">
        <v>22</v>
      </c>
      <c r="C589" t="s">
        <v>11</v>
      </c>
      <c r="D589">
        <v>1010</v>
      </c>
      <c r="E589">
        <v>2115157</v>
      </c>
      <c r="F589">
        <v>4.7800000000000002E-4</v>
      </c>
      <c r="G589">
        <v>0.99952200000000002</v>
      </c>
      <c r="H589">
        <v>99912.307320000007</v>
      </c>
      <c r="I589">
        <v>47.76</v>
      </c>
      <c r="J589">
        <v>99888.428279999993</v>
      </c>
      <c r="K589">
        <v>5637919.1900000004</v>
      </c>
      <c r="L589">
        <v>56.428675720000001</v>
      </c>
      <c r="M589">
        <v>0.99912307300000003</v>
      </c>
      <c r="N589">
        <v>-7.6458998254728181</v>
      </c>
      <c r="O589">
        <v>4.7813334359202993E-4</v>
      </c>
    </row>
    <row r="590" spans="1:15" x14ac:dyDescent="0.3">
      <c r="A590">
        <v>2018</v>
      </c>
      <c r="B590">
        <v>23</v>
      </c>
      <c r="C590" t="s">
        <v>11</v>
      </c>
      <c r="D590">
        <v>1110</v>
      </c>
      <c r="E590">
        <v>2162394</v>
      </c>
      <c r="F590">
        <v>5.13E-4</v>
      </c>
      <c r="G590">
        <v>0.99948700000000001</v>
      </c>
      <c r="H590">
        <v>99864.598599999998</v>
      </c>
      <c r="I590">
        <v>51.23</v>
      </c>
      <c r="J590">
        <v>99838.983330000003</v>
      </c>
      <c r="K590">
        <v>5538030.7620000001</v>
      </c>
      <c r="L590">
        <v>55.455395000000003</v>
      </c>
      <c r="M590">
        <v>0.99864598599999999</v>
      </c>
      <c r="N590">
        <v>-7.5752347127935042</v>
      </c>
      <c r="O590">
        <v>5.1312630085445651E-4</v>
      </c>
    </row>
    <row r="591" spans="1:15" x14ac:dyDescent="0.3">
      <c r="A591">
        <v>2018</v>
      </c>
      <c r="B591">
        <v>24</v>
      </c>
      <c r="C591" t="s">
        <v>11</v>
      </c>
      <c r="D591">
        <v>1190</v>
      </c>
      <c r="E591">
        <v>2208372</v>
      </c>
      <c r="F591">
        <v>5.3899999999999998E-4</v>
      </c>
      <c r="G591">
        <v>0.99946100000000004</v>
      </c>
      <c r="H591">
        <v>99813.336110000004</v>
      </c>
      <c r="I591">
        <v>53.8</v>
      </c>
      <c r="J591">
        <v>99786.436419999998</v>
      </c>
      <c r="K591">
        <v>5438191.7779999999</v>
      </c>
      <c r="L591">
        <v>54.48361903</v>
      </c>
      <c r="M591">
        <v>0.99813336100000005</v>
      </c>
      <c r="N591">
        <v>-7.5257949870552769</v>
      </c>
      <c r="O591">
        <v>5.3915139297933568E-4</v>
      </c>
    </row>
    <row r="592" spans="1:15" x14ac:dyDescent="0.3">
      <c r="A592">
        <v>2018</v>
      </c>
      <c r="B592">
        <v>25</v>
      </c>
      <c r="C592" t="s">
        <v>11</v>
      </c>
      <c r="D592">
        <v>1298</v>
      </c>
      <c r="E592">
        <v>2240559</v>
      </c>
      <c r="F592">
        <v>5.7899999999999998E-4</v>
      </c>
      <c r="G592">
        <v>0.999421</v>
      </c>
      <c r="H592">
        <v>99759.550839999996</v>
      </c>
      <c r="I592">
        <v>57.76</v>
      </c>
      <c r="J592">
        <v>99730.670450000005</v>
      </c>
      <c r="K592">
        <v>5338405.3420000002</v>
      </c>
      <c r="L592">
        <v>53.512724319999997</v>
      </c>
      <c r="M592">
        <v>0.99759550799999996</v>
      </c>
      <c r="N592">
        <v>-7.4542080803912789</v>
      </c>
      <c r="O592">
        <v>5.7915994121049506E-4</v>
      </c>
    </row>
    <row r="593" spans="1:15" x14ac:dyDescent="0.3">
      <c r="A593">
        <v>2018</v>
      </c>
      <c r="B593">
        <v>26</v>
      </c>
      <c r="C593" t="s">
        <v>11</v>
      </c>
      <c r="D593">
        <v>1458</v>
      </c>
      <c r="E593">
        <v>2307677</v>
      </c>
      <c r="F593">
        <v>6.3199999999999997E-4</v>
      </c>
      <c r="G593">
        <v>0.99936800000000003</v>
      </c>
      <c r="H593">
        <v>99701.758170000001</v>
      </c>
      <c r="I593">
        <v>63.01</v>
      </c>
      <c r="J593">
        <v>99670.252410000001</v>
      </c>
      <c r="K593">
        <v>5238674.6720000003</v>
      </c>
      <c r="L593">
        <v>52.543453270000001</v>
      </c>
      <c r="M593">
        <v>0.99701758200000001</v>
      </c>
      <c r="N593">
        <v>-7.3666211638174168</v>
      </c>
      <c r="O593">
        <v>6.3218455159040014E-4</v>
      </c>
    </row>
    <row r="594" spans="1:15" x14ac:dyDescent="0.3">
      <c r="A594">
        <v>2018</v>
      </c>
      <c r="B594">
        <v>27</v>
      </c>
      <c r="C594" t="s">
        <v>11</v>
      </c>
      <c r="D594">
        <v>1582</v>
      </c>
      <c r="E594">
        <v>2362325</v>
      </c>
      <c r="F594">
        <v>6.7000000000000002E-4</v>
      </c>
      <c r="G594">
        <v>0.99933000000000005</v>
      </c>
      <c r="H594">
        <v>99638.766180000006</v>
      </c>
      <c r="I594">
        <v>66.760000000000005</v>
      </c>
      <c r="J594">
        <v>99605.387189999994</v>
      </c>
      <c r="K594">
        <v>5139004.4189999998</v>
      </c>
      <c r="L594">
        <v>51.57635543</v>
      </c>
      <c r="M594">
        <v>0.99638766199999995</v>
      </c>
      <c r="N594">
        <v>-7.308232845579262</v>
      </c>
      <c r="O594">
        <v>6.7024476456068523E-4</v>
      </c>
    </row>
    <row r="595" spans="1:15" x14ac:dyDescent="0.3">
      <c r="A595">
        <v>2018</v>
      </c>
      <c r="B595">
        <v>28</v>
      </c>
      <c r="C595" t="s">
        <v>11</v>
      </c>
      <c r="D595">
        <v>1687</v>
      </c>
      <c r="E595">
        <v>2362288</v>
      </c>
      <c r="F595">
        <v>7.1400000000000001E-4</v>
      </c>
      <c r="G595">
        <v>0.99928600000000001</v>
      </c>
      <c r="H595">
        <v>99572.040169999993</v>
      </c>
      <c r="I595">
        <v>71.09</v>
      </c>
      <c r="J595">
        <v>99536.49295</v>
      </c>
      <c r="K595">
        <v>5039399.0319999997</v>
      </c>
      <c r="L595">
        <v>50.610583290000001</v>
      </c>
      <c r="M595">
        <v>0.995720402</v>
      </c>
      <c r="N595">
        <v>-7.2446275956246895</v>
      </c>
      <c r="O595">
        <v>7.1421046499476855E-4</v>
      </c>
    </row>
    <row r="596" spans="1:15" x14ac:dyDescent="0.3">
      <c r="A596">
        <v>2018</v>
      </c>
      <c r="B596">
        <v>29</v>
      </c>
      <c r="C596" t="s">
        <v>11</v>
      </c>
      <c r="D596">
        <v>1807</v>
      </c>
      <c r="E596">
        <v>2270069</v>
      </c>
      <c r="F596">
        <v>7.9600000000000005E-4</v>
      </c>
      <c r="G596">
        <v>0.99920399999999998</v>
      </c>
      <c r="H596">
        <v>99500.931970000005</v>
      </c>
      <c r="I596">
        <v>79.2</v>
      </c>
      <c r="J596">
        <v>99461.330600000001</v>
      </c>
      <c r="K596">
        <v>4939862.5389999999</v>
      </c>
      <c r="L596">
        <v>49.646394669999999</v>
      </c>
      <c r="M596">
        <v>0.99500931999999997</v>
      </c>
      <c r="N596">
        <v>-7.1359113721198915</v>
      </c>
      <c r="O596">
        <v>7.9628937155963564E-4</v>
      </c>
    </row>
    <row r="597" spans="1:15" x14ac:dyDescent="0.3">
      <c r="A597">
        <v>2018</v>
      </c>
      <c r="B597">
        <v>30</v>
      </c>
      <c r="C597" t="s">
        <v>11</v>
      </c>
      <c r="D597">
        <v>1902</v>
      </c>
      <c r="E597">
        <v>2218983</v>
      </c>
      <c r="F597">
        <v>8.5700000000000001E-4</v>
      </c>
      <c r="G597">
        <v>0.999143</v>
      </c>
      <c r="H597">
        <v>99421.728130000003</v>
      </c>
      <c r="I597">
        <v>85.2</v>
      </c>
      <c r="J597">
        <v>99379.125920000006</v>
      </c>
      <c r="K597">
        <v>4840401.2079999996</v>
      </c>
      <c r="L597">
        <v>48.685546909999999</v>
      </c>
      <c r="M597">
        <v>0.99421728099999995</v>
      </c>
      <c r="N597">
        <v>-7.0620726393664945</v>
      </c>
      <c r="O597">
        <v>8.5732295969486404E-4</v>
      </c>
    </row>
    <row r="598" spans="1:15" x14ac:dyDescent="0.3">
      <c r="A598">
        <v>2018</v>
      </c>
      <c r="B598">
        <v>31</v>
      </c>
      <c r="C598" t="s">
        <v>11</v>
      </c>
      <c r="D598">
        <v>1870</v>
      </c>
      <c r="E598">
        <v>2180487</v>
      </c>
      <c r="F598">
        <v>8.5800000000000004E-4</v>
      </c>
      <c r="G598">
        <v>0.99914199999999997</v>
      </c>
      <c r="H598">
        <v>99336.508860000002</v>
      </c>
      <c r="I598">
        <v>85.23</v>
      </c>
      <c r="J598">
        <v>99293.893500000006</v>
      </c>
      <c r="K598">
        <v>4741022.0820000004</v>
      </c>
      <c r="L598">
        <v>47.726884470000002</v>
      </c>
      <c r="M598">
        <v>0.99336508899999998</v>
      </c>
      <c r="N598">
        <v>-7.0609064584763122</v>
      </c>
      <c r="O598">
        <v>8.5836077353460103E-4</v>
      </c>
    </row>
    <row r="599" spans="1:15" x14ac:dyDescent="0.3">
      <c r="A599">
        <v>2018</v>
      </c>
      <c r="B599">
        <v>32</v>
      </c>
      <c r="C599" t="s">
        <v>11</v>
      </c>
      <c r="D599">
        <v>2064</v>
      </c>
      <c r="E599">
        <v>2188295</v>
      </c>
      <c r="F599">
        <v>9.4300000000000004E-4</v>
      </c>
      <c r="G599">
        <v>0.99905699999999997</v>
      </c>
      <c r="H599">
        <v>99251.317209999994</v>
      </c>
      <c r="I599">
        <v>93.59</v>
      </c>
      <c r="J599">
        <v>99204.520210000002</v>
      </c>
      <c r="K599">
        <v>4641728.1890000002</v>
      </c>
      <c r="L599">
        <v>46.76742153</v>
      </c>
      <c r="M599">
        <v>0.992513172</v>
      </c>
      <c r="N599">
        <v>-6.9664442753308169</v>
      </c>
      <c r="O599">
        <v>9.4340468725796506E-4</v>
      </c>
    </row>
    <row r="600" spans="1:15" x14ac:dyDescent="0.3">
      <c r="A600">
        <v>2018</v>
      </c>
      <c r="B600">
        <v>33</v>
      </c>
      <c r="C600" t="s">
        <v>11</v>
      </c>
      <c r="D600">
        <v>2140</v>
      </c>
      <c r="E600">
        <v>2209229</v>
      </c>
      <c r="F600">
        <v>9.6900000000000003E-4</v>
      </c>
      <c r="G600">
        <v>0.999031</v>
      </c>
      <c r="H600">
        <v>99157.70336</v>
      </c>
      <c r="I600">
        <v>96.08</v>
      </c>
      <c r="J600">
        <v>99109.66145</v>
      </c>
      <c r="K600">
        <v>4542523.6689999998</v>
      </c>
      <c r="L600">
        <v>45.811102060000003</v>
      </c>
      <c r="M600">
        <v>0.99157703399999997</v>
      </c>
      <c r="N600">
        <v>-6.9392459460735081</v>
      </c>
      <c r="O600">
        <v>9.6943105676139027E-4</v>
      </c>
    </row>
    <row r="601" spans="1:15" x14ac:dyDescent="0.3">
      <c r="A601">
        <v>2018</v>
      </c>
      <c r="B601">
        <v>34</v>
      </c>
      <c r="C601" t="s">
        <v>11</v>
      </c>
      <c r="D601">
        <v>2172</v>
      </c>
      <c r="E601">
        <v>2147153</v>
      </c>
      <c r="F601">
        <v>1.0120000000000001E-3</v>
      </c>
      <c r="G601">
        <v>0.99898799999999999</v>
      </c>
      <c r="H601">
        <v>99061.652889999998</v>
      </c>
      <c r="I601">
        <v>100.25</v>
      </c>
      <c r="J601">
        <v>99011.527690000003</v>
      </c>
      <c r="K601">
        <v>4443414.0070000002</v>
      </c>
      <c r="L601">
        <v>44.855036009999999</v>
      </c>
      <c r="M601">
        <v>0.99061652899999997</v>
      </c>
      <c r="N601">
        <v>-6.8958267081168634</v>
      </c>
      <c r="O601">
        <v>1.0125081480280233E-3</v>
      </c>
    </row>
    <row r="602" spans="1:15" x14ac:dyDescent="0.3">
      <c r="A602">
        <v>2018</v>
      </c>
      <c r="B602">
        <v>35</v>
      </c>
      <c r="C602" t="s">
        <v>11</v>
      </c>
      <c r="D602">
        <v>2393</v>
      </c>
      <c r="E602">
        <v>2180901</v>
      </c>
      <c r="F602">
        <v>1.0970000000000001E-3</v>
      </c>
      <c r="G602">
        <v>0.99890299999999999</v>
      </c>
      <c r="H602">
        <v>98961.444889999999</v>
      </c>
      <c r="I602">
        <v>108.56</v>
      </c>
      <c r="J602">
        <v>98907.164539999998</v>
      </c>
      <c r="K602">
        <v>4344402.4800000004</v>
      </c>
      <c r="L602">
        <v>43.899949970000002</v>
      </c>
      <c r="M602">
        <v>0.98961444899999995</v>
      </c>
      <c r="N602">
        <v>-6.8151760976890436</v>
      </c>
      <c r="O602">
        <v>1.0975950452254467E-3</v>
      </c>
    </row>
    <row r="603" spans="1:15" x14ac:dyDescent="0.3">
      <c r="A603">
        <v>2018</v>
      </c>
      <c r="B603">
        <v>36</v>
      </c>
      <c r="C603" t="s">
        <v>11</v>
      </c>
      <c r="D603">
        <v>2509</v>
      </c>
      <c r="E603">
        <v>2181088</v>
      </c>
      <c r="F603">
        <v>1.15E-3</v>
      </c>
      <c r="G603">
        <v>0.99885000000000002</v>
      </c>
      <c r="H603">
        <v>98852.859160000007</v>
      </c>
      <c r="I603">
        <v>113.68</v>
      </c>
      <c r="J603">
        <v>98796.018769999995</v>
      </c>
      <c r="K603">
        <v>4245495.3150000004</v>
      </c>
      <c r="L603">
        <v>42.947622869999996</v>
      </c>
      <c r="M603">
        <v>0.98852859199999998</v>
      </c>
      <c r="N603">
        <v>-6.7679933366069784</v>
      </c>
      <c r="O603">
        <v>1.150653851720478E-3</v>
      </c>
    </row>
    <row r="604" spans="1:15" x14ac:dyDescent="0.3">
      <c r="A604">
        <v>2018</v>
      </c>
      <c r="B604">
        <v>37</v>
      </c>
      <c r="C604" t="s">
        <v>11</v>
      </c>
      <c r="D604">
        <v>2584</v>
      </c>
      <c r="E604">
        <v>2158541</v>
      </c>
      <c r="F604">
        <v>1.1969999999999999E-3</v>
      </c>
      <c r="G604">
        <v>0.998803</v>
      </c>
      <c r="H604">
        <v>98739.14443</v>
      </c>
      <c r="I604">
        <v>118.19</v>
      </c>
      <c r="J604">
        <v>98680.049050000001</v>
      </c>
      <c r="K604">
        <v>4146699.2960000001</v>
      </c>
      <c r="L604">
        <v>41.99650828</v>
      </c>
      <c r="M604">
        <v>0.98739144400000001</v>
      </c>
      <c r="N604">
        <v>-6.7279368524063008</v>
      </c>
      <c r="O604">
        <v>1.1977092364258942E-3</v>
      </c>
    </row>
    <row r="605" spans="1:15" x14ac:dyDescent="0.3">
      <c r="A605">
        <v>2018</v>
      </c>
      <c r="B605">
        <v>38</v>
      </c>
      <c r="C605" t="s">
        <v>11</v>
      </c>
      <c r="D605">
        <v>2711</v>
      </c>
      <c r="E605">
        <v>2190232</v>
      </c>
      <c r="F605">
        <v>1.238E-3</v>
      </c>
      <c r="G605">
        <v>0.99876200000000004</v>
      </c>
      <c r="H605">
        <v>98620.943320000006</v>
      </c>
      <c r="I605">
        <v>122.09</v>
      </c>
      <c r="J605">
        <v>98559.896959999998</v>
      </c>
      <c r="K605">
        <v>4048019.247</v>
      </c>
      <c r="L605">
        <v>41.046243429999997</v>
      </c>
      <c r="M605">
        <v>0.98620943299999997</v>
      </c>
      <c r="N605">
        <v>-6.6942581047197329</v>
      </c>
      <c r="O605">
        <v>1.2387389762526248E-3</v>
      </c>
    </row>
    <row r="606" spans="1:15" x14ac:dyDescent="0.3">
      <c r="A606">
        <v>2018</v>
      </c>
      <c r="B606">
        <v>39</v>
      </c>
      <c r="C606" t="s">
        <v>11</v>
      </c>
      <c r="D606">
        <v>2897</v>
      </c>
      <c r="E606">
        <v>2062635</v>
      </c>
      <c r="F606">
        <v>1.405E-3</v>
      </c>
      <c r="G606">
        <v>0.99859500000000001</v>
      </c>
      <c r="H606">
        <v>98498.873430000007</v>
      </c>
      <c r="I606">
        <v>138.38999999999999</v>
      </c>
      <c r="J606">
        <v>98429.677970000004</v>
      </c>
      <c r="K606">
        <v>3949459.35</v>
      </c>
      <c r="L606">
        <v>40.096492609999999</v>
      </c>
      <c r="M606">
        <v>0.98498873399999998</v>
      </c>
      <c r="N606">
        <v>-6.5677179761964277</v>
      </c>
      <c r="O606">
        <v>1.4059780465514138E-3</v>
      </c>
    </row>
    <row r="607" spans="1:15" x14ac:dyDescent="0.3">
      <c r="A607">
        <v>2018</v>
      </c>
      <c r="B607">
        <v>40</v>
      </c>
      <c r="C607" t="s">
        <v>11</v>
      </c>
      <c r="D607">
        <v>2867</v>
      </c>
      <c r="E607">
        <v>2022766</v>
      </c>
      <c r="F607">
        <v>1.4170000000000001E-3</v>
      </c>
      <c r="G607">
        <v>0.998583</v>
      </c>
      <c r="H607">
        <v>98360.530369999993</v>
      </c>
      <c r="I607">
        <v>139.38</v>
      </c>
      <c r="J607">
        <v>98290.841929999995</v>
      </c>
      <c r="K607">
        <v>3851029.6719999998</v>
      </c>
      <c r="L607">
        <v>39.152184900000002</v>
      </c>
      <c r="M607">
        <v>0.98360530400000001</v>
      </c>
      <c r="N607">
        <v>-6.5592133182735939</v>
      </c>
      <c r="O607">
        <v>1.4180367447764275E-3</v>
      </c>
    </row>
    <row r="608" spans="1:15" x14ac:dyDescent="0.3">
      <c r="A608">
        <v>2018</v>
      </c>
      <c r="B608">
        <v>41</v>
      </c>
      <c r="C608" t="s">
        <v>11</v>
      </c>
      <c r="D608">
        <v>2987</v>
      </c>
      <c r="E608">
        <v>2006441</v>
      </c>
      <c r="F608">
        <v>1.4890000000000001E-3</v>
      </c>
      <c r="G608">
        <v>0.99851100000000004</v>
      </c>
      <c r="H608">
        <v>98221.117480000001</v>
      </c>
      <c r="I608">
        <v>146.25</v>
      </c>
      <c r="J608">
        <v>98147.991859999995</v>
      </c>
      <c r="K608">
        <v>3752738.83</v>
      </c>
      <c r="L608">
        <v>38.207046779999999</v>
      </c>
      <c r="M608">
        <v>0.98221117499999999</v>
      </c>
      <c r="N608">
        <v>-6.5096505252802652</v>
      </c>
      <c r="O608">
        <v>1.4900964929498374E-3</v>
      </c>
    </row>
    <row r="609" spans="1:15" x14ac:dyDescent="0.3">
      <c r="A609">
        <v>2018</v>
      </c>
      <c r="B609">
        <v>42</v>
      </c>
      <c r="C609" t="s">
        <v>11</v>
      </c>
      <c r="D609">
        <v>3097</v>
      </c>
      <c r="E609">
        <v>1945641</v>
      </c>
      <c r="F609">
        <v>1.5920000000000001E-3</v>
      </c>
      <c r="G609">
        <v>0.99840799999999996</v>
      </c>
      <c r="H609">
        <v>98074.895149999997</v>
      </c>
      <c r="I609">
        <v>156.13999999999999</v>
      </c>
      <c r="J609">
        <v>97996.827529999995</v>
      </c>
      <c r="K609">
        <v>3654590.8390000002</v>
      </c>
      <c r="L609">
        <v>37.263265310000001</v>
      </c>
      <c r="M609">
        <v>0.98074895200000001</v>
      </c>
      <c r="N609">
        <v>-6.4427641915599461</v>
      </c>
      <c r="O609">
        <v>1.5933166964389091E-3</v>
      </c>
    </row>
    <row r="610" spans="1:15" x14ac:dyDescent="0.3">
      <c r="A610">
        <v>2018</v>
      </c>
      <c r="B610">
        <v>43</v>
      </c>
      <c r="C610" t="s">
        <v>11</v>
      </c>
      <c r="D610">
        <v>3413</v>
      </c>
      <c r="E610">
        <v>1999241</v>
      </c>
      <c r="F610">
        <v>1.707E-3</v>
      </c>
      <c r="G610">
        <v>0.99829299999999999</v>
      </c>
      <c r="H610">
        <v>97918.783129999996</v>
      </c>
      <c r="I610">
        <v>167.15</v>
      </c>
      <c r="J610">
        <v>97835.209449999995</v>
      </c>
      <c r="K610">
        <v>3556594.0109999999</v>
      </c>
      <c r="L610">
        <v>36.321877139999998</v>
      </c>
      <c r="M610">
        <v>0.97918783099999995</v>
      </c>
      <c r="N610">
        <v>-6.3730178351698337</v>
      </c>
      <c r="O610">
        <v>1.7084852509551534E-3</v>
      </c>
    </row>
    <row r="611" spans="1:15" x14ac:dyDescent="0.3">
      <c r="A611">
        <v>2018</v>
      </c>
      <c r="B611">
        <v>44</v>
      </c>
      <c r="C611" t="s">
        <v>11</v>
      </c>
      <c r="D611">
        <v>3546</v>
      </c>
      <c r="E611">
        <v>1942802</v>
      </c>
      <c r="F611">
        <v>1.825E-3</v>
      </c>
      <c r="G611">
        <v>0.99817500000000003</v>
      </c>
      <c r="H611">
        <v>97751.621289999995</v>
      </c>
      <c r="I611">
        <v>178.4</v>
      </c>
      <c r="J611">
        <v>97662.422940000004</v>
      </c>
      <c r="K611">
        <v>3458758.8020000001</v>
      </c>
      <c r="L611">
        <v>35.383134890000001</v>
      </c>
      <c r="M611">
        <v>0.97751621300000002</v>
      </c>
      <c r="N611">
        <v>-6.3061752919476826</v>
      </c>
      <c r="O611">
        <v>1.8267007145037399E-3</v>
      </c>
    </row>
    <row r="612" spans="1:15" x14ac:dyDescent="0.3">
      <c r="A612">
        <v>2018</v>
      </c>
      <c r="B612">
        <v>45</v>
      </c>
      <c r="C612" t="s">
        <v>11</v>
      </c>
      <c r="D612">
        <v>4032</v>
      </c>
      <c r="E612">
        <v>1975992</v>
      </c>
      <c r="F612">
        <v>2.0400000000000001E-3</v>
      </c>
      <c r="G612">
        <v>0.99795999999999996</v>
      </c>
      <c r="H612">
        <v>97573.205140000005</v>
      </c>
      <c r="I612">
        <v>199.05</v>
      </c>
      <c r="J612">
        <v>97473.680470000007</v>
      </c>
      <c r="K612">
        <v>3361096.3790000002</v>
      </c>
      <c r="L612">
        <v>34.446919870000002</v>
      </c>
      <c r="M612">
        <v>0.97573205100000004</v>
      </c>
      <c r="N612">
        <v>-6.1948054711260117</v>
      </c>
      <c r="O612">
        <v>2.0420902161978728E-3</v>
      </c>
    </row>
    <row r="613" spans="1:15" x14ac:dyDescent="0.3">
      <c r="A613">
        <v>2018</v>
      </c>
      <c r="B613">
        <v>46</v>
      </c>
      <c r="C613" t="s">
        <v>11</v>
      </c>
      <c r="D613">
        <v>4615</v>
      </c>
      <c r="E613">
        <v>2059393</v>
      </c>
      <c r="F613">
        <v>2.2409999999999999E-3</v>
      </c>
      <c r="G613">
        <v>0.99775899999999995</v>
      </c>
      <c r="H613">
        <v>97374.10759</v>
      </c>
      <c r="I613">
        <v>218.22</v>
      </c>
      <c r="J613">
        <v>97264.999899999995</v>
      </c>
      <c r="K613">
        <v>3263622.6979999999</v>
      </c>
      <c r="L613">
        <v>33.516329740000003</v>
      </c>
      <c r="M613">
        <v>0.97374107600000004</v>
      </c>
      <c r="N613">
        <v>-6.1008330841633471</v>
      </c>
      <c r="O613">
        <v>2.2435613522803818E-3</v>
      </c>
    </row>
    <row r="614" spans="1:15" x14ac:dyDescent="0.3">
      <c r="A614">
        <v>2018</v>
      </c>
      <c r="B614">
        <v>47</v>
      </c>
      <c r="C614" t="s">
        <v>11</v>
      </c>
      <c r="D614">
        <v>5077</v>
      </c>
      <c r="E614">
        <v>2175691</v>
      </c>
      <c r="F614">
        <v>2.3340000000000001E-3</v>
      </c>
      <c r="G614">
        <v>0.99766600000000005</v>
      </c>
      <c r="H614">
        <v>97155.896930000003</v>
      </c>
      <c r="I614">
        <v>226.76</v>
      </c>
      <c r="J614">
        <v>97042.516000000003</v>
      </c>
      <c r="K614">
        <v>3166357.6979999999</v>
      </c>
      <c r="L614">
        <v>32.590483939999999</v>
      </c>
      <c r="M614">
        <v>0.97155896900000005</v>
      </c>
      <c r="N614">
        <v>-6.0601717451177723</v>
      </c>
      <c r="O614">
        <v>2.3367071866720606E-3</v>
      </c>
    </row>
    <row r="615" spans="1:15" x14ac:dyDescent="0.3">
      <c r="A615">
        <v>2018</v>
      </c>
      <c r="B615">
        <v>48</v>
      </c>
      <c r="C615" t="s">
        <v>11</v>
      </c>
      <c r="D615">
        <v>5463</v>
      </c>
      <c r="E615">
        <v>2192223</v>
      </c>
      <c r="F615">
        <v>2.4919999999999999E-3</v>
      </c>
      <c r="G615">
        <v>0.99750799999999995</v>
      </c>
      <c r="H615">
        <v>96929.182530000005</v>
      </c>
      <c r="I615">
        <v>241.55</v>
      </c>
      <c r="J615">
        <v>96808.408769999995</v>
      </c>
      <c r="K615">
        <v>3069315.182</v>
      </c>
      <c r="L615">
        <v>31.665542840000001</v>
      </c>
      <c r="M615">
        <v>0.969291825</v>
      </c>
      <c r="N615">
        <v>-5.9946696780569306</v>
      </c>
      <c r="O615">
        <v>2.4951344824652314E-3</v>
      </c>
    </row>
    <row r="616" spans="1:15" x14ac:dyDescent="0.3">
      <c r="A616">
        <v>2018</v>
      </c>
      <c r="B616">
        <v>49</v>
      </c>
      <c r="C616" t="s">
        <v>11</v>
      </c>
      <c r="D616">
        <v>5717</v>
      </c>
      <c r="E616">
        <v>2079841</v>
      </c>
      <c r="F616">
        <v>2.7490000000000001E-3</v>
      </c>
      <c r="G616">
        <v>0.997251</v>
      </c>
      <c r="H616">
        <v>96687.635880000002</v>
      </c>
      <c r="I616">
        <v>265.79000000000002</v>
      </c>
      <c r="J616">
        <v>96554.738719999994</v>
      </c>
      <c r="K616">
        <v>2972506.773</v>
      </c>
      <c r="L616">
        <v>30.743401120000001</v>
      </c>
      <c r="M616">
        <v>0.96687635900000002</v>
      </c>
      <c r="N616">
        <v>-5.8965180697990283</v>
      </c>
      <c r="O616">
        <v>2.7527387325598893E-3</v>
      </c>
    </row>
    <row r="617" spans="1:15" x14ac:dyDescent="0.3">
      <c r="A617">
        <v>2018</v>
      </c>
      <c r="B617">
        <v>50</v>
      </c>
      <c r="C617" t="s">
        <v>11</v>
      </c>
      <c r="D617">
        <v>6122</v>
      </c>
      <c r="E617">
        <v>2036538</v>
      </c>
      <c r="F617">
        <v>3.006E-3</v>
      </c>
      <c r="G617">
        <v>0.99699400000000005</v>
      </c>
      <c r="H617">
        <v>96421.864019999994</v>
      </c>
      <c r="I617">
        <v>289.83999999999997</v>
      </c>
      <c r="J617">
        <v>96276.941959999996</v>
      </c>
      <c r="K617">
        <v>2875952.0350000001</v>
      </c>
      <c r="L617">
        <v>29.826762469999998</v>
      </c>
      <c r="M617">
        <v>0.96421864000000002</v>
      </c>
      <c r="N617">
        <v>-5.8071449876513546</v>
      </c>
      <c r="O617">
        <v>3.0104821153524343E-3</v>
      </c>
    </row>
    <row r="618" spans="1:15" x14ac:dyDescent="0.3">
      <c r="A618">
        <v>2018</v>
      </c>
      <c r="B618">
        <v>51</v>
      </c>
      <c r="C618" t="s">
        <v>11</v>
      </c>
      <c r="D618">
        <v>6938</v>
      </c>
      <c r="E618">
        <v>2042479</v>
      </c>
      <c r="F618">
        <v>3.3969999999999998E-3</v>
      </c>
      <c r="G618">
        <v>0.99660300000000002</v>
      </c>
      <c r="H618">
        <v>96132.012000000002</v>
      </c>
      <c r="I618">
        <v>326.56</v>
      </c>
      <c r="J618">
        <v>95968.731780000002</v>
      </c>
      <c r="K618">
        <v>2779675.0929999999</v>
      </c>
      <c r="L618">
        <v>28.915186890000001</v>
      </c>
      <c r="M618">
        <v>0.96132012</v>
      </c>
      <c r="N618">
        <v>-5.6848625898036902</v>
      </c>
      <c r="O618">
        <v>3.4027747354206106E-3</v>
      </c>
    </row>
    <row r="619" spans="1:15" x14ac:dyDescent="0.3">
      <c r="A619">
        <v>2018</v>
      </c>
      <c r="B619">
        <v>52</v>
      </c>
      <c r="C619" t="s">
        <v>11</v>
      </c>
      <c r="D619">
        <v>7568</v>
      </c>
      <c r="E619">
        <v>2077402</v>
      </c>
      <c r="F619">
        <v>3.643E-3</v>
      </c>
      <c r="G619">
        <v>0.99635700000000005</v>
      </c>
      <c r="H619">
        <v>95805.465729999996</v>
      </c>
      <c r="I619">
        <v>349.02</v>
      </c>
      <c r="J619">
        <v>95630.95607</v>
      </c>
      <c r="K619">
        <v>2683706.361</v>
      </c>
      <c r="L619">
        <v>28.012038149999999</v>
      </c>
      <c r="M619">
        <v>0.95805465700000003</v>
      </c>
      <c r="N619">
        <v>-5.6149477609557099</v>
      </c>
      <c r="O619">
        <v>3.6496550529969704E-3</v>
      </c>
    </row>
    <row r="620" spans="1:15" x14ac:dyDescent="0.3">
      <c r="A620">
        <v>2018</v>
      </c>
      <c r="B620">
        <v>53</v>
      </c>
      <c r="C620" t="s">
        <v>11</v>
      </c>
      <c r="D620">
        <v>8559</v>
      </c>
      <c r="E620">
        <v>2201960</v>
      </c>
      <c r="F620">
        <v>3.8869999999999998E-3</v>
      </c>
      <c r="G620">
        <v>0.99611300000000003</v>
      </c>
      <c r="H620">
        <v>95456.445290000003</v>
      </c>
      <c r="I620">
        <v>371.04</v>
      </c>
      <c r="J620">
        <v>95270.925690000004</v>
      </c>
      <c r="K620">
        <v>2588075.4049999998</v>
      </c>
      <c r="L620">
        <v>27.112631289999999</v>
      </c>
      <c r="M620">
        <v>0.95456445300000003</v>
      </c>
      <c r="N620">
        <v>-5.5501176271120514</v>
      </c>
      <c r="O620">
        <v>3.8945774458987422E-3</v>
      </c>
    </row>
    <row r="621" spans="1:15" x14ac:dyDescent="0.3">
      <c r="A621">
        <v>2018</v>
      </c>
      <c r="B621">
        <v>54</v>
      </c>
      <c r="C621" t="s">
        <v>11</v>
      </c>
      <c r="D621">
        <v>9716</v>
      </c>
      <c r="E621">
        <v>2248978</v>
      </c>
      <c r="F621">
        <v>4.3200000000000001E-3</v>
      </c>
      <c r="G621">
        <v>0.99568000000000001</v>
      </c>
      <c r="H621">
        <v>95085.406889999998</v>
      </c>
      <c r="I621">
        <v>410.77</v>
      </c>
      <c r="J621">
        <v>94880.022410000005</v>
      </c>
      <c r="K621">
        <v>2492804.4789999998</v>
      </c>
      <c r="L621">
        <v>26.216478009999999</v>
      </c>
      <c r="M621">
        <v>0.95085406900000002</v>
      </c>
      <c r="N621">
        <v>-5.4444998767261179</v>
      </c>
      <c r="O621">
        <v>4.3293627842447141E-3</v>
      </c>
    </row>
    <row r="622" spans="1:15" x14ac:dyDescent="0.3">
      <c r="A622">
        <v>2018</v>
      </c>
      <c r="B622">
        <v>55</v>
      </c>
      <c r="C622" t="s">
        <v>11</v>
      </c>
      <c r="D622">
        <v>10576</v>
      </c>
      <c r="E622">
        <v>2248963</v>
      </c>
      <c r="F622">
        <v>4.7029999999999997E-3</v>
      </c>
      <c r="G622">
        <v>0.99529699999999999</v>
      </c>
      <c r="H622">
        <v>94674.620379999993</v>
      </c>
      <c r="I622">
        <v>445.25</v>
      </c>
      <c r="J622">
        <v>94451.993010000006</v>
      </c>
      <c r="K622">
        <v>2397924.4569999999</v>
      </c>
      <c r="L622">
        <v>25.32805991</v>
      </c>
      <c r="M622">
        <v>0.94674620399999998</v>
      </c>
      <c r="N622">
        <v>-5.3595546760192265</v>
      </c>
      <c r="O622">
        <v>4.7140340737170426E-3</v>
      </c>
    </row>
    <row r="623" spans="1:15" x14ac:dyDescent="0.3">
      <c r="A623">
        <v>2018</v>
      </c>
      <c r="B623">
        <v>56</v>
      </c>
      <c r="C623" t="s">
        <v>11</v>
      </c>
      <c r="D623">
        <v>11699</v>
      </c>
      <c r="E623">
        <v>2244572</v>
      </c>
      <c r="F623">
        <v>5.2119999999999996E-3</v>
      </c>
      <c r="G623">
        <v>0.99478800000000001</v>
      </c>
      <c r="H623">
        <v>94229.402390000003</v>
      </c>
      <c r="I623">
        <v>491.12</v>
      </c>
      <c r="J623">
        <v>93983.84057</v>
      </c>
      <c r="K623">
        <v>2303472.4640000002</v>
      </c>
      <c r="L623">
        <v>24.44536849</v>
      </c>
      <c r="M623">
        <v>0.94229402399999995</v>
      </c>
      <c r="N623">
        <v>-5.2567916197195386</v>
      </c>
      <c r="O623">
        <v>5.2255795137077041E-3</v>
      </c>
    </row>
    <row r="624" spans="1:15" x14ac:dyDescent="0.3">
      <c r="A624">
        <v>2018</v>
      </c>
      <c r="B624">
        <v>57</v>
      </c>
      <c r="C624" t="s">
        <v>11</v>
      </c>
      <c r="D624">
        <v>12654</v>
      </c>
      <c r="E624">
        <v>2274643</v>
      </c>
      <c r="F624">
        <v>5.5630000000000002E-3</v>
      </c>
      <c r="G624">
        <v>0.99443700000000002</v>
      </c>
      <c r="H624">
        <v>93738.266539999997</v>
      </c>
      <c r="I624">
        <v>521.47</v>
      </c>
      <c r="J624">
        <v>93477.533549999993</v>
      </c>
      <c r="K624">
        <v>2209488.6230000001</v>
      </c>
      <c r="L624">
        <v>23.5708287</v>
      </c>
      <c r="M624">
        <v>0.937382665</v>
      </c>
      <c r="N624">
        <v>-5.1916177478889809</v>
      </c>
      <c r="O624">
        <v>5.5785598815997648E-3</v>
      </c>
    </row>
    <row r="625" spans="1:15" x14ac:dyDescent="0.3">
      <c r="A625">
        <v>2018</v>
      </c>
      <c r="B625">
        <v>58</v>
      </c>
      <c r="C625" t="s">
        <v>11</v>
      </c>
      <c r="D625">
        <v>13478</v>
      </c>
      <c r="E625">
        <v>2287131</v>
      </c>
      <c r="F625">
        <v>5.8929999999999998E-3</v>
      </c>
      <c r="G625">
        <v>0.99410699999999996</v>
      </c>
      <c r="H625">
        <v>93216.79393</v>
      </c>
      <c r="I625">
        <v>549.33000000000004</v>
      </c>
      <c r="J625">
        <v>92942.130650000006</v>
      </c>
      <c r="K625">
        <v>2116011.09</v>
      </c>
      <c r="L625">
        <v>22.699891300000001</v>
      </c>
      <c r="M625">
        <v>0.93216793899999995</v>
      </c>
      <c r="N625">
        <v>-5.1339900731263608</v>
      </c>
      <c r="O625">
        <v>5.9104518972486197E-3</v>
      </c>
    </row>
    <row r="626" spans="1:15" x14ac:dyDescent="0.3">
      <c r="A626">
        <v>2018</v>
      </c>
      <c r="B626">
        <v>59</v>
      </c>
      <c r="C626" t="s">
        <v>11</v>
      </c>
      <c r="D626">
        <v>14295</v>
      </c>
      <c r="E626">
        <v>2216349</v>
      </c>
      <c r="F626">
        <v>6.45E-3</v>
      </c>
      <c r="G626">
        <v>0.99355000000000004</v>
      </c>
      <c r="H626">
        <v>92667.469930000007</v>
      </c>
      <c r="I626">
        <v>597.71</v>
      </c>
      <c r="J626">
        <v>92368.617339999997</v>
      </c>
      <c r="K626">
        <v>2023068.959</v>
      </c>
      <c r="L626">
        <v>21.831490169999999</v>
      </c>
      <c r="M626">
        <v>0.92667469899999999</v>
      </c>
      <c r="N626">
        <v>-5.0436751481744562</v>
      </c>
      <c r="O626">
        <v>6.4709200612921491E-3</v>
      </c>
    </row>
    <row r="627" spans="1:15" x14ac:dyDescent="0.3">
      <c r="A627">
        <v>2018</v>
      </c>
      <c r="B627">
        <v>60</v>
      </c>
      <c r="C627" t="s">
        <v>11</v>
      </c>
      <c r="D627">
        <v>15164</v>
      </c>
      <c r="E627">
        <v>2204821</v>
      </c>
      <c r="F627">
        <v>6.8780000000000004E-3</v>
      </c>
      <c r="G627">
        <v>0.99312199999999995</v>
      </c>
      <c r="H627">
        <v>92069.783609999999</v>
      </c>
      <c r="I627">
        <v>633.26</v>
      </c>
      <c r="J627">
        <v>91753.155620000005</v>
      </c>
      <c r="K627">
        <v>1930700.3419999999</v>
      </c>
      <c r="L627">
        <v>20.969967189999998</v>
      </c>
      <c r="M627">
        <v>0.92069783599999999</v>
      </c>
      <c r="N627">
        <v>-4.9794273669720628</v>
      </c>
      <c r="O627">
        <v>6.901777779327903E-3</v>
      </c>
    </row>
    <row r="628" spans="1:15" x14ac:dyDescent="0.3">
      <c r="A628">
        <v>2018</v>
      </c>
      <c r="B628">
        <v>61</v>
      </c>
      <c r="C628" t="s">
        <v>11</v>
      </c>
      <c r="D628">
        <v>16209</v>
      </c>
      <c r="E628">
        <v>2184082</v>
      </c>
      <c r="F628">
        <v>7.4209999999999996E-3</v>
      </c>
      <c r="G628">
        <v>0.99257899999999999</v>
      </c>
      <c r="H628">
        <v>91436.55932</v>
      </c>
      <c r="I628">
        <v>678.55</v>
      </c>
      <c r="J628">
        <v>91097.283970000004</v>
      </c>
      <c r="K628">
        <v>1838947.186</v>
      </c>
      <c r="L628">
        <v>20.111727739999999</v>
      </c>
      <c r="M628">
        <v>0.91436559299999998</v>
      </c>
      <c r="N628">
        <v>-4.9034414599941405</v>
      </c>
      <c r="O628">
        <v>7.4486320013519743E-3</v>
      </c>
    </row>
    <row r="629" spans="1:15" x14ac:dyDescent="0.3">
      <c r="A629">
        <v>2018</v>
      </c>
      <c r="B629">
        <v>62</v>
      </c>
      <c r="C629" t="s">
        <v>11</v>
      </c>
      <c r="D629">
        <v>16737</v>
      </c>
      <c r="E629">
        <v>2109543</v>
      </c>
      <c r="F629">
        <v>7.9340000000000001E-3</v>
      </c>
      <c r="G629">
        <v>0.992066</v>
      </c>
      <c r="H629">
        <v>90757.969790000003</v>
      </c>
      <c r="I629">
        <v>720.07</v>
      </c>
      <c r="J629">
        <v>90397.932920000007</v>
      </c>
      <c r="K629">
        <v>1747849.902</v>
      </c>
      <c r="L629">
        <v>19.258362720000001</v>
      </c>
      <c r="M629">
        <v>0.90757969800000005</v>
      </c>
      <c r="N629">
        <v>-4.8365979568899986</v>
      </c>
      <c r="O629">
        <v>7.965558029318788E-3</v>
      </c>
    </row>
    <row r="630" spans="1:15" x14ac:dyDescent="0.3">
      <c r="A630">
        <v>2018</v>
      </c>
      <c r="B630">
        <v>63</v>
      </c>
      <c r="C630" t="s">
        <v>11</v>
      </c>
      <c r="D630">
        <v>17658</v>
      </c>
      <c r="E630">
        <v>2091595</v>
      </c>
      <c r="F630">
        <v>8.4419999999999999E-3</v>
      </c>
      <c r="G630">
        <v>0.99155800000000005</v>
      </c>
      <c r="H630">
        <v>90037.900970000002</v>
      </c>
      <c r="I630">
        <v>760.1</v>
      </c>
      <c r="J630">
        <v>89657.850990000006</v>
      </c>
      <c r="K630">
        <v>1657451.969</v>
      </c>
      <c r="L630">
        <v>18.408380820000001</v>
      </c>
      <c r="M630">
        <v>0.90037900999999998</v>
      </c>
      <c r="N630">
        <v>-4.7745360316218299</v>
      </c>
      <c r="O630">
        <v>8.4777867121621289E-3</v>
      </c>
    </row>
    <row r="631" spans="1:15" x14ac:dyDescent="0.3">
      <c r="A631">
        <v>2018</v>
      </c>
      <c r="B631">
        <v>64</v>
      </c>
      <c r="C631" t="s">
        <v>11</v>
      </c>
      <c r="D631">
        <v>18093</v>
      </c>
      <c r="E631">
        <v>2012074</v>
      </c>
      <c r="F631">
        <v>8.992E-3</v>
      </c>
      <c r="G631">
        <v>0.991008</v>
      </c>
      <c r="H631">
        <v>89277.768509999994</v>
      </c>
      <c r="I631">
        <v>802.79</v>
      </c>
      <c r="J631">
        <v>88876.375660000005</v>
      </c>
      <c r="K631">
        <v>1567794.118</v>
      </c>
      <c r="L631">
        <v>17.560856909999998</v>
      </c>
      <c r="M631">
        <v>0.89277768499999999</v>
      </c>
      <c r="N631">
        <v>-4.7114199858308021</v>
      </c>
      <c r="O631">
        <v>9.0326600325491176E-3</v>
      </c>
    </row>
    <row r="632" spans="1:15" x14ac:dyDescent="0.3">
      <c r="A632">
        <v>2018</v>
      </c>
      <c r="B632">
        <v>65</v>
      </c>
      <c r="C632" t="s">
        <v>11</v>
      </c>
      <c r="D632">
        <v>18893</v>
      </c>
      <c r="E632">
        <v>1935507</v>
      </c>
      <c r="F632">
        <v>9.7610000000000006E-3</v>
      </c>
      <c r="G632">
        <v>0.99023899999999998</v>
      </c>
      <c r="H632">
        <v>88474.963709999996</v>
      </c>
      <c r="I632">
        <v>863.6</v>
      </c>
      <c r="J632">
        <v>88043.161649999995</v>
      </c>
      <c r="K632">
        <v>1478917.743</v>
      </c>
      <c r="L632">
        <v>16.71566374</v>
      </c>
      <c r="M632">
        <v>0.88474963699999998</v>
      </c>
      <c r="N632">
        <v>-4.6293604247893088</v>
      </c>
      <c r="O632">
        <v>9.8088267113491962E-3</v>
      </c>
    </row>
    <row r="633" spans="1:15" x14ac:dyDescent="0.3">
      <c r="A633">
        <v>2018</v>
      </c>
      <c r="B633">
        <v>66</v>
      </c>
      <c r="C633" t="s">
        <v>11</v>
      </c>
      <c r="D633">
        <v>19488</v>
      </c>
      <c r="E633">
        <v>1857985</v>
      </c>
      <c r="F633">
        <v>1.0489E-2</v>
      </c>
      <c r="G633">
        <v>0.98951100000000003</v>
      </c>
      <c r="H633">
        <v>87611.335990000007</v>
      </c>
      <c r="I633">
        <v>918.96</v>
      </c>
      <c r="J633">
        <v>87151.858340000006</v>
      </c>
      <c r="K633">
        <v>1390874.581</v>
      </c>
      <c r="L633">
        <v>15.875509320000001</v>
      </c>
      <c r="M633">
        <v>0.87611335999999995</v>
      </c>
      <c r="N633">
        <v>-4.5574281900026703</v>
      </c>
      <c r="O633">
        <v>1.0544352316869701E-2</v>
      </c>
    </row>
    <row r="634" spans="1:15" x14ac:dyDescent="0.3">
      <c r="A634">
        <v>2018</v>
      </c>
      <c r="B634">
        <v>67</v>
      </c>
      <c r="C634" t="s">
        <v>11</v>
      </c>
      <c r="D634">
        <v>20398</v>
      </c>
      <c r="E634">
        <v>1803359</v>
      </c>
      <c r="F634">
        <v>1.1311E-2</v>
      </c>
      <c r="G634">
        <v>0.98868900000000004</v>
      </c>
      <c r="H634">
        <v>86692.399770000004</v>
      </c>
      <c r="I634">
        <v>980.58</v>
      </c>
      <c r="J634">
        <v>86202.1109</v>
      </c>
      <c r="K634">
        <v>1303722.723</v>
      </c>
      <c r="L634">
        <v>15.03848926</v>
      </c>
      <c r="M634">
        <v>0.86692399799999997</v>
      </c>
      <c r="N634">
        <v>-4.4819795754328933</v>
      </c>
      <c r="O634">
        <v>1.1375360141230442E-2</v>
      </c>
    </row>
    <row r="635" spans="1:15" x14ac:dyDescent="0.3">
      <c r="A635">
        <v>2018</v>
      </c>
      <c r="B635">
        <v>68</v>
      </c>
      <c r="C635" t="s">
        <v>11</v>
      </c>
      <c r="D635">
        <v>21238</v>
      </c>
      <c r="E635">
        <v>1755485</v>
      </c>
      <c r="F635">
        <v>1.2097999999999999E-2</v>
      </c>
      <c r="G635">
        <v>0.98790199999999995</v>
      </c>
      <c r="H635">
        <v>85711.812109999999</v>
      </c>
      <c r="I635">
        <v>1036.94</v>
      </c>
      <c r="J635">
        <v>85193.341360000006</v>
      </c>
      <c r="K635">
        <v>1217520.612</v>
      </c>
      <c r="L635">
        <v>14.204817070000001</v>
      </c>
      <c r="M635">
        <v>0.85711812099999996</v>
      </c>
      <c r="N635">
        <v>-4.4147151292974147</v>
      </c>
      <c r="O635">
        <v>1.21716090218197E-2</v>
      </c>
    </row>
    <row r="636" spans="1:15" x14ac:dyDescent="0.3">
      <c r="A636">
        <v>2018</v>
      </c>
      <c r="B636">
        <v>69</v>
      </c>
      <c r="C636" t="s">
        <v>11</v>
      </c>
      <c r="D636">
        <v>22681</v>
      </c>
      <c r="E636">
        <v>1699744</v>
      </c>
      <c r="F636">
        <v>1.3344E-2</v>
      </c>
      <c r="G636">
        <v>0.98665599999999998</v>
      </c>
      <c r="H636">
        <v>84674.863660000003</v>
      </c>
      <c r="I636">
        <v>1129.9000000000001</v>
      </c>
      <c r="J636">
        <v>84109.912970000005</v>
      </c>
      <c r="K636">
        <v>1132327.27</v>
      </c>
      <c r="L636">
        <v>13.372649470000001</v>
      </c>
      <c r="M636">
        <v>0.84674863700000003</v>
      </c>
      <c r="N636">
        <v>-4.316688433365746</v>
      </c>
      <c r="O636">
        <v>1.3433611231742505E-2</v>
      </c>
    </row>
    <row r="637" spans="1:15" x14ac:dyDescent="0.3">
      <c r="A637">
        <v>2018</v>
      </c>
      <c r="B637">
        <v>70</v>
      </c>
      <c r="C637" t="s">
        <v>11</v>
      </c>
      <c r="D637">
        <v>24851</v>
      </c>
      <c r="E637">
        <v>1674714</v>
      </c>
      <c r="F637">
        <v>1.4839E-2</v>
      </c>
      <c r="G637">
        <v>0.98516099999999995</v>
      </c>
      <c r="H637">
        <v>83544.981400000004</v>
      </c>
      <c r="I637">
        <v>1239.72</v>
      </c>
      <c r="J637">
        <v>82925.119409999999</v>
      </c>
      <c r="K637">
        <v>1048217.357</v>
      </c>
      <c r="L637">
        <v>12.54674236</v>
      </c>
      <c r="M637">
        <v>0.83544981399999996</v>
      </c>
      <c r="N637">
        <v>-4.2104964289581481</v>
      </c>
      <c r="O637">
        <v>1.4949872590439818E-2</v>
      </c>
    </row>
    <row r="638" spans="1:15" x14ac:dyDescent="0.3">
      <c r="A638">
        <v>2018</v>
      </c>
      <c r="B638">
        <v>71</v>
      </c>
      <c r="C638" t="s">
        <v>11</v>
      </c>
      <c r="D638">
        <v>27574</v>
      </c>
      <c r="E638">
        <v>1738342</v>
      </c>
      <c r="F638">
        <v>1.5862000000000001E-2</v>
      </c>
      <c r="G638">
        <v>0.98413799999999996</v>
      </c>
      <c r="H638">
        <v>82305.261469999998</v>
      </c>
      <c r="I638">
        <v>1305.53</v>
      </c>
      <c r="J638">
        <v>81652.498439999996</v>
      </c>
      <c r="K638">
        <v>965292.23789999995</v>
      </c>
      <c r="L638">
        <v>11.72819599</v>
      </c>
      <c r="M638">
        <v>0.82305261500000004</v>
      </c>
      <c r="N638">
        <v>-4.1438289673210091</v>
      </c>
      <c r="O638">
        <v>1.5988857458522736E-2</v>
      </c>
    </row>
    <row r="639" spans="1:15" x14ac:dyDescent="0.3">
      <c r="A639">
        <v>2018</v>
      </c>
      <c r="B639">
        <v>72</v>
      </c>
      <c r="C639" t="s">
        <v>11</v>
      </c>
      <c r="D639">
        <v>23635</v>
      </c>
      <c r="E639">
        <v>1285319</v>
      </c>
      <c r="F639">
        <v>1.8388000000000002E-2</v>
      </c>
      <c r="G639">
        <v>0.98161200000000004</v>
      </c>
      <c r="H639">
        <v>80999.715559999997</v>
      </c>
      <c r="I639">
        <v>1489.42</v>
      </c>
      <c r="J639">
        <v>80255.004180000004</v>
      </c>
      <c r="K639">
        <v>883639.73950000003</v>
      </c>
      <c r="L639">
        <v>10.90917089</v>
      </c>
      <c r="M639">
        <v>0.809997156</v>
      </c>
      <c r="N639">
        <v>-3.9960570010381553</v>
      </c>
      <c r="O639">
        <v>1.855859755334573E-2</v>
      </c>
    </row>
    <row r="640" spans="1:15" x14ac:dyDescent="0.3">
      <c r="A640">
        <v>2018</v>
      </c>
      <c r="B640">
        <v>73</v>
      </c>
      <c r="C640" t="s">
        <v>11</v>
      </c>
      <c r="D640">
        <v>24854</v>
      </c>
      <c r="E640">
        <v>1266423</v>
      </c>
      <c r="F640">
        <v>1.9625E-2</v>
      </c>
      <c r="G640">
        <v>0.980375</v>
      </c>
      <c r="H640">
        <v>79510.257859999998</v>
      </c>
      <c r="I640">
        <v>1560.39</v>
      </c>
      <c r="J640">
        <v>78730.063450000001</v>
      </c>
      <c r="K640">
        <v>803384.73529999994</v>
      </c>
      <c r="L640">
        <v>10.10416463</v>
      </c>
      <c r="M640">
        <v>0.79510257900000003</v>
      </c>
      <c r="N640">
        <v>-3.9309510153136649</v>
      </c>
      <c r="O640">
        <v>1.9819497287086516E-2</v>
      </c>
    </row>
    <row r="641" spans="1:15" x14ac:dyDescent="0.3">
      <c r="A641">
        <v>2018</v>
      </c>
      <c r="B641">
        <v>74</v>
      </c>
      <c r="C641" t="s">
        <v>11</v>
      </c>
      <c r="D641">
        <v>27255</v>
      </c>
      <c r="E641">
        <v>1229353</v>
      </c>
      <c r="F641">
        <v>2.2169999999999999E-2</v>
      </c>
      <c r="G641">
        <v>0.97782999999999998</v>
      </c>
      <c r="H641">
        <v>77949.840890000007</v>
      </c>
      <c r="I641">
        <v>1728.15</v>
      </c>
      <c r="J641">
        <v>77085.766900000002</v>
      </c>
      <c r="K641">
        <v>724654.67189999996</v>
      </c>
      <c r="L641">
        <v>9.2964227200000007</v>
      </c>
      <c r="M641">
        <v>0.779498409</v>
      </c>
      <c r="N641">
        <v>-3.8090152553539172</v>
      </c>
      <c r="O641">
        <v>2.2418537726286662E-2</v>
      </c>
    </row>
    <row r="642" spans="1:15" x14ac:dyDescent="0.3">
      <c r="A642">
        <v>2018</v>
      </c>
      <c r="B642">
        <v>75</v>
      </c>
      <c r="C642" t="s">
        <v>11</v>
      </c>
      <c r="D642">
        <v>30233</v>
      </c>
      <c r="E642">
        <v>1251144</v>
      </c>
      <c r="F642">
        <v>2.4164000000000001E-2</v>
      </c>
      <c r="G642">
        <v>0.97583600000000004</v>
      </c>
      <c r="H642">
        <v>76221.677439999999</v>
      </c>
      <c r="I642">
        <v>1841.82</v>
      </c>
      <c r="J642">
        <v>75300.767129999993</v>
      </c>
      <c r="K642">
        <v>647568.90500000003</v>
      </c>
      <c r="L642">
        <v>8.4958626820000003</v>
      </c>
      <c r="M642">
        <v>0.76221677399999999</v>
      </c>
      <c r="N642">
        <v>-3.7228913567056421</v>
      </c>
      <c r="O642">
        <v>2.4459515295587944E-2</v>
      </c>
    </row>
    <row r="643" spans="1:15" x14ac:dyDescent="0.3">
      <c r="A643">
        <v>2018</v>
      </c>
      <c r="B643">
        <v>76</v>
      </c>
      <c r="C643" t="s">
        <v>11</v>
      </c>
      <c r="D643">
        <v>29114</v>
      </c>
      <c r="E643">
        <v>1087069</v>
      </c>
      <c r="F643">
        <v>2.6782E-2</v>
      </c>
      <c r="G643">
        <v>0.97321800000000003</v>
      </c>
      <c r="H643">
        <v>74379.835120000003</v>
      </c>
      <c r="I643">
        <v>1992.04</v>
      </c>
      <c r="J643">
        <v>73383.814750000005</v>
      </c>
      <c r="K643">
        <v>572268.13780000003</v>
      </c>
      <c r="L643">
        <v>7.6938613389999997</v>
      </c>
      <c r="M643">
        <v>0.74379835100000002</v>
      </c>
      <c r="N643">
        <v>-3.6200252589087625</v>
      </c>
      <c r="O643">
        <v>2.714549681635087E-2</v>
      </c>
    </row>
    <row r="644" spans="1:15" x14ac:dyDescent="0.3">
      <c r="A644">
        <v>2018</v>
      </c>
      <c r="B644">
        <v>77</v>
      </c>
      <c r="C644" t="s">
        <v>11</v>
      </c>
      <c r="D644">
        <v>29172</v>
      </c>
      <c r="E644">
        <v>991039</v>
      </c>
      <c r="F644">
        <v>2.9436E-2</v>
      </c>
      <c r="G644">
        <v>0.97056399999999998</v>
      </c>
      <c r="H644">
        <v>72387.786300000007</v>
      </c>
      <c r="I644">
        <v>2130.81</v>
      </c>
      <c r="J644">
        <v>71322.382859999998</v>
      </c>
      <c r="K644">
        <v>498884.32309999998</v>
      </c>
      <c r="L644">
        <v>6.8918300800000001</v>
      </c>
      <c r="M644">
        <v>0.72387786300000001</v>
      </c>
      <c r="N644">
        <v>-3.5255368639177846</v>
      </c>
      <c r="O644">
        <v>2.9875751063995735E-2</v>
      </c>
    </row>
    <row r="645" spans="1:15" x14ac:dyDescent="0.3">
      <c r="A645">
        <v>2018</v>
      </c>
      <c r="B645">
        <v>78</v>
      </c>
      <c r="C645" t="s">
        <v>11</v>
      </c>
      <c r="D645">
        <v>29931</v>
      </c>
      <c r="E645">
        <v>929716</v>
      </c>
      <c r="F645">
        <v>3.2194E-2</v>
      </c>
      <c r="G645">
        <v>0.96780600000000006</v>
      </c>
      <c r="H645">
        <v>70256.995779999997</v>
      </c>
      <c r="I645">
        <v>2261.85</v>
      </c>
      <c r="J645">
        <v>69126.068920000005</v>
      </c>
      <c r="K645">
        <v>427561.94020000001</v>
      </c>
      <c r="L645">
        <v>6.085684927</v>
      </c>
      <c r="M645">
        <v>0.70256995799999999</v>
      </c>
      <c r="N645">
        <v>-3.4359751791980995</v>
      </c>
      <c r="O645">
        <v>3.272064639404984E-2</v>
      </c>
    </row>
    <row r="646" spans="1:15" x14ac:dyDescent="0.3">
      <c r="A646">
        <v>2018</v>
      </c>
      <c r="B646">
        <v>79</v>
      </c>
      <c r="C646" t="s">
        <v>11</v>
      </c>
      <c r="D646">
        <v>31323</v>
      </c>
      <c r="E646">
        <v>863424</v>
      </c>
      <c r="F646">
        <v>3.6277999999999998E-2</v>
      </c>
      <c r="G646">
        <v>0.96372199999999997</v>
      </c>
      <c r="H646">
        <v>67995.162979999994</v>
      </c>
      <c r="I646">
        <v>2466.73</v>
      </c>
      <c r="J646">
        <v>66761.798720000006</v>
      </c>
      <c r="K646">
        <v>358435.8713</v>
      </c>
      <c r="L646">
        <v>5.2714907289999999</v>
      </c>
      <c r="M646">
        <v>0.67995163000000003</v>
      </c>
      <c r="N646">
        <v>-3.3165437820463595</v>
      </c>
      <c r="O646">
        <v>3.694821914398605E-2</v>
      </c>
    </row>
    <row r="647" spans="1:15" x14ac:dyDescent="0.3">
      <c r="A647">
        <v>2018</v>
      </c>
      <c r="B647">
        <v>80</v>
      </c>
      <c r="C647" t="s">
        <v>11</v>
      </c>
      <c r="D647">
        <v>32969</v>
      </c>
      <c r="E647">
        <v>821411</v>
      </c>
      <c r="F647">
        <v>4.0136999999999999E-2</v>
      </c>
      <c r="G647">
        <v>0.95986300000000002</v>
      </c>
      <c r="H647">
        <v>65528.457759999998</v>
      </c>
      <c r="I647">
        <v>2630.12</v>
      </c>
      <c r="J647">
        <v>64213.39991</v>
      </c>
      <c r="K647">
        <v>291674.07260000001</v>
      </c>
      <c r="L647">
        <v>4.4511054059999999</v>
      </c>
      <c r="M647">
        <v>0.65528457799999995</v>
      </c>
      <c r="N647">
        <v>-3.2154566768225452</v>
      </c>
      <c r="O647">
        <v>4.0959052900368172E-2</v>
      </c>
    </row>
    <row r="648" spans="1:15" x14ac:dyDescent="0.3">
      <c r="A648">
        <v>2018</v>
      </c>
      <c r="B648">
        <v>81</v>
      </c>
      <c r="C648" t="s">
        <v>11</v>
      </c>
      <c r="D648">
        <v>33960</v>
      </c>
      <c r="E648">
        <v>749613</v>
      </c>
      <c r="F648">
        <v>4.5303000000000003E-2</v>
      </c>
      <c r="G648">
        <v>0.95469700000000002</v>
      </c>
      <c r="H648">
        <v>62898.339919999999</v>
      </c>
      <c r="I648">
        <v>2849.48</v>
      </c>
      <c r="J648">
        <v>61473.598169999997</v>
      </c>
      <c r="K648">
        <v>227460.6727</v>
      </c>
      <c r="L648">
        <v>3.6163223539999998</v>
      </c>
      <c r="M648">
        <v>0.628983399</v>
      </c>
      <c r="N648">
        <v>-3.0943820235203754</v>
      </c>
      <c r="O648">
        <v>4.6352916266699865E-2</v>
      </c>
    </row>
    <row r="649" spans="1:15" x14ac:dyDescent="0.3">
      <c r="A649">
        <v>2018</v>
      </c>
      <c r="B649">
        <v>82</v>
      </c>
      <c r="C649" t="s">
        <v>11</v>
      </c>
      <c r="D649">
        <v>35918</v>
      </c>
      <c r="E649">
        <v>707051</v>
      </c>
      <c r="F649">
        <v>5.0799999999999998E-2</v>
      </c>
      <c r="G649">
        <v>0.94920000000000004</v>
      </c>
      <c r="H649">
        <v>60048.832750000001</v>
      </c>
      <c r="I649">
        <v>3050.48</v>
      </c>
      <c r="J649">
        <v>58523.592400000001</v>
      </c>
      <c r="K649">
        <v>165987.07449999999</v>
      </c>
      <c r="L649">
        <v>2.764201516</v>
      </c>
      <c r="M649">
        <v>0.60048832799999996</v>
      </c>
      <c r="N649">
        <v>-2.9798589243977007</v>
      </c>
      <c r="O649">
        <v>5.2123929046368228E-2</v>
      </c>
    </row>
    <row r="650" spans="1:15" x14ac:dyDescent="0.3">
      <c r="A650">
        <v>2018</v>
      </c>
      <c r="B650">
        <v>83</v>
      </c>
      <c r="C650" t="s">
        <v>11</v>
      </c>
      <c r="D650">
        <v>37682</v>
      </c>
      <c r="E650">
        <v>669490</v>
      </c>
      <c r="F650">
        <v>5.6285000000000002E-2</v>
      </c>
      <c r="G650">
        <v>0.94371499999999997</v>
      </c>
      <c r="H650">
        <v>56998.36825</v>
      </c>
      <c r="I650">
        <v>3208.15</v>
      </c>
      <c r="J650">
        <v>55394.291669999999</v>
      </c>
      <c r="K650">
        <v>107463.48209999999</v>
      </c>
      <c r="L650">
        <v>1.88537822</v>
      </c>
      <c r="M650">
        <v>0.56998368300000002</v>
      </c>
      <c r="N650">
        <v>-2.8773272091753697</v>
      </c>
      <c r="O650">
        <v>5.7914801328794466E-2</v>
      </c>
    </row>
    <row r="651" spans="1:15" x14ac:dyDescent="0.3">
      <c r="A651">
        <v>2018</v>
      </c>
      <c r="B651">
        <v>84</v>
      </c>
      <c r="C651" t="s">
        <v>11</v>
      </c>
      <c r="D651">
        <v>37715</v>
      </c>
      <c r="E651">
        <v>589377</v>
      </c>
      <c r="F651">
        <v>6.3991000000000006E-2</v>
      </c>
      <c r="G651">
        <v>0.93600899999999998</v>
      </c>
      <c r="H651">
        <v>53790.235919999999</v>
      </c>
      <c r="I651">
        <v>3442.09</v>
      </c>
      <c r="J651">
        <v>52069.190430000002</v>
      </c>
      <c r="K651">
        <v>52069.190430000002</v>
      </c>
      <c r="L651">
        <v>0.96800450000000005</v>
      </c>
      <c r="M651">
        <v>0.53790235900000005</v>
      </c>
      <c r="N651">
        <v>-2.7490128305110875</v>
      </c>
      <c r="O651">
        <v>4.4763440011764306E-2</v>
      </c>
    </row>
    <row r="652" spans="1:15" x14ac:dyDescent="0.3">
      <c r="A652">
        <v>2018</v>
      </c>
      <c r="B652">
        <v>20</v>
      </c>
      <c r="C652" t="s">
        <v>12</v>
      </c>
      <c r="D652">
        <v>2383</v>
      </c>
      <c r="E652">
        <v>2186613</v>
      </c>
      <c r="F652">
        <v>1.09E-3</v>
      </c>
      <c r="G652">
        <v>0.99890999999999996</v>
      </c>
      <c r="H652">
        <v>100000</v>
      </c>
      <c r="I652">
        <v>109</v>
      </c>
      <c r="J652">
        <v>99945.5</v>
      </c>
      <c r="K652">
        <v>5487619.0310000004</v>
      </c>
      <c r="L652">
        <v>54.876190309999998</v>
      </c>
      <c r="M652">
        <v>1</v>
      </c>
      <c r="N652">
        <v>-6.8215775827410843</v>
      </c>
      <c r="O652">
        <v>1.0905942720713035E-3</v>
      </c>
    </row>
    <row r="653" spans="1:15" x14ac:dyDescent="0.3">
      <c r="A653">
        <v>2018</v>
      </c>
      <c r="B653">
        <v>21</v>
      </c>
      <c r="C653" t="s">
        <v>12</v>
      </c>
      <c r="D653">
        <v>2775</v>
      </c>
      <c r="E653">
        <v>2193614</v>
      </c>
      <c r="F653">
        <v>1.2650000000000001E-3</v>
      </c>
      <c r="G653">
        <v>0.99873500000000004</v>
      </c>
      <c r="H653">
        <v>99891.018670000005</v>
      </c>
      <c r="I653">
        <v>126.36</v>
      </c>
      <c r="J653">
        <v>99827.837599999999</v>
      </c>
      <c r="K653">
        <v>5387673.5310000004</v>
      </c>
      <c r="L653">
        <v>53.935514949999998</v>
      </c>
      <c r="M653">
        <v>0.998910187</v>
      </c>
      <c r="N653">
        <v>-6.6726831568026537</v>
      </c>
      <c r="O653">
        <v>1.2657792184753876E-3</v>
      </c>
    </row>
    <row r="654" spans="1:15" x14ac:dyDescent="0.3">
      <c r="A654">
        <v>2018</v>
      </c>
      <c r="B654">
        <v>22</v>
      </c>
      <c r="C654" t="s">
        <v>12</v>
      </c>
      <c r="D654">
        <v>2950</v>
      </c>
      <c r="E654">
        <v>2219586</v>
      </c>
      <c r="F654">
        <v>1.3290000000000001E-3</v>
      </c>
      <c r="G654">
        <v>0.99867099999999998</v>
      </c>
      <c r="H654">
        <v>99764.652960000007</v>
      </c>
      <c r="I654">
        <v>132.59</v>
      </c>
      <c r="J654">
        <v>99698.359349999999</v>
      </c>
      <c r="K654">
        <v>5287845.693</v>
      </c>
      <c r="L654">
        <v>53.003198390000001</v>
      </c>
      <c r="M654">
        <v>0.99764653000000003</v>
      </c>
      <c r="N654">
        <v>-6.6233284992510288</v>
      </c>
      <c r="O654">
        <v>1.3299116048784997E-3</v>
      </c>
    </row>
    <row r="655" spans="1:15" x14ac:dyDescent="0.3">
      <c r="A655">
        <v>2018</v>
      </c>
      <c r="B655">
        <v>23</v>
      </c>
      <c r="C655" t="s">
        <v>12</v>
      </c>
      <c r="D655">
        <v>3142</v>
      </c>
      <c r="E655">
        <v>2276330</v>
      </c>
      <c r="F655">
        <v>1.3799999999999999E-3</v>
      </c>
      <c r="G655">
        <v>0.99861999999999995</v>
      </c>
      <c r="H655">
        <v>99632.058090000006</v>
      </c>
      <c r="I655">
        <v>137.49</v>
      </c>
      <c r="J655">
        <v>99563.311969999995</v>
      </c>
      <c r="K655">
        <v>5188147.3339999998</v>
      </c>
      <c r="L655">
        <v>52.073071990000003</v>
      </c>
      <c r="M655">
        <v>0.99632058099999998</v>
      </c>
      <c r="N655">
        <v>-6.5856717798130235</v>
      </c>
      <c r="O655">
        <v>1.3809305593114752E-3</v>
      </c>
    </row>
    <row r="656" spans="1:15" x14ac:dyDescent="0.3">
      <c r="A656">
        <v>2018</v>
      </c>
      <c r="B656">
        <v>24</v>
      </c>
      <c r="C656" t="s">
        <v>12</v>
      </c>
      <c r="D656">
        <v>3378</v>
      </c>
      <c r="E656">
        <v>2325404</v>
      </c>
      <c r="F656">
        <v>1.4530000000000001E-3</v>
      </c>
      <c r="G656">
        <v>0.99854699999999996</v>
      </c>
      <c r="H656">
        <v>99494.536760000003</v>
      </c>
      <c r="I656">
        <v>144.57</v>
      </c>
      <c r="J656">
        <v>99422.253979999994</v>
      </c>
      <c r="K656">
        <v>5088584.0219999999</v>
      </c>
      <c r="L656">
        <v>51.144356139999999</v>
      </c>
      <c r="M656">
        <v>0.994945368</v>
      </c>
      <c r="N656">
        <v>-6.5341248943939911</v>
      </c>
      <c r="O656">
        <v>1.4541007566711561E-3</v>
      </c>
    </row>
    <row r="657" spans="1:15" x14ac:dyDescent="0.3">
      <c r="A657">
        <v>2018</v>
      </c>
      <c r="B657">
        <v>25</v>
      </c>
      <c r="C657" t="s">
        <v>12</v>
      </c>
      <c r="D657">
        <v>3546</v>
      </c>
      <c r="E657">
        <v>2365722</v>
      </c>
      <c r="F657">
        <v>1.4989999999999999E-3</v>
      </c>
      <c r="G657">
        <v>0.99850099999999997</v>
      </c>
      <c r="H657">
        <v>99350.005940000003</v>
      </c>
      <c r="I657">
        <v>148.93</v>
      </c>
      <c r="J657">
        <v>99275.543109999999</v>
      </c>
      <c r="K657">
        <v>4989161.7680000002</v>
      </c>
      <c r="L657">
        <v>50.2180319</v>
      </c>
      <c r="M657">
        <v>0.99350005900000005</v>
      </c>
      <c r="N657">
        <v>-6.5029570598616768</v>
      </c>
      <c r="O657">
        <v>1.5001680019691716E-3</v>
      </c>
    </row>
    <row r="658" spans="1:15" x14ac:dyDescent="0.3">
      <c r="A658">
        <v>2018</v>
      </c>
      <c r="B658">
        <v>26</v>
      </c>
      <c r="C658" t="s">
        <v>12</v>
      </c>
      <c r="D658">
        <v>3772</v>
      </c>
      <c r="E658">
        <v>2421037</v>
      </c>
      <c r="F658">
        <v>1.5579999999999999E-3</v>
      </c>
      <c r="G658">
        <v>0.99844200000000005</v>
      </c>
      <c r="H658">
        <v>99201.08941</v>
      </c>
      <c r="I658">
        <v>154.56</v>
      </c>
      <c r="J658">
        <v>99123.811759999997</v>
      </c>
      <c r="K658">
        <v>4889886.2249999996</v>
      </c>
      <c r="L658">
        <v>49.292666580000002</v>
      </c>
      <c r="M658">
        <v>0.99201089399999998</v>
      </c>
      <c r="N658">
        <v>-6.4643523315335809</v>
      </c>
      <c r="O658">
        <v>1.5592620787611955E-3</v>
      </c>
    </row>
    <row r="659" spans="1:15" x14ac:dyDescent="0.3">
      <c r="A659">
        <v>2018</v>
      </c>
      <c r="B659">
        <v>27</v>
      </c>
      <c r="C659" t="s">
        <v>12</v>
      </c>
      <c r="D659">
        <v>4117</v>
      </c>
      <c r="E659">
        <v>2451655</v>
      </c>
      <c r="F659">
        <v>1.6789999999999999E-3</v>
      </c>
      <c r="G659">
        <v>0.99832100000000001</v>
      </c>
      <c r="H659">
        <v>99046.533110000004</v>
      </c>
      <c r="I659">
        <v>166.3</v>
      </c>
      <c r="J659">
        <v>98963.383549999999</v>
      </c>
      <c r="K659">
        <v>4790762.4129999997</v>
      </c>
      <c r="L659">
        <v>48.368804670000003</v>
      </c>
      <c r="M659">
        <v>0.990465331</v>
      </c>
      <c r="N659">
        <v>-6.389556900886733</v>
      </c>
      <c r="O659">
        <v>1.6804197353546702E-3</v>
      </c>
    </row>
    <row r="660" spans="1:15" x14ac:dyDescent="0.3">
      <c r="A660">
        <v>2018</v>
      </c>
      <c r="B660">
        <v>28</v>
      </c>
      <c r="C660" t="s">
        <v>12</v>
      </c>
      <c r="D660">
        <v>4142</v>
      </c>
      <c r="E660">
        <v>2439423</v>
      </c>
      <c r="F660">
        <v>1.6980000000000001E-3</v>
      </c>
      <c r="G660">
        <v>0.99830200000000002</v>
      </c>
      <c r="H660">
        <v>98880.206860000006</v>
      </c>
      <c r="I660">
        <v>167.9</v>
      </c>
      <c r="J660">
        <v>98796.257559999998</v>
      </c>
      <c r="K660">
        <v>4691799.0290000001</v>
      </c>
      <c r="L660">
        <v>47.449324580000003</v>
      </c>
      <c r="M660">
        <v>0.98880206900000001</v>
      </c>
      <c r="N660">
        <v>-6.3783041910929814</v>
      </c>
      <c r="O660">
        <v>1.6994570371714742E-3</v>
      </c>
    </row>
    <row r="661" spans="1:15" x14ac:dyDescent="0.3">
      <c r="A661">
        <v>2018</v>
      </c>
      <c r="B661">
        <v>29</v>
      </c>
      <c r="C661" t="s">
        <v>12</v>
      </c>
      <c r="D661">
        <v>4052</v>
      </c>
      <c r="E661">
        <v>2341001</v>
      </c>
      <c r="F661">
        <v>1.7309999999999999E-3</v>
      </c>
      <c r="G661">
        <v>0.99826899999999996</v>
      </c>
      <c r="H661">
        <v>98712.313959999999</v>
      </c>
      <c r="I661">
        <v>170.87</v>
      </c>
      <c r="J661">
        <v>98626.878450000004</v>
      </c>
      <c r="K661">
        <v>4593002.7719999999</v>
      </c>
      <c r="L661">
        <v>46.529177439999998</v>
      </c>
      <c r="M661">
        <v>0.98712314000000001</v>
      </c>
      <c r="N661">
        <v>-6.3590560027880647</v>
      </c>
      <c r="O661">
        <v>1.732489081308725E-3</v>
      </c>
    </row>
    <row r="662" spans="1:15" x14ac:dyDescent="0.3">
      <c r="A662">
        <v>2018</v>
      </c>
      <c r="B662">
        <v>30</v>
      </c>
      <c r="C662" t="s">
        <v>12</v>
      </c>
      <c r="D662">
        <v>4198</v>
      </c>
      <c r="E662">
        <v>2282299</v>
      </c>
      <c r="F662">
        <v>1.8389999999999999E-3</v>
      </c>
      <c r="G662">
        <v>0.99816099999999996</v>
      </c>
      <c r="H662">
        <v>98541.454440000001</v>
      </c>
      <c r="I662">
        <v>181.22</v>
      </c>
      <c r="J662">
        <v>98450.845570000005</v>
      </c>
      <c r="K662">
        <v>4494375.8930000002</v>
      </c>
      <c r="L662">
        <v>45.608986790000003</v>
      </c>
      <c r="M662">
        <v>0.98541454399999995</v>
      </c>
      <c r="N662">
        <v>-6.2985333333599529</v>
      </c>
      <c r="O662">
        <v>1.840715869950703E-3</v>
      </c>
    </row>
    <row r="663" spans="1:15" x14ac:dyDescent="0.3">
      <c r="A663">
        <v>2018</v>
      </c>
      <c r="B663">
        <v>31</v>
      </c>
      <c r="C663" t="s">
        <v>12</v>
      </c>
      <c r="D663">
        <v>4089</v>
      </c>
      <c r="E663">
        <v>2241062</v>
      </c>
      <c r="F663">
        <v>1.825E-3</v>
      </c>
      <c r="G663">
        <v>0.99817500000000003</v>
      </c>
      <c r="H663">
        <v>98360.199919999999</v>
      </c>
      <c r="I663">
        <v>179.51</v>
      </c>
      <c r="J663">
        <v>98270.446240000005</v>
      </c>
      <c r="K663">
        <v>4395925.0480000004</v>
      </c>
      <c r="L663">
        <v>44.692111760000003</v>
      </c>
      <c r="M663">
        <v>0.983601999</v>
      </c>
      <c r="N663">
        <v>-6.3061752919476826</v>
      </c>
      <c r="O663">
        <v>1.8266932660416816E-3</v>
      </c>
    </row>
    <row r="664" spans="1:15" x14ac:dyDescent="0.3">
      <c r="A664">
        <v>2018</v>
      </c>
      <c r="B664">
        <v>32</v>
      </c>
      <c r="C664" t="s">
        <v>12</v>
      </c>
      <c r="D664">
        <v>4235</v>
      </c>
      <c r="E664">
        <v>2245454</v>
      </c>
      <c r="F664">
        <v>1.8860000000000001E-3</v>
      </c>
      <c r="G664">
        <v>0.99811399999999995</v>
      </c>
      <c r="H664">
        <v>98180.733730000007</v>
      </c>
      <c r="I664">
        <v>185.17</v>
      </c>
      <c r="J664">
        <v>98088.149300000005</v>
      </c>
      <c r="K664">
        <v>4297654.602</v>
      </c>
      <c r="L664">
        <v>43.772891469999998</v>
      </c>
      <c r="M664">
        <v>0.981807337</v>
      </c>
      <c r="N664">
        <v>-6.2732970947708715</v>
      </c>
      <c r="O664">
        <v>1.8877917910597557E-3</v>
      </c>
    </row>
    <row r="665" spans="1:15" x14ac:dyDescent="0.3">
      <c r="A665">
        <v>2018</v>
      </c>
      <c r="B665">
        <v>33</v>
      </c>
      <c r="C665" t="s">
        <v>12</v>
      </c>
      <c r="D665">
        <v>4338</v>
      </c>
      <c r="E665">
        <v>2252017</v>
      </c>
      <c r="F665">
        <v>1.926E-3</v>
      </c>
      <c r="G665">
        <v>0.99807400000000002</v>
      </c>
      <c r="H665">
        <v>97995.56164</v>
      </c>
      <c r="I665">
        <v>188.74</v>
      </c>
      <c r="J665">
        <v>97901.191909999994</v>
      </c>
      <c r="K665">
        <v>4199566.4519999996</v>
      </c>
      <c r="L665">
        <v>42.854659759999997</v>
      </c>
      <c r="M665">
        <v>0.97995561600000003</v>
      </c>
      <c r="N665">
        <v>-6.2523099656062033</v>
      </c>
      <c r="O665">
        <v>1.9278623898465476E-3</v>
      </c>
    </row>
    <row r="666" spans="1:15" x14ac:dyDescent="0.3">
      <c r="A666">
        <v>2018</v>
      </c>
      <c r="B666">
        <v>34</v>
      </c>
      <c r="C666" t="s">
        <v>12</v>
      </c>
      <c r="D666">
        <v>4375</v>
      </c>
      <c r="E666">
        <v>2171039</v>
      </c>
      <c r="F666">
        <v>2.0149999999999999E-3</v>
      </c>
      <c r="G666">
        <v>0.99798500000000001</v>
      </c>
      <c r="H666">
        <v>97806.795410000006</v>
      </c>
      <c r="I666">
        <v>197.08</v>
      </c>
      <c r="J666">
        <v>97708.255059999996</v>
      </c>
      <c r="K666">
        <v>4101665.26</v>
      </c>
      <c r="L666">
        <v>41.936403730000002</v>
      </c>
      <c r="M666">
        <v>0.97806795400000002</v>
      </c>
      <c r="N666">
        <v>-6.2071360835834906</v>
      </c>
      <c r="O666">
        <v>2.0170252356426382E-3</v>
      </c>
    </row>
    <row r="667" spans="1:15" x14ac:dyDescent="0.3">
      <c r="A667">
        <v>2018</v>
      </c>
      <c r="B667">
        <v>35</v>
      </c>
      <c r="C667" t="s">
        <v>12</v>
      </c>
      <c r="D667">
        <v>4697</v>
      </c>
      <c r="E667">
        <v>2195500</v>
      </c>
      <c r="F667">
        <v>2.1389999999999998E-3</v>
      </c>
      <c r="G667">
        <v>0.997861</v>
      </c>
      <c r="H667">
        <v>97609.698659999995</v>
      </c>
      <c r="I667">
        <v>208.79</v>
      </c>
      <c r="J667">
        <v>97505.305089999994</v>
      </c>
      <c r="K667">
        <v>4003957.0049999999</v>
      </c>
      <c r="L667">
        <v>41.020073420000003</v>
      </c>
      <c r="M667">
        <v>0.97609698700000003</v>
      </c>
      <c r="N667">
        <v>-6.1474168488818686</v>
      </c>
      <c r="O667">
        <v>2.1413197887078998E-3</v>
      </c>
    </row>
    <row r="668" spans="1:15" x14ac:dyDescent="0.3">
      <c r="A668">
        <v>2018</v>
      </c>
      <c r="B668">
        <v>36</v>
      </c>
      <c r="C668" t="s">
        <v>12</v>
      </c>
      <c r="D668">
        <v>4696</v>
      </c>
      <c r="E668">
        <v>2185835</v>
      </c>
      <c r="F668">
        <v>2.1480000000000002E-3</v>
      </c>
      <c r="G668">
        <v>0.99785199999999996</v>
      </c>
      <c r="H668">
        <v>97400.874819999997</v>
      </c>
      <c r="I668">
        <v>209.22</v>
      </c>
      <c r="J668">
        <v>97296.266279999996</v>
      </c>
      <c r="K668">
        <v>3906451.7</v>
      </c>
      <c r="L668">
        <v>40.106946749999999</v>
      </c>
      <c r="M668">
        <v>0.97400874800000004</v>
      </c>
      <c r="N668">
        <v>-6.1432181023355188</v>
      </c>
      <c r="O668">
        <v>2.1503398598710188E-3</v>
      </c>
    </row>
    <row r="669" spans="1:15" x14ac:dyDescent="0.3">
      <c r="A669">
        <v>2018</v>
      </c>
      <c r="B669">
        <v>37</v>
      </c>
      <c r="C669" t="s">
        <v>12</v>
      </c>
      <c r="D669">
        <v>4879</v>
      </c>
      <c r="E669">
        <v>2154545</v>
      </c>
      <c r="F669">
        <v>2.2650000000000001E-3</v>
      </c>
      <c r="G669">
        <v>0.99773500000000004</v>
      </c>
      <c r="H669">
        <v>97191.620909999998</v>
      </c>
      <c r="I669">
        <v>220.14</v>
      </c>
      <c r="J669">
        <v>97081.551399999997</v>
      </c>
      <c r="K669">
        <v>3809155.4339999999</v>
      </c>
      <c r="L669">
        <v>39.192220460000001</v>
      </c>
      <c r="M669">
        <v>0.97191620899999998</v>
      </c>
      <c r="N669">
        <v>-6.0901805200471397</v>
      </c>
      <c r="O669">
        <v>2.2675775510512999E-3</v>
      </c>
    </row>
    <row r="670" spans="1:15" x14ac:dyDescent="0.3">
      <c r="A670">
        <v>2018</v>
      </c>
      <c r="B670">
        <v>38</v>
      </c>
      <c r="C670" t="s">
        <v>12</v>
      </c>
      <c r="D670">
        <v>5124</v>
      </c>
      <c r="E670">
        <v>2201174</v>
      </c>
      <c r="F670">
        <v>2.3280000000000002E-3</v>
      </c>
      <c r="G670">
        <v>0.997672</v>
      </c>
      <c r="H670">
        <v>96971.529009999998</v>
      </c>
      <c r="I670">
        <v>225.75</v>
      </c>
      <c r="J670">
        <v>96858.654150000002</v>
      </c>
      <c r="K670">
        <v>3712073.8820000002</v>
      </c>
      <c r="L670">
        <v>38.280038689999998</v>
      </c>
      <c r="M670">
        <v>0.96971529000000001</v>
      </c>
      <c r="N670">
        <v>-6.0627457491129455</v>
      </c>
      <c r="O670">
        <v>2.3307156689849648E-3</v>
      </c>
    </row>
    <row r="671" spans="1:15" x14ac:dyDescent="0.3">
      <c r="A671">
        <v>2018</v>
      </c>
      <c r="B671">
        <v>39</v>
      </c>
      <c r="C671" t="s">
        <v>12</v>
      </c>
      <c r="D671">
        <v>5127</v>
      </c>
      <c r="E671">
        <v>2053136</v>
      </c>
      <c r="F671">
        <v>2.4970000000000001E-3</v>
      </c>
      <c r="G671">
        <v>0.99750300000000003</v>
      </c>
      <c r="H671">
        <v>96745.793959999995</v>
      </c>
      <c r="I671">
        <v>241.57</v>
      </c>
      <c r="J671">
        <v>96625.006840000002</v>
      </c>
      <c r="K671">
        <v>3615215.2280000001</v>
      </c>
      <c r="L671">
        <v>37.36819019</v>
      </c>
      <c r="M671">
        <v>0.96745793999999996</v>
      </c>
      <c r="N671">
        <v>-5.9926652676845009</v>
      </c>
      <c r="O671">
        <v>2.500077637516725E-3</v>
      </c>
    </row>
    <row r="672" spans="1:15" x14ac:dyDescent="0.3">
      <c r="A672">
        <v>2018</v>
      </c>
      <c r="B672">
        <v>40</v>
      </c>
      <c r="C672" t="s">
        <v>12</v>
      </c>
      <c r="D672">
        <v>5040</v>
      </c>
      <c r="E672">
        <v>2008548</v>
      </c>
      <c r="F672">
        <v>2.5089999999999999E-3</v>
      </c>
      <c r="G672">
        <v>0.99749100000000002</v>
      </c>
      <c r="H672">
        <v>96504.204660000003</v>
      </c>
      <c r="I672">
        <v>242.13</v>
      </c>
      <c r="J672">
        <v>96383.140140000003</v>
      </c>
      <c r="K672">
        <v>3518590.2220000001</v>
      </c>
      <c r="L672">
        <v>36.460486189999997</v>
      </c>
      <c r="M672">
        <v>0.96504204699999996</v>
      </c>
      <c r="N672">
        <v>-5.9878710115978517</v>
      </c>
      <c r="O672">
        <v>2.5121617020873815E-3</v>
      </c>
    </row>
    <row r="673" spans="1:15" x14ac:dyDescent="0.3">
      <c r="A673">
        <v>2018</v>
      </c>
      <c r="B673">
        <v>41</v>
      </c>
      <c r="C673" t="s">
        <v>12</v>
      </c>
      <c r="D673">
        <v>5198</v>
      </c>
      <c r="E673">
        <v>1979715</v>
      </c>
      <c r="F673">
        <v>2.6259999999999999E-3</v>
      </c>
      <c r="G673">
        <v>0.99737399999999998</v>
      </c>
      <c r="H673">
        <v>96262.049039999998</v>
      </c>
      <c r="I673">
        <v>252.78</v>
      </c>
      <c r="J673">
        <v>96135.656969999996</v>
      </c>
      <c r="K673">
        <v>3422207.0809999998</v>
      </c>
      <c r="L673">
        <v>35.550947809999997</v>
      </c>
      <c r="M673">
        <v>0.96262049000000005</v>
      </c>
      <c r="N673">
        <v>-5.9422935031015323</v>
      </c>
      <c r="O673">
        <v>2.6294089123959983E-3</v>
      </c>
    </row>
    <row r="674" spans="1:15" x14ac:dyDescent="0.3">
      <c r="A674">
        <v>2018</v>
      </c>
      <c r="B674">
        <v>42</v>
      </c>
      <c r="C674" t="s">
        <v>12</v>
      </c>
      <c r="D674">
        <v>5196</v>
      </c>
      <c r="E674">
        <v>1920426</v>
      </c>
      <c r="F674">
        <v>2.7060000000000001E-3</v>
      </c>
      <c r="G674">
        <v>0.99729400000000001</v>
      </c>
      <c r="H674">
        <v>96009.300470000002</v>
      </c>
      <c r="I674">
        <v>259.8</v>
      </c>
      <c r="J674">
        <v>95879.399890000001</v>
      </c>
      <c r="K674">
        <v>3326071.4240000001</v>
      </c>
      <c r="L674">
        <v>34.643221109999999</v>
      </c>
      <c r="M674">
        <v>0.96009300500000005</v>
      </c>
      <c r="N674">
        <v>-5.9122837492335405</v>
      </c>
      <c r="O674">
        <v>2.709653530740052E-3</v>
      </c>
    </row>
    <row r="675" spans="1:15" x14ac:dyDescent="0.3">
      <c r="A675">
        <v>2018</v>
      </c>
      <c r="B675">
        <v>43</v>
      </c>
      <c r="C675" t="s">
        <v>12</v>
      </c>
      <c r="D675">
        <v>5489</v>
      </c>
      <c r="E675">
        <v>1980368</v>
      </c>
      <c r="F675">
        <v>2.7720000000000002E-3</v>
      </c>
      <c r="G675">
        <v>0.997228</v>
      </c>
      <c r="H675">
        <v>95749.532940000005</v>
      </c>
      <c r="I675">
        <v>265.42</v>
      </c>
      <c r="J675">
        <v>95616.824089999995</v>
      </c>
      <c r="K675">
        <v>3230192.0249999999</v>
      </c>
      <c r="L675">
        <v>33.735851500000003</v>
      </c>
      <c r="M675">
        <v>0.95749532900000001</v>
      </c>
      <c r="N675">
        <v>-5.8881861976544805</v>
      </c>
      <c r="O675">
        <v>2.7758709161105513E-3</v>
      </c>
    </row>
    <row r="676" spans="1:15" x14ac:dyDescent="0.3">
      <c r="A676">
        <v>2018</v>
      </c>
      <c r="B676">
        <v>44</v>
      </c>
      <c r="C676" t="s">
        <v>12</v>
      </c>
      <c r="D676">
        <v>5930</v>
      </c>
      <c r="E676">
        <v>1908353</v>
      </c>
      <c r="F676">
        <v>3.107E-3</v>
      </c>
      <c r="G676">
        <v>0.99689300000000003</v>
      </c>
      <c r="H676">
        <v>95484.143280000004</v>
      </c>
      <c r="I676">
        <v>296.67</v>
      </c>
      <c r="J676">
        <v>95335.808659999995</v>
      </c>
      <c r="K676">
        <v>3134575.2</v>
      </c>
      <c r="L676">
        <v>32.828227730000002</v>
      </c>
      <c r="M676">
        <v>0.95484143300000002</v>
      </c>
      <c r="N676">
        <v>-5.7740976485712263</v>
      </c>
      <c r="O676">
        <v>3.1118428881048267E-3</v>
      </c>
    </row>
    <row r="677" spans="1:15" x14ac:dyDescent="0.3">
      <c r="A677">
        <v>2018</v>
      </c>
      <c r="B677">
        <v>45</v>
      </c>
      <c r="C677" t="s">
        <v>12</v>
      </c>
      <c r="D677">
        <v>6477</v>
      </c>
      <c r="E677">
        <v>1928049</v>
      </c>
      <c r="F677">
        <v>3.359E-3</v>
      </c>
      <c r="G677">
        <v>0.996641</v>
      </c>
      <c r="H677">
        <v>95187.436660000007</v>
      </c>
      <c r="I677">
        <v>319.73</v>
      </c>
      <c r="J677">
        <v>95027.569359999994</v>
      </c>
      <c r="K677">
        <v>3039239.392</v>
      </c>
      <c r="L677">
        <v>31.928997129999999</v>
      </c>
      <c r="M677">
        <v>0.95187436700000005</v>
      </c>
      <c r="N677">
        <v>-5.696111968351981</v>
      </c>
      <c r="O677">
        <v>3.3646031242743628E-3</v>
      </c>
    </row>
    <row r="678" spans="1:15" x14ac:dyDescent="0.3">
      <c r="A678">
        <v>2018</v>
      </c>
      <c r="B678">
        <v>46</v>
      </c>
      <c r="C678" t="s">
        <v>12</v>
      </c>
      <c r="D678">
        <v>7310</v>
      </c>
      <c r="E678">
        <v>2015066</v>
      </c>
      <c r="F678">
        <v>3.6280000000000001E-3</v>
      </c>
      <c r="G678">
        <v>0.99637200000000004</v>
      </c>
      <c r="H678">
        <v>94867.668319999997</v>
      </c>
      <c r="I678">
        <v>344.18</v>
      </c>
      <c r="J678">
        <v>94695.578370000003</v>
      </c>
      <c r="K678">
        <v>2944211.8220000002</v>
      </c>
      <c r="L678">
        <v>31.034933970000001</v>
      </c>
      <c r="M678">
        <v>0.94867668299999997</v>
      </c>
      <c r="N678">
        <v>-5.6190737467292466</v>
      </c>
      <c r="O678">
        <v>3.6345936052717019E-3</v>
      </c>
    </row>
    <row r="679" spans="1:15" x14ac:dyDescent="0.3">
      <c r="A679">
        <v>2018</v>
      </c>
      <c r="B679">
        <v>47</v>
      </c>
      <c r="C679" t="s">
        <v>12</v>
      </c>
      <c r="D679">
        <v>8172</v>
      </c>
      <c r="E679">
        <v>2125627</v>
      </c>
      <c r="F679">
        <v>3.8449999999999999E-3</v>
      </c>
      <c r="G679">
        <v>0.99615500000000001</v>
      </c>
      <c r="H679">
        <v>94523.519459999996</v>
      </c>
      <c r="I679">
        <v>363.44</v>
      </c>
      <c r="J679">
        <v>94341.797990000006</v>
      </c>
      <c r="K679">
        <v>2849516.2439999999</v>
      </c>
      <c r="L679">
        <v>30.14610819</v>
      </c>
      <c r="M679">
        <v>0.94523519499999997</v>
      </c>
      <c r="N679">
        <v>-5.5609816760245296</v>
      </c>
      <c r="O679">
        <v>3.8523742286434206E-3</v>
      </c>
    </row>
    <row r="680" spans="1:15" x14ac:dyDescent="0.3">
      <c r="A680">
        <v>2018</v>
      </c>
      <c r="B680">
        <v>48</v>
      </c>
      <c r="C680" t="s">
        <v>12</v>
      </c>
      <c r="D680">
        <v>8719</v>
      </c>
      <c r="E680">
        <v>2157491</v>
      </c>
      <c r="F680">
        <v>4.0410000000000003E-3</v>
      </c>
      <c r="G680">
        <v>0.99595900000000004</v>
      </c>
      <c r="H680">
        <v>94160.122589999999</v>
      </c>
      <c r="I680">
        <v>380.5</v>
      </c>
      <c r="J680">
        <v>93969.872059999994</v>
      </c>
      <c r="K680">
        <v>2755174.446</v>
      </c>
      <c r="L680">
        <v>29.26052314</v>
      </c>
      <c r="M680">
        <v>0.94160122599999996</v>
      </c>
      <c r="N680">
        <v>-5.5112630928858</v>
      </c>
      <c r="O680">
        <v>4.0491706841749827E-3</v>
      </c>
    </row>
    <row r="681" spans="1:15" x14ac:dyDescent="0.3">
      <c r="A681">
        <v>2018</v>
      </c>
      <c r="B681">
        <v>49</v>
      </c>
      <c r="C681" t="s">
        <v>12</v>
      </c>
      <c r="D681">
        <v>9291</v>
      </c>
      <c r="E681">
        <v>2037762</v>
      </c>
      <c r="F681">
        <v>4.5589999999999997E-3</v>
      </c>
      <c r="G681">
        <v>0.99544100000000002</v>
      </c>
      <c r="H681">
        <v>93779.596269999995</v>
      </c>
      <c r="I681">
        <v>427.54</v>
      </c>
      <c r="J681">
        <v>93565.825679999994</v>
      </c>
      <c r="K681">
        <v>2661204.574</v>
      </c>
      <c r="L681">
        <v>28.377223619999999</v>
      </c>
      <c r="M681">
        <v>0.93779596300000001</v>
      </c>
      <c r="N681">
        <v>-5.3906519777508324</v>
      </c>
      <c r="O681">
        <v>4.5694043259534344E-3</v>
      </c>
    </row>
    <row r="682" spans="1:15" x14ac:dyDescent="0.3">
      <c r="A682">
        <v>2018</v>
      </c>
      <c r="B682">
        <v>50</v>
      </c>
      <c r="C682" t="s">
        <v>12</v>
      </c>
      <c r="D682">
        <v>9701</v>
      </c>
      <c r="E682">
        <v>1989936</v>
      </c>
      <c r="F682">
        <v>4.875E-3</v>
      </c>
      <c r="G682">
        <v>0.99512500000000004</v>
      </c>
      <c r="H682">
        <v>93352.016300000003</v>
      </c>
      <c r="I682">
        <v>455.09</v>
      </c>
      <c r="J682">
        <v>93124.470759999997</v>
      </c>
      <c r="K682">
        <v>2567638.7480000001</v>
      </c>
      <c r="L682">
        <v>27.50490937</v>
      </c>
      <c r="M682">
        <v>0.93352016299999996</v>
      </c>
      <c r="N682">
        <v>-5.3236351745323267</v>
      </c>
      <c r="O682">
        <v>4.886900332387349E-3</v>
      </c>
    </row>
    <row r="683" spans="1:15" x14ac:dyDescent="0.3">
      <c r="A683">
        <v>2018</v>
      </c>
      <c r="B683">
        <v>51</v>
      </c>
      <c r="C683" t="s">
        <v>12</v>
      </c>
      <c r="D683">
        <v>10605</v>
      </c>
      <c r="E683">
        <v>1982590</v>
      </c>
      <c r="F683">
        <v>5.3489999999999996E-3</v>
      </c>
      <c r="G683">
        <v>0.99465099999999995</v>
      </c>
      <c r="H683">
        <v>92896.922309999994</v>
      </c>
      <c r="I683">
        <v>496.91</v>
      </c>
      <c r="J683">
        <v>92648.469490000003</v>
      </c>
      <c r="K683">
        <v>2474514.2779999999</v>
      </c>
      <c r="L683">
        <v>26.63720408</v>
      </c>
      <c r="M683">
        <v>0.92896922299999996</v>
      </c>
      <c r="N683">
        <v>-5.2308456514330244</v>
      </c>
      <c r="O683">
        <v>5.3633915226463172E-3</v>
      </c>
    </row>
    <row r="684" spans="1:15" x14ac:dyDescent="0.3">
      <c r="A684">
        <v>2018</v>
      </c>
      <c r="B684">
        <v>52</v>
      </c>
      <c r="C684" t="s">
        <v>12</v>
      </c>
      <c r="D684">
        <v>11936</v>
      </c>
      <c r="E684">
        <v>2016677</v>
      </c>
      <c r="F684">
        <v>5.9189999999999998E-3</v>
      </c>
      <c r="G684">
        <v>0.99408099999999999</v>
      </c>
      <c r="H684">
        <v>92400.010760000005</v>
      </c>
      <c r="I684">
        <v>546.91999999999996</v>
      </c>
      <c r="J684">
        <v>92126.552930000005</v>
      </c>
      <c r="K684">
        <v>2381865.8080000002</v>
      </c>
      <c r="L684">
        <v>25.777765479999999</v>
      </c>
      <c r="M684">
        <v>0.92400010799999999</v>
      </c>
      <c r="N684">
        <v>-5.1295877632735492</v>
      </c>
      <c r="O684">
        <v>5.9366152960059169E-3</v>
      </c>
    </row>
    <row r="685" spans="1:15" x14ac:dyDescent="0.3">
      <c r="A685">
        <v>2018</v>
      </c>
      <c r="B685">
        <v>53</v>
      </c>
      <c r="C685" t="s">
        <v>12</v>
      </c>
      <c r="D685">
        <v>13554</v>
      </c>
      <c r="E685">
        <v>2131415</v>
      </c>
      <c r="F685">
        <v>6.3590000000000001E-3</v>
      </c>
      <c r="G685">
        <v>0.993641</v>
      </c>
      <c r="H685">
        <v>91853.127680000005</v>
      </c>
      <c r="I685">
        <v>584.09</v>
      </c>
      <c r="J685">
        <v>91561.080660000007</v>
      </c>
      <c r="K685">
        <v>2289739.2549999999</v>
      </c>
      <c r="L685">
        <v>24.928266600000001</v>
      </c>
      <c r="M685">
        <v>0.91853127700000003</v>
      </c>
      <c r="N685">
        <v>-5.0578841466968667</v>
      </c>
      <c r="O685">
        <v>6.3792393165443568E-3</v>
      </c>
    </row>
    <row r="686" spans="1:15" x14ac:dyDescent="0.3">
      <c r="A686">
        <v>2018</v>
      </c>
      <c r="B686">
        <v>54</v>
      </c>
      <c r="C686" t="s">
        <v>12</v>
      </c>
      <c r="D686">
        <v>15265</v>
      </c>
      <c r="E686">
        <v>2156589</v>
      </c>
      <c r="F686">
        <v>7.0780000000000001E-3</v>
      </c>
      <c r="G686">
        <v>0.99292199999999997</v>
      </c>
      <c r="H686">
        <v>91269.019339999999</v>
      </c>
      <c r="I686">
        <v>646</v>
      </c>
      <c r="J686">
        <v>90946.018280000004</v>
      </c>
      <c r="K686">
        <v>2198178.1740000001</v>
      </c>
      <c r="L686">
        <v>24.084603850000001</v>
      </c>
      <c r="M686">
        <v>0.91269019299999998</v>
      </c>
      <c r="N686">
        <v>-4.9507638970588657</v>
      </c>
      <c r="O686">
        <v>7.1031158029133531E-3</v>
      </c>
    </row>
    <row r="687" spans="1:15" x14ac:dyDescent="0.3">
      <c r="A687">
        <v>2018</v>
      </c>
      <c r="B687">
        <v>55</v>
      </c>
      <c r="C687" t="s">
        <v>12</v>
      </c>
      <c r="D687">
        <v>16734</v>
      </c>
      <c r="E687">
        <v>2145020</v>
      </c>
      <c r="F687">
        <v>7.8009999999999998E-3</v>
      </c>
      <c r="G687">
        <v>0.99219900000000005</v>
      </c>
      <c r="H687">
        <v>90622.989159999997</v>
      </c>
      <c r="I687">
        <v>706.95</v>
      </c>
      <c r="J687">
        <v>90269.514190000002</v>
      </c>
      <c r="K687">
        <v>2107232.156</v>
      </c>
      <c r="L687">
        <v>23.25273284</v>
      </c>
      <c r="M687">
        <v>0.90622989200000004</v>
      </c>
      <c r="N687">
        <v>-4.8535033483759609</v>
      </c>
      <c r="O687">
        <v>7.831548911904249E-3</v>
      </c>
    </row>
    <row r="688" spans="1:15" x14ac:dyDescent="0.3">
      <c r="A688">
        <v>2018</v>
      </c>
      <c r="B688">
        <v>56</v>
      </c>
      <c r="C688" t="s">
        <v>12</v>
      </c>
      <c r="D688">
        <v>18158</v>
      </c>
      <c r="E688">
        <v>2132558</v>
      </c>
      <c r="F688">
        <v>8.515E-3</v>
      </c>
      <c r="G688">
        <v>0.99148499999999995</v>
      </c>
      <c r="H688">
        <v>89916.009690000006</v>
      </c>
      <c r="I688">
        <v>765.63</v>
      </c>
      <c r="J688">
        <v>89533.192280000003</v>
      </c>
      <c r="K688">
        <v>2016962.642</v>
      </c>
      <c r="L688">
        <v>22.431629789999999</v>
      </c>
      <c r="M688">
        <v>0.89916009699999999</v>
      </c>
      <c r="N688">
        <v>-4.7659259648674857</v>
      </c>
      <c r="O688">
        <v>8.5513522826989787E-3</v>
      </c>
    </row>
    <row r="689" spans="1:15" x14ac:dyDescent="0.3">
      <c r="A689">
        <v>2018</v>
      </c>
      <c r="B689">
        <v>57</v>
      </c>
      <c r="C689" t="s">
        <v>12</v>
      </c>
      <c r="D689">
        <v>19889</v>
      </c>
      <c r="E689">
        <v>2148167</v>
      </c>
      <c r="F689">
        <v>9.2589999999999999E-3</v>
      </c>
      <c r="G689">
        <v>0.99074099999999998</v>
      </c>
      <c r="H689">
        <v>89150.405700000003</v>
      </c>
      <c r="I689">
        <v>825.44</v>
      </c>
      <c r="J689">
        <v>88737.683900000004</v>
      </c>
      <c r="K689">
        <v>1927429.45</v>
      </c>
      <c r="L689">
        <v>21.619973959999999</v>
      </c>
      <c r="M689">
        <v>0.89150405700000002</v>
      </c>
      <c r="N689">
        <v>-4.6821592275162267</v>
      </c>
      <c r="O689">
        <v>9.3020213537167943E-3</v>
      </c>
    </row>
    <row r="690" spans="1:15" x14ac:dyDescent="0.3">
      <c r="A690">
        <v>2018</v>
      </c>
      <c r="B690">
        <v>58</v>
      </c>
      <c r="C690" t="s">
        <v>12</v>
      </c>
      <c r="D690">
        <v>21133</v>
      </c>
      <c r="E690">
        <v>2165907</v>
      </c>
      <c r="F690">
        <v>9.757E-3</v>
      </c>
      <c r="G690">
        <v>0.99024299999999998</v>
      </c>
      <c r="H690">
        <v>88324.998540000001</v>
      </c>
      <c r="I690">
        <v>861.79</v>
      </c>
      <c r="J690">
        <v>87894.105030000006</v>
      </c>
      <c r="K690">
        <v>1838691.7660000001</v>
      </c>
      <c r="L690">
        <v>20.81734273</v>
      </c>
      <c r="M690">
        <v>0.88324998499999996</v>
      </c>
      <c r="N690">
        <v>-4.6297703028563237</v>
      </c>
      <c r="O690">
        <v>9.8048674445364303E-3</v>
      </c>
    </row>
    <row r="691" spans="1:15" x14ac:dyDescent="0.3">
      <c r="A691">
        <v>2018</v>
      </c>
      <c r="B691">
        <v>59</v>
      </c>
      <c r="C691" t="s">
        <v>12</v>
      </c>
      <c r="D691">
        <v>22347</v>
      </c>
      <c r="E691">
        <v>2077675</v>
      </c>
      <c r="F691">
        <v>1.0756E-2</v>
      </c>
      <c r="G691">
        <v>0.98924400000000001</v>
      </c>
      <c r="H691">
        <v>87463.201530000006</v>
      </c>
      <c r="I691">
        <v>940.75</v>
      </c>
      <c r="J691">
        <v>86992.824429999993</v>
      </c>
      <c r="K691">
        <v>1750797.6610000001</v>
      </c>
      <c r="L691">
        <v>20.01753458</v>
      </c>
      <c r="M691">
        <v>0.87463201499999998</v>
      </c>
      <c r="N691">
        <v>-4.5322915405755184</v>
      </c>
      <c r="O691">
        <v>1.0814109079361407E-2</v>
      </c>
    </row>
    <row r="692" spans="1:15" x14ac:dyDescent="0.3">
      <c r="A692">
        <v>2018</v>
      </c>
      <c r="B692">
        <v>60</v>
      </c>
      <c r="C692" t="s">
        <v>12</v>
      </c>
      <c r="D692">
        <v>23537</v>
      </c>
      <c r="E692">
        <v>2054540</v>
      </c>
      <c r="F692">
        <v>1.1455999999999999E-2</v>
      </c>
      <c r="G692">
        <v>0.98854399999999998</v>
      </c>
      <c r="H692">
        <v>86522.467210000003</v>
      </c>
      <c r="I692">
        <v>991.2</v>
      </c>
      <c r="J692">
        <v>86026.866519999996</v>
      </c>
      <c r="K692">
        <v>1663804.8359999999</v>
      </c>
      <c r="L692">
        <v>19.229743330000002</v>
      </c>
      <c r="M692">
        <v>0.86522467199999997</v>
      </c>
      <c r="N692">
        <v>-4.4692416687638472</v>
      </c>
      <c r="O692">
        <v>1.1521982447191428E-2</v>
      </c>
    </row>
    <row r="693" spans="1:15" x14ac:dyDescent="0.3">
      <c r="A693">
        <v>2018</v>
      </c>
      <c r="B693">
        <v>61</v>
      </c>
      <c r="C693" t="s">
        <v>12</v>
      </c>
      <c r="D693">
        <v>25083</v>
      </c>
      <c r="E693">
        <v>2018812</v>
      </c>
      <c r="F693">
        <v>1.2425E-2</v>
      </c>
      <c r="G693">
        <v>0.98757499999999998</v>
      </c>
      <c r="H693">
        <v>85531.257840000006</v>
      </c>
      <c r="I693">
        <v>1062.73</v>
      </c>
      <c r="J693">
        <v>84999.894899999999</v>
      </c>
      <c r="K693">
        <v>1577777.97</v>
      </c>
      <c r="L693">
        <v>18.446799559999999</v>
      </c>
      <c r="M693">
        <v>0.85531257800000005</v>
      </c>
      <c r="N693">
        <v>-4.3880447069994446</v>
      </c>
      <c r="O693">
        <v>1.250271903889064E-2</v>
      </c>
    </row>
    <row r="694" spans="1:15" x14ac:dyDescent="0.3">
      <c r="A694">
        <v>2018</v>
      </c>
      <c r="B694">
        <v>62</v>
      </c>
      <c r="C694" t="s">
        <v>12</v>
      </c>
      <c r="D694">
        <v>26097</v>
      </c>
      <c r="E694">
        <v>1933853</v>
      </c>
      <c r="F694">
        <v>1.3495E-2</v>
      </c>
      <c r="G694">
        <v>0.98650499999999997</v>
      </c>
      <c r="H694">
        <v>84468.563269999999</v>
      </c>
      <c r="I694">
        <v>1139.9000000000001</v>
      </c>
      <c r="J694">
        <v>83898.611640000003</v>
      </c>
      <c r="K694">
        <v>1492778.075</v>
      </c>
      <c r="L694">
        <v>17.672587490000002</v>
      </c>
      <c r="M694">
        <v>0.84468563299999999</v>
      </c>
      <c r="N694">
        <v>-4.3054360325121692</v>
      </c>
      <c r="O694">
        <v>1.3586636000321685E-2</v>
      </c>
    </row>
    <row r="695" spans="1:15" x14ac:dyDescent="0.3">
      <c r="A695">
        <v>2018</v>
      </c>
      <c r="B695">
        <v>63</v>
      </c>
      <c r="C695" t="s">
        <v>12</v>
      </c>
      <c r="D695">
        <v>27437</v>
      </c>
      <c r="E695">
        <v>1908640</v>
      </c>
      <c r="F695">
        <v>1.4375000000000001E-2</v>
      </c>
      <c r="G695">
        <v>0.98562499999999997</v>
      </c>
      <c r="H695">
        <v>83328.675130000003</v>
      </c>
      <c r="I695">
        <v>1197.8499999999999</v>
      </c>
      <c r="J695">
        <v>82729.750279999993</v>
      </c>
      <c r="K695">
        <v>1408879.463</v>
      </c>
      <c r="L695">
        <v>16.907498660000002</v>
      </c>
      <c r="M695">
        <v>0.83328675100000005</v>
      </c>
      <c r="N695">
        <v>-4.2422646922987228</v>
      </c>
      <c r="O695">
        <v>1.4479073015254943E-2</v>
      </c>
    </row>
    <row r="696" spans="1:15" x14ac:dyDescent="0.3">
      <c r="A696">
        <v>2018</v>
      </c>
      <c r="B696">
        <v>64</v>
      </c>
      <c r="C696" t="s">
        <v>12</v>
      </c>
      <c r="D696">
        <v>27858</v>
      </c>
      <c r="E696">
        <v>1813691</v>
      </c>
      <c r="F696">
        <v>1.536E-2</v>
      </c>
      <c r="G696">
        <v>0.98463999999999996</v>
      </c>
      <c r="H696">
        <v>82130.812330000001</v>
      </c>
      <c r="I696">
        <v>1261.53</v>
      </c>
      <c r="J696">
        <v>81500.047690000007</v>
      </c>
      <c r="K696">
        <v>1326149.713</v>
      </c>
      <c r="L696">
        <v>16.146798929999999</v>
      </c>
      <c r="M696">
        <v>0.821308123</v>
      </c>
      <c r="N696">
        <v>-4.1759885512626109</v>
      </c>
      <c r="O696">
        <v>1.5478885384048759E-2</v>
      </c>
    </row>
    <row r="697" spans="1:15" x14ac:dyDescent="0.3">
      <c r="A697">
        <v>2018</v>
      </c>
      <c r="B697">
        <v>65</v>
      </c>
      <c r="C697" t="s">
        <v>12</v>
      </c>
      <c r="D697">
        <v>28364</v>
      </c>
      <c r="E697">
        <v>1734093</v>
      </c>
      <c r="F697">
        <v>1.6357E-2</v>
      </c>
      <c r="G697">
        <v>0.98364300000000005</v>
      </c>
      <c r="H697">
        <v>80869.296359999993</v>
      </c>
      <c r="I697">
        <v>1322.78</v>
      </c>
      <c r="J697">
        <v>80207.906820000004</v>
      </c>
      <c r="K697">
        <v>1244649.665</v>
      </c>
      <c r="L697">
        <v>15.390880360000001</v>
      </c>
      <c r="M697">
        <v>0.80869296400000001</v>
      </c>
      <c r="N697">
        <v>-4.1130993387057488</v>
      </c>
      <c r="O697">
        <v>1.6491887613982806E-2</v>
      </c>
    </row>
    <row r="698" spans="1:15" x14ac:dyDescent="0.3">
      <c r="A698">
        <v>2018</v>
      </c>
      <c r="B698">
        <v>66</v>
      </c>
      <c r="C698" t="s">
        <v>12</v>
      </c>
      <c r="D698">
        <v>29154</v>
      </c>
      <c r="E698">
        <v>1658451</v>
      </c>
      <c r="F698">
        <v>1.7579000000000001E-2</v>
      </c>
      <c r="G698">
        <v>0.98242099999999999</v>
      </c>
      <c r="H698">
        <v>79546.543350000007</v>
      </c>
      <c r="I698">
        <v>1398.35</v>
      </c>
      <c r="J698">
        <v>78847.369009999995</v>
      </c>
      <c r="K698">
        <v>1164441.7590000001</v>
      </c>
      <c r="L698">
        <v>14.63849602</v>
      </c>
      <c r="M698">
        <v>0.79546543400000003</v>
      </c>
      <c r="N698">
        <v>-4.0410502711643828</v>
      </c>
      <c r="O698">
        <v>1.7734897889127486E-2</v>
      </c>
    </row>
    <row r="699" spans="1:15" x14ac:dyDescent="0.3">
      <c r="A699">
        <v>2018</v>
      </c>
      <c r="B699">
        <v>67</v>
      </c>
      <c r="C699" t="s">
        <v>12</v>
      </c>
      <c r="D699">
        <v>29459</v>
      </c>
      <c r="E699">
        <v>1595396</v>
      </c>
      <c r="F699">
        <v>1.8464999999999999E-2</v>
      </c>
      <c r="G699">
        <v>0.98153500000000005</v>
      </c>
      <c r="H699">
        <v>78148.190359999993</v>
      </c>
      <c r="I699">
        <v>1443.01</v>
      </c>
      <c r="J699">
        <v>77426.687189999997</v>
      </c>
      <c r="K699">
        <v>1085594.389</v>
      </c>
      <c r="L699">
        <v>13.89148468</v>
      </c>
      <c r="M699">
        <v>0.78148190399999995</v>
      </c>
      <c r="N699">
        <v>-3.9918782306776106</v>
      </c>
      <c r="O699">
        <v>1.8637114130036835E-2</v>
      </c>
    </row>
    <row r="700" spans="1:15" x14ac:dyDescent="0.3">
      <c r="A700">
        <v>2018</v>
      </c>
      <c r="B700">
        <v>68</v>
      </c>
      <c r="C700" t="s">
        <v>12</v>
      </c>
      <c r="D700">
        <v>29869</v>
      </c>
      <c r="E700">
        <v>1552348</v>
      </c>
      <c r="F700">
        <v>1.9241000000000001E-2</v>
      </c>
      <c r="G700">
        <v>0.98075900000000005</v>
      </c>
      <c r="H700">
        <v>76705.183390000006</v>
      </c>
      <c r="I700">
        <v>1475.88</v>
      </c>
      <c r="J700">
        <v>75967.241169999994</v>
      </c>
      <c r="K700">
        <v>1008167.702</v>
      </c>
      <c r="L700">
        <v>13.143410360000001</v>
      </c>
      <c r="M700">
        <v>0.76705183399999999</v>
      </c>
      <c r="N700">
        <v>-3.9507118600432576</v>
      </c>
      <c r="O700">
        <v>1.9427849528620034E-2</v>
      </c>
    </row>
    <row r="701" spans="1:15" x14ac:dyDescent="0.3">
      <c r="A701">
        <v>2018</v>
      </c>
      <c r="B701">
        <v>69</v>
      </c>
      <c r="C701" t="s">
        <v>12</v>
      </c>
      <c r="D701">
        <v>31702</v>
      </c>
      <c r="E701">
        <v>1494525</v>
      </c>
      <c r="F701">
        <v>2.1212000000000002E-2</v>
      </c>
      <c r="G701">
        <v>0.97878799999999999</v>
      </c>
      <c r="H701">
        <v>75229.285510000002</v>
      </c>
      <c r="I701">
        <v>1595.76</v>
      </c>
      <c r="J701">
        <v>74431.403709999999</v>
      </c>
      <c r="K701">
        <v>932200.46109999996</v>
      </c>
      <c r="L701">
        <v>12.39145706</v>
      </c>
      <c r="M701">
        <v>0.75229285499999998</v>
      </c>
      <c r="N701">
        <v>-3.8531882197072536</v>
      </c>
      <c r="O701">
        <v>2.1439338688717328E-2</v>
      </c>
    </row>
    <row r="702" spans="1:15" x14ac:dyDescent="0.3">
      <c r="A702">
        <v>2018</v>
      </c>
      <c r="B702">
        <v>70</v>
      </c>
      <c r="C702" t="s">
        <v>12</v>
      </c>
      <c r="D702">
        <v>33290</v>
      </c>
      <c r="E702">
        <v>1469752</v>
      </c>
      <c r="F702">
        <v>2.265E-2</v>
      </c>
      <c r="G702">
        <v>0.97735000000000005</v>
      </c>
      <c r="H702">
        <v>73633.515079999997</v>
      </c>
      <c r="I702">
        <v>1667.8</v>
      </c>
      <c r="J702">
        <v>72799.615520000007</v>
      </c>
      <c r="K702">
        <v>857769.05740000005</v>
      </c>
      <c r="L702">
        <v>11.649166230000001</v>
      </c>
      <c r="M702">
        <v>0.73633515100000002</v>
      </c>
      <c r="N702">
        <v>-3.7875954270530938</v>
      </c>
      <c r="O702">
        <v>2.290946257512972E-2</v>
      </c>
    </row>
    <row r="703" spans="1:15" x14ac:dyDescent="0.3">
      <c r="A703">
        <v>2018</v>
      </c>
      <c r="B703">
        <v>71</v>
      </c>
      <c r="C703" t="s">
        <v>12</v>
      </c>
      <c r="D703">
        <v>36251</v>
      </c>
      <c r="E703">
        <v>1522210</v>
      </c>
      <c r="F703">
        <v>2.3814999999999999E-2</v>
      </c>
      <c r="G703">
        <v>0.97618499999999997</v>
      </c>
      <c r="H703">
        <v>71965.710089999993</v>
      </c>
      <c r="I703">
        <v>1713.86</v>
      </c>
      <c r="J703">
        <v>71108.778399999996</v>
      </c>
      <c r="K703">
        <v>784969.44189999998</v>
      </c>
      <c r="L703">
        <v>10.907548070000001</v>
      </c>
      <c r="M703">
        <v>0.71965710100000002</v>
      </c>
      <c r="N703">
        <v>-3.7374396447293132</v>
      </c>
      <c r="O703">
        <v>2.4101943430393631E-2</v>
      </c>
    </row>
    <row r="704" spans="1:15" x14ac:dyDescent="0.3">
      <c r="A704">
        <v>2018</v>
      </c>
      <c r="B704">
        <v>72</v>
      </c>
      <c r="C704" t="s">
        <v>12</v>
      </c>
      <c r="D704">
        <v>30308</v>
      </c>
      <c r="E704">
        <v>1106964</v>
      </c>
      <c r="F704">
        <v>2.7379000000000001E-2</v>
      </c>
      <c r="G704">
        <v>0.97262099999999996</v>
      </c>
      <c r="H704">
        <v>70251.86709</v>
      </c>
      <c r="I704">
        <v>1923.43</v>
      </c>
      <c r="J704">
        <v>69290.154160000006</v>
      </c>
      <c r="K704">
        <v>713860.66350000002</v>
      </c>
      <c r="L704">
        <v>10.161447559999999</v>
      </c>
      <c r="M704">
        <v>0.70251867099999998</v>
      </c>
      <c r="N704">
        <v>-3.5979789827983115</v>
      </c>
      <c r="O704">
        <v>2.7759072044051213E-2</v>
      </c>
    </row>
    <row r="705" spans="1:15" x14ac:dyDescent="0.3">
      <c r="A705">
        <v>2018</v>
      </c>
      <c r="B705">
        <v>73</v>
      </c>
      <c r="C705" t="s">
        <v>12</v>
      </c>
      <c r="D705">
        <v>31179</v>
      </c>
      <c r="E705">
        <v>1078210</v>
      </c>
      <c r="F705">
        <v>2.8917000000000002E-2</v>
      </c>
      <c r="G705">
        <v>0.97108300000000003</v>
      </c>
      <c r="H705">
        <v>68328.413759999996</v>
      </c>
      <c r="I705">
        <v>1975.85</v>
      </c>
      <c r="J705">
        <v>67340.487389999995</v>
      </c>
      <c r="K705">
        <v>644570.50930000003</v>
      </c>
      <c r="L705">
        <v>9.4334183080000003</v>
      </c>
      <c r="M705">
        <v>0.68328413799999999</v>
      </c>
      <c r="N705">
        <v>-3.5433256215121962</v>
      </c>
      <c r="O705">
        <v>2.9341195019527175E-2</v>
      </c>
    </row>
    <row r="706" spans="1:15" x14ac:dyDescent="0.3">
      <c r="A706">
        <v>2018</v>
      </c>
      <c r="B706">
        <v>74</v>
      </c>
      <c r="C706" t="s">
        <v>12</v>
      </c>
      <c r="D706">
        <v>33335</v>
      </c>
      <c r="E706">
        <v>1034136</v>
      </c>
      <c r="F706">
        <v>3.2235E-2</v>
      </c>
      <c r="G706">
        <v>0.96776499999999999</v>
      </c>
      <c r="H706">
        <v>66352.535579999996</v>
      </c>
      <c r="I706">
        <v>2138.87</v>
      </c>
      <c r="J706">
        <v>65283.098590000001</v>
      </c>
      <c r="K706">
        <v>577230.022</v>
      </c>
      <c r="L706">
        <v>8.6994418059999994</v>
      </c>
      <c r="M706">
        <v>0.66352535599999996</v>
      </c>
      <c r="N706">
        <v>-3.4347024602195537</v>
      </c>
      <c r="O706">
        <v>3.2762991543044594E-2</v>
      </c>
    </row>
    <row r="707" spans="1:15" x14ac:dyDescent="0.3">
      <c r="A707">
        <v>2018</v>
      </c>
      <c r="B707">
        <v>75</v>
      </c>
      <c r="C707" t="s">
        <v>12</v>
      </c>
      <c r="D707">
        <v>36291</v>
      </c>
      <c r="E707">
        <v>1042460</v>
      </c>
      <c r="F707">
        <v>3.4812999999999997E-2</v>
      </c>
      <c r="G707">
        <v>0.96518700000000002</v>
      </c>
      <c r="H707">
        <v>64213.685590000001</v>
      </c>
      <c r="I707">
        <v>2235.4699999999998</v>
      </c>
      <c r="J707">
        <v>63095.950069999999</v>
      </c>
      <c r="K707">
        <v>511946.92340000003</v>
      </c>
      <c r="L707">
        <v>7.9725516250000004</v>
      </c>
      <c r="M707">
        <v>0.64213685600000003</v>
      </c>
      <c r="N707">
        <v>-3.3577643987406849</v>
      </c>
      <c r="O707">
        <v>3.5429688004563836E-2</v>
      </c>
    </row>
    <row r="708" spans="1:15" x14ac:dyDescent="0.3">
      <c r="A708">
        <v>2018</v>
      </c>
      <c r="B708">
        <v>76</v>
      </c>
      <c r="C708" t="s">
        <v>12</v>
      </c>
      <c r="D708">
        <v>34251</v>
      </c>
      <c r="E708">
        <v>890943</v>
      </c>
      <c r="F708">
        <v>3.8443999999999999E-2</v>
      </c>
      <c r="G708">
        <v>0.96155599999999997</v>
      </c>
      <c r="H708">
        <v>61978.224410000003</v>
      </c>
      <c r="I708">
        <v>2382.69</v>
      </c>
      <c r="J708">
        <v>60786.878980000001</v>
      </c>
      <c r="K708">
        <v>448850.97330000001</v>
      </c>
      <c r="L708">
        <v>7.2420753830000004</v>
      </c>
      <c r="M708">
        <v>0.61978224400000004</v>
      </c>
      <c r="N708">
        <v>-3.2585526420210993</v>
      </c>
      <c r="O708">
        <v>3.9197430058957955E-2</v>
      </c>
    </row>
    <row r="709" spans="1:15" x14ac:dyDescent="0.3">
      <c r="A709">
        <v>2018</v>
      </c>
      <c r="B709">
        <v>77</v>
      </c>
      <c r="C709" t="s">
        <v>12</v>
      </c>
      <c r="D709">
        <v>33845</v>
      </c>
      <c r="E709">
        <v>795142</v>
      </c>
      <c r="F709">
        <v>4.2564999999999999E-2</v>
      </c>
      <c r="G709">
        <v>0.95743500000000004</v>
      </c>
      <c r="H709">
        <v>59595.562259999999</v>
      </c>
      <c r="I709">
        <v>2536.69</v>
      </c>
      <c r="J709">
        <v>58327.219709999998</v>
      </c>
      <c r="K709">
        <v>388064.0943</v>
      </c>
      <c r="L709">
        <v>6.5116273700000002</v>
      </c>
      <c r="M709">
        <v>0.59595562300000005</v>
      </c>
      <c r="N709">
        <v>-3.1567229596461166</v>
      </c>
      <c r="O709">
        <v>4.3490666202742452E-2</v>
      </c>
    </row>
    <row r="710" spans="1:15" x14ac:dyDescent="0.3">
      <c r="A710">
        <v>2018</v>
      </c>
      <c r="B710">
        <v>78</v>
      </c>
      <c r="C710" t="s">
        <v>12</v>
      </c>
      <c r="D710">
        <v>33257</v>
      </c>
      <c r="E710">
        <v>736686</v>
      </c>
      <c r="F710">
        <v>4.5143999999999997E-2</v>
      </c>
      <c r="G710">
        <v>0.95485600000000004</v>
      </c>
      <c r="H710">
        <v>57058.893580000004</v>
      </c>
      <c r="I710">
        <v>2575.87</v>
      </c>
      <c r="J710">
        <v>55770.960229999997</v>
      </c>
      <c r="K710">
        <v>329736.87459999998</v>
      </c>
      <c r="L710">
        <v>5.7788865840000003</v>
      </c>
      <c r="M710">
        <v>0.57058893600000005</v>
      </c>
      <c r="N710">
        <v>-3.0978978983152983</v>
      </c>
      <c r="O710">
        <v>4.6186583011438208E-2</v>
      </c>
    </row>
    <row r="711" spans="1:15" x14ac:dyDescent="0.3">
      <c r="A711">
        <v>2018</v>
      </c>
      <c r="B711">
        <v>79</v>
      </c>
      <c r="C711" t="s">
        <v>12</v>
      </c>
      <c r="D711">
        <v>34328</v>
      </c>
      <c r="E711">
        <v>679443</v>
      </c>
      <c r="F711">
        <v>5.0523999999999999E-2</v>
      </c>
      <c r="G711">
        <v>0.94947599999999999</v>
      </c>
      <c r="H711">
        <v>54483.023229999999</v>
      </c>
      <c r="I711">
        <v>2752.7</v>
      </c>
      <c r="J711">
        <v>53106.6731</v>
      </c>
      <c r="K711">
        <v>273965.91440000001</v>
      </c>
      <c r="L711">
        <v>5.0284638800000003</v>
      </c>
      <c r="M711">
        <v>0.54483023200000003</v>
      </c>
      <c r="N711">
        <v>-2.9853068080704084</v>
      </c>
      <c r="O711">
        <v>5.1833403774440102E-2</v>
      </c>
    </row>
    <row r="712" spans="1:15" x14ac:dyDescent="0.3">
      <c r="A712">
        <v>2018</v>
      </c>
      <c r="B712">
        <v>80</v>
      </c>
      <c r="C712" t="s">
        <v>12</v>
      </c>
      <c r="D712">
        <v>35018</v>
      </c>
      <c r="E712">
        <v>630172</v>
      </c>
      <c r="F712">
        <v>5.5569E-2</v>
      </c>
      <c r="G712">
        <v>0.94443100000000002</v>
      </c>
      <c r="H712">
        <v>51730.337249999997</v>
      </c>
      <c r="I712">
        <v>2874.6</v>
      </c>
      <c r="J712">
        <v>50293.035689999997</v>
      </c>
      <c r="K712">
        <v>220859.24129999999</v>
      </c>
      <c r="L712">
        <v>4.2694336249999996</v>
      </c>
      <c r="M712">
        <v>0.51730337299999996</v>
      </c>
      <c r="N712">
        <v>-2.8901297871734415</v>
      </c>
      <c r="O712">
        <v>5.7157017762620353E-2</v>
      </c>
    </row>
    <row r="713" spans="1:15" x14ac:dyDescent="0.3">
      <c r="A713">
        <v>2018</v>
      </c>
      <c r="B713">
        <v>81</v>
      </c>
      <c r="C713" t="s">
        <v>12</v>
      </c>
      <c r="D713">
        <v>34624</v>
      </c>
      <c r="E713">
        <v>561875</v>
      </c>
      <c r="F713">
        <v>6.1622000000000003E-2</v>
      </c>
      <c r="G713">
        <v>0.93837800000000005</v>
      </c>
      <c r="H713">
        <v>48855.736429999997</v>
      </c>
      <c r="I713">
        <v>3010.59</v>
      </c>
      <c r="J713">
        <v>47350.442329999998</v>
      </c>
      <c r="K713">
        <v>170566.20559999999</v>
      </c>
      <c r="L713">
        <v>3.491221667</v>
      </c>
      <c r="M713">
        <v>0.48855736399999999</v>
      </c>
      <c r="N713">
        <v>-2.7867363293458496</v>
      </c>
      <c r="O713">
        <v>6.3581040329294708E-2</v>
      </c>
    </row>
    <row r="714" spans="1:15" x14ac:dyDescent="0.3">
      <c r="A714">
        <v>2018</v>
      </c>
      <c r="B714">
        <v>82</v>
      </c>
      <c r="C714" t="s">
        <v>12</v>
      </c>
      <c r="D714">
        <v>35372</v>
      </c>
      <c r="E714">
        <v>517114</v>
      </c>
      <c r="F714">
        <v>6.8403000000000005E-2</v>
      </c>
      <c r="G714">
        <v>0.93159700000000001</v>
      </c>
      <c r="H714">
        <v>45845.136169999998</v>
      </c>
      <c r="I714">
        <v>3135.94</v>
      </c>
      <c r="J714">
        <v>44277.16375</v>
      </c>
      <c r="K714">
        <v>123215.76330000001</v>
      </c>
      <c r="L714">
        <v>2.6876518109999998</v>
      </c>
      <c r="M714">
        <v>0.45845136199999997</v>
      </c>
      <c r="N714">
        <v>-2.6823385956663155</v>
      </c>
      <c r="O714">
        <v>7.0825212523997705E-2</v>
      </c>
    </row>
    <row r="715" spans="1:15" x14ac:dyDescent="0.3">
      <c r="A715">
        <v>2018</v>
      </c>
      <c r="B715">
        <v>83</v>
      </c>
      <c r="C715" t="s">
        <v>12</v>
      </c>
      <c r="D715">
        <v>35491</v>
      </c>
      <c r="E715">
        <v>474179</v>
      </c>
      <c r="F715">
        <v>7.4846999999999997E-2</v>
      </c>
      <c r="G715">
        <v>0.925153</v>
      </c>
      <c r="H715">
        <v>42709.204530000003</v>
      </c>
      <c r="I715">
        <v>3196.66</v>
      </c>
      <c r="J715">
        <v>41110.876609999999</v>
      </c>
      <c r="K715">
        <v>78938.59951</v>
      </c>
      <c r="L715">
        <v>1.848280725</v>
      </c>
      <c r="M715">
        <v>0.42709204499999998</v>
      </c>
      <c r="N715">
        <v>-2.5923092490800514</v>
      </c>
      <c r="O715">
        <v>7.7757048718876065E-2</v>
      </c>
    </row>
    <row r="716" spans="1:15" x14ac:dyDescent="0.3">
      <c r="A716">
        <v>2018</v>
      </c>
      <c r="B716">
        <v>84</v>
      </c>
      <c r="C716" t="s">
        <v>12</v>
      </c>
      <c r="D716">
        <v>34711</v>
      </c>
      <c r="E716">
        <v>407026</v>
      </c>
      <c r="F716">
        <v>8.5279999999999995E-2</v>
      </c>
      <c r="G716">
        <v>0.91471999999999998</v>
      </c>
      <c r="H716">
        <v>39512.537490000002</v>
      </c>
      <c r="I716">
        <v>3369.63</v>
      </c>
      <c r="J716">
        <v>37827.722889999997</v>
      </c>
      <c r="K716">
        <v>37827.722889999997</v>
      </c>
      <c r="L716">
        <v>0.95735999999999999</v>
      </c>
      <c r="M716">
        <v>0.395125375</v>
      </c>
      <c r="N716">
        <v>-2.4618153185646028</v>
      </c>
      <c r="O716">
        <v>4.8305766071261212E-2</v>
      </c>
    </row>
    <row r="717" spans="1:15" x14ac:dyDescent="0.3">
      <c r="A717">
        <v>2018</v>
      </c>
      <c r="B717">
        <v>20</v>
      </c>
      <c r="C717" t="s">
        <v>13</v>
      </c>
      <c r="D717">
        <v>3273</v>
      </c>
      <c r="E717">
        <v>4273822</v>
      </c>
      <c r="F717">
        <v>7.6599999999999997E-4</v>
      </c>
      <c r="G717">
        <v>0.99923399999999996</v>
      </c>
      <c r="H717">
        <v>100000</v>
      </c>
      <c r="I717">
        <v>76.599999999999994</v>
      </c>
      <c r="J717">
        <v>99961.7</v>
      </c>
      <c r="K717">
        <v>5662426.3219999997</v>
      </c>
      <c r="L717">
        <v>56.624263220000003</v>
      </c>
      <c r="M717">
        <v>1</v>
      </c>
      <c r="N717">
        <v>-7.1743283882236826</v>
      </c>
      <c r="O717">
        <v>7.6629342336879025E-4</v>
      </c>
    </row>
    <row r="718" spans="1:15" x14ac:dyDescent="0.3">
      <c r="A718">
        <v>2018</v>
      </c>
      <c r="B718">
        <v>21</v>
      </c>
      <c r="C718" t="s">
        <v>13</v>
      </c>
      <c r="D718">
        <v>3721</v>
      </c>
      <c r="E718">
        <v>4292514</v>
      </c>
      <c r="F718">
        <v>8.6700000000000004E-4</v>
      </c>
      <c r="G718">
        <v>0.99913300000000005</v>
      </c>
      <c r="H718">
        <v>99923.417490000007</v>
      </c>
      <c r="I718">
        <v>86.63</v>
      </c>
      <c r="J718">
        <v>99880.100690000007</v>
      </c>
      <c r="K718">
        <v>5562464.6220000004</v>
      </c>
      <c r="L718">
        <v>55.667277609999999</v>
      </c>
      <c r="M718">
        <v>0.999234175</v>
      </c>
      <c r="N718">
        <v>-7.0504715811837322</v>
      </c>
      <c r="O718">
        <v>8.6733987298530022E-4</v>
      </c>
    </row>
    <row r="719" spans="1:15" x14ac:dyDescent="0.3">
      <c r="A719">
        <v>2018</v>
      </c>
      <c r="B719">
        <v>22</v>
      </c>
      <c r="C719" t="s">
        <v>13</v>
      </c>
      <c r="D719">
        <v>3960</v>
      </c>
      <c r="E719">
        <v>4334743</v>
      </c>
      <c r="F719">
        <v>9.1399999999999999E-4</v>
      </c>
      <c r="G719">
        <v>0.99908600000000003</v>
      </c>
      <c r="H719">
        <v>99836.798079999993</v>
      </c>
      <c r="I719">
        <v>91.25</v>
      </c>
      <c r="J719">
        <v>99791.172659999997</v>
      </c>
      <c r="K719">
        <v>5462584.5209999997</v>
      </c>
      <c r="L719">
        <v>54.715141369999998</v>
      </c>
      <c r="M719">
        <v>0.99836798100000002</v>
      </c>
      <c r="N719">
        <v>-6.997679986510124</v>
      </c>
      <c r="O719">
        <v>9.1440933075715076E-4</v>
      </c>
    </row>
    <row r="720" spans="1:15" x14ac:dyDescent="0.3">
      <c r="A720">
        <v>2018</v>
      </c>
      <c r="B720">
        <v>23</v>
      </c>
      <c r="C720" t="s">
        <v>13</v>
      </c>
      <c r="D720">
        <v>4252</v>
      </c>
      <c r="E720">
        <v>4438724</v>
      </c>
      <c r="F720">
        <v>9.5799999999999998E-4</v>
      </c>
      <c r="G720">
        <v>0.99904199999999999</v>
      </c>
      <c r="H720">
        <v>99745.592279999997</v>
      </c>
      <c r="I720">
        <v>95.56</v>
      </c>
      <c r="J720">
        <v>99697.814140000002</v>
      </c>
      <c r="K720">
        <v>5362793.3480000002</v>
      </c>
      <c r="L720">
        <v>53.764715070000001</v>
      </c>
      <c r="M720">
        <v>0.99745592299999997</v>
      </c>
      <c r="N720">
        <v>-6.9506627799934133</v>
      </c>
      <c r="O720">
        <v>9.5849640855355175E-4</v>
      </c>
    </row>
    <row r="721" spans="1:15" x14ac:dyDescent="0.3">
      <c r="A721">
        <v>2018</v>
      </c>
      <c r="B721">
        <v>24</v>
      </c>
      <c r="C721" t="s">
        <v>13</v>
      </c>
      <c r="D721">
        <v>4568</v>
      </c>
      <c r="E721">
        <v>4533776</v>
      </c>
      <c r="F721">
        <v>1.008E-3</v>
      </c>
      <c r="G721">
        <v>0.99899199999999999</v>
      </c>
      <c r="H721">
        <v>99650.042690000002</v>
      </c>
      <c r="I721">
        <v>100.45</v>
      </c>
      <c r="J721">
        <v>99599.819069999998</v>
      </c>
      <c r="K721">
        <v>5263095.534</v>
      </c>
      <c r="L721">
        <v>52.815788050000002</v>
      </c>
      <c r="M721">
        <v>0.99650042699999997</v>
      </c>
      <c r="N721">
        <v>-6.8997871093329604</v>
      </c>
      <c r="O721">
        <v>1.0085357409382076E-3</v>
      </c>
    </row>
    <row r="722" spans="1:15" x14ac:dyDescent="0.3">
      <c r="A722">
        <v>2018</v>
      </c>
      <c r="B722">
        <v>25</v>
      </c>
      <c r="C722" t="s">
        <v>13</v>
      </c>
      <c r="D722">
        <v>4844</v>
      </c>
      <c r="E722">
        <v>4606281</v>
      </c>
      <c r="F722">
        <v>1.052E-3</v>
      </c>
      <c r="G722">
        <v>0.99894799999999995</v>
      </c>
      <c r="H722">
        <v>99549.640419999996</v>
      </c>
      <c r="I722">
        <v>104.73</v>
      </c>
      <c r="J722">
        <v>99497.277310000005</v>
      </c>
      <c r="K722">
        <v>5163495.7149999999</v>
      </c>
      <c r="L722">
        <v>51.868552139999998</v>
      </c>
      <c r="M722">
        <v>0.99549640399999995</v>
      </c>
      <c r="N722">
        <v>-6.857062164666619</v>
      </c>
      <c r="O722">
        <v>1.0525914102813732E-3</v>
      </c>
    </row>
    <row r="723" spans="1:15" x14ac:dyDescent="0.3">
      <c r="A723">
        <v>2018</v>
      </c>
      <c r="B723">
        <v>26</v>
      </c>
      <c r="C723" t="s">
        <v>13</v>
      </c>
      <c r="D723">
        <v>5230</v>
      </c>
      <c r="E723">
        <v>4728714</v>
      </c>
      <c r="F723">
        <v>1.106E-3</v>
      </c>
      <c r="G723">
        <v>0.99889399999999995</v>
      </c>
      <c r="H723">
        <v>99444.953259999995</v>
      </c>
      <c r="I723">
        <v>109.99</v>
      </c>
      <c r="J723">
        <v>99389.960200000001</v>
      </c>
      <c r="K723">
        <v>5063998.4380000001</v>
      </c>
      <c r="L723">
        <v>50.922628770000003</v>
      </c>
      <c r="M723">
        <v>0.99444953300000005</v>
      </c>
      <c r="N723">
        <v>-6.8070053758819942</v>
      </c>
      <c r="O723">
        <v>1.1066510165171236E-3</v>
      </c>
    </row>
    <row r="724" spans="1:15" x14ac:dyDescent="0.3">
      <c r="A724">
        <v>2018</v>
      </c>
      <c r="B724">
        <v>27</v>
      </c>
      <c r="C724" t="s">
        <v>13</v>
      </c>
      <c r="D724">
        <v>5699</v>
      </c>
      <c r="E724">
        <v>4813980</v>
      </c>
      <c r="F724">
        <v>1.1839999999999999E-3</v>
      </c>
      <c r="G724">
        <v>0.99881600000000004</v>
      </c>
      <c r="H724">
        <v>99334.966260000001</v>
      </c>
      <c r="I724">
        <v>117.61</v>
      </c>
      <c r="J724">
        <v>99276.159960000005</v>
      </c>
      <c r="K724">
        <v>4964608.477</v>
      </c>
      <c r="L724">
        <v>49.97845839</v>
      </c>
      <c r="M724">
        <v>0.99334966300000005</v>
      </c>
      <c r="N724">
        <v>-6.7388567425203227</v>
      </c>
      <c r="O724">
        <v>1.1846750605010159E-3</v>
      </c>
    </row>
    <row r="725" spans="1:15" x14ac:dyDescent="0.3">
      <c r="A725">
        <v>2018</v>
      </c>
      <c r="B725">
        <v>28</v>
      </c>
      <c r="C725" t="s">
        <v>13</v>
      </c>
      <c r="D725">
        <v>5829</v>
      </c>
      <c r="E725">
        <v>4801711</v>
      </c>
      <c r="F725">
        <v>1.214E-3</v>
      </c>
      <c r="G725">
        <v>0.99878599999999995</v>
      </c>
      <c r="H725">
        <v>99217.369179999994</v>
      </c>
      <c r="I725">
        <v>120.45</v>
      </c>
      <c r="J725">
        <v>99157.144239999994</v>
      </c>
      <c r="K725">
        <v>4865332.318</v>
      </c>
      <c r="L725">
        <v>49.037102650000001</v>
      </c>
      <c r="M725">
        <v>0.99217369200000005</v>
      </c>
      <c r="N725">
        <v>-6.7138345863448308</v>
      </c>
      <c r="O725">
        <v>1.2147384583233939E-3</v>
      </c>
    </row>
    <row r="726" spans="1:15" x14ac:dyDescent="0.3">
      <c r="A726">
        <v>2018</v>
      </c>
      <c r="B726">
        <v>29</v>
      </c>
      <c r="C726" t="s">
        <v>13</v>
      </c>
      <c r="D726">
        <v>5859</v>
      </c>
      <c r="E726">
        <v>4611070</v>
      </c>
      <c r="F726">
        <v>1.271E-3</v>
      </c>
      <c r="G726">
        <v>0.99872899999999998</v>
      </c>
      <c r="H726">
        <v>99096.925019999995</v>
      </c>
      <c r="I726">
        <v>125.95</v>
      </c>
      <c r="J726">
        <v>99033.948919999995</v>
      </c>
      <c r="K726">
        <v>4766175.1730000004</v>
      </c>
      <c r="L726">
        <v>48.09609554</v>
      </c>
      <c r="M726">
        <v>0.99096925000000002</v>
      </c>
      <c r="N726">
        <v>-6.6679512867748203</v>
      </c>
      <c r="O726">
        <v>1.2717858728746286E-3</v>
      </c>
    </row>
    <row r="727" spans="1:15" x14ac:dyDescent="0.3">
      <c r="A727">
        <v>2018</v>
      </c>
      <c r="B727">
        <v>30</v>
      </c>
      <c r="C727" t="s">
        <v>13</v>
      </c>
      <c r="D727">
        <v>6100</v>
      </c>
      <c r="E727">
        <v>4501282</v>
      </c>
      <c r="F727">
        <v>1.3550000000000001E-3</v>
      </c>
      <c r="G727">
        <v>0.998645</v>
      </c>
      <c r="H727">
        <v>98971.008719999998</v>
      </c>
      <c r="I727">
        <v>134.11000000000001</v>
      </c>
      <c r="J727">
        <v>98903.955860000002</v>
      </c>
      <c r="K727">
        <v>4667141.2240000004</v>
      </c>
      <c r="L727">
        <v>47.156650059999997</v>
      </c>
      <c r="M727">
        <v>0.98971008699999996</v>
      </c>
      <c r="N727">
        <v>-6.603953824650473</v>
      </c>
      <c r="O727">
        <v>1.3559620563567403E-3</v>
      </c>
    </row>
    <row r="728" spans="1:15" x14ac:dyDescent="0.3">
      <c r="A728">
        <v>2018</v>
      </c>
      <c r="B728">
        <v>31</v>
      </c>
      <c r="C728" t="s">
        <v>13</v>
      </c>
      <c r="D728">
        <v>5959</v>
      </c>
      <c r="E728">
        <v>4421549</v>
      </c>
      <c r="F728">
        <v>1.348E-3</v>
      </c>
      <c r="G728">
        <v>0.99865199999999998</v>
      </c>
      <c r="H728">
        <v>98836.886230000004</v>
      </c>
      <c r="I728">
        <v>133.22999999999999</v>
      </c>
      <c r="J728">
        <v>98770.270170000003</v>
      </c>
      <c r="K728">
        <v>4568237.2690000003</v>
      </c>
      <c r="L728">
        <v>46.219963440000001</v>
      </c>
      <c r="M728">
        <v>0.98836886199999996</v>
      </c>
      <c r="N728">
        <v>-6.6091332664920222</v>
      </c>
      <c r="O728">
        <v>1.3488874836573106E-3</v>
      </c>
    </row>
    <row r="729" spans="1:15" x14ac:dyDescent="0.3">
      <c r="A729">
        <v>2018</v>
      </c>
      <c r="B729">
        <v>32</v>
      </c>
      <c r="C729" t="s">
        <v>13</v>
      </c>
      <c r="D729">
        <v>6299</v>
      </c>
      <c r="E729">
        <v>4433749</v>
      </c>
      <c r="F729">
        <v>1.421E-3</v>
      </c>
      <c r="G729">
        <v>0.99857899999999999</v>
      </c>
      <c r="H729">
        <v>98703.682000000001</v>
      </c>
      <c r="I729">
        <v>140.26</v>
      </c>
      <c r="J729">
        <v>98633.553029999995</v>
      </c>
      <c r="K729">
        <v>4469466.9979999997</v>
      </c>
      <c r="L729">
        <v>45.28166435</v>
      </c>
      <c r="M729">
        <v>0.98703682000000004</v>
      </c>
      <c r="N729">
        <v>-6.5563944298671739</v>
      </c>
      <c r="O729">
        <v>1.422031085743603E-3</v>
      </c>
    </row>
    <row r="730" spans="1:15" x14ac:dyDescent="0.3">
      <c r="A730">
        <v>2018</v>
      </c>
      <c r="B730">
        <v>33</v>
      </c>
      <c r="C730" t="s">
        <v>13</v>
      </c>
      <c r="D730">
        <v>6478</v>
      </c>
      <c r="E730">
        <v>4461246</v>
      </c>
      <c r="F730">
        <v>1.4519999999999999E-3</v>
      </c>
      <c r="G730">
        <v>0.99854799999999999</v>
      </c>
      <c r="H730">
        <v>98563.454289999994</v>
      </c>
      <c r="I730">
        <v>143.11000000000001</v>
      </c>
      <c r="J730">
        <v>98491.897219999999</v>
      </c>
      <c r="K730">
        <v>4370833.4450000003</v>
      </c>
      <c r="L730">
        <v>44.345376049999999</v>
      </c>
      <c r="M730">
        <v>0.98563454299999997</v>
      </c>
      <c r="N730">
        <v>-6.5348133625795324</v>
      </c>
      <c r="O730">
        <v>1.4530129724767708E-3</v>
      </c>
    </row>
    <row r="731" spans="1:15" x14ac:dyDescent="0.3">
      <c r="A731">
        <v>2018</v>
      </c>
      <c r="B731">
        <v>34</v>
      </c>
      <c r="C731" t="s">
        <v>13</v>
      </c>
      <c r="D731">
        <v>6547</v>
      </c>
      <c r="E731">
        <v>4318192</v>
      </c>
      <c r="F731">
        <v>1.516E-3</v>
      </c>
      <c r="G731">
        <v>0.99848400000000004</v>
      </c>
      <c r="H731">
        <v>98420.334170000002</v>
      </c>
      <c r="I731">
        <v>149.21</v>
      </c>
      <c r="J731">
        <v>98345.73156</v>
      </c>
      <c r="K731">
        <v>4272341.5480000004</v>
      </c>
      <c r="L731">
        <v>43.40913475</v>
      </c>
      <c r="M731">
        <v>0.98420334200000004</v>
      </c>
      <c r="N731">
        <v>-6.4916799917619574</v>
      </c>
      <c r="O731">
        <v>1.5171986457870263E-3</v>
      </c>
    </row>
    <row r="732" spans="1:15" x14ac:dyDescent="0.3">
      <c r="A732">
        <v>2018</v>
      </c>
      <c r="B732">
        <v>35</v>
      </c>
      <c r="C732" t="s">
        <v>13</v>
      </c>
      <c r="D732">
        <v>7090</v>
      </c>
      <c r="E732">
        <v>4376401</v>
      </c>
      <c r="F732">
        <v>1.6199999999999999E-3</v>
      </c>
      <c r="G732">
        <v>0.99838000000000005</v>
      </c>
      <c r="H732">
        <v>98271.114790000007</v>
      </c>
      <c r="I732">
        <v>159.19999999999999</v>
      </c>
      <c r="J732">
        <v>98191.515190000006</v>
      </c>
      <c r="K732">
        <v>4173995.8169999998</v>
      </c>
      <c r="L732">
        <v>42.474289880000001</v>
      </c>
      <c r="M732">
        <v>0.98271114800000003</v>
      </c>
      <c r="N732">
        <v>-6.4253291297378441</v>
      </c>
      <c r="O732">
        <v>1.6213213931078601E-3</v>
      </c>
    </row>
    <row r="733" spans="1:15" x14ac:dyDescent="0.3">
      <c r="A733">
        <v>2018</v>
      </c>
      <c r="B733">
        <v>36</v>
      </c>
      <c r="C733" t="s">
        <v>13</v>
      </c>
      <c r="D733">
        <v>7205</v>
      </c>
      <c r="E733">
        <v>4366923</v>
      </c>
      <c r="F733">
        <v>1.65E-3</v>
      </c>
      <c r="G733">
        <v>0.99834999999999996</v>
      </c>
      <c r="H733">
        <v>98111.910409999997</v>
      </c>
      <c r="I733">
        <v>161.88</v>
      </c>
      <c r="J733">
        <v>98030.968080000006</v>
      </c>
      <c r="K733">
        <v>4075804.301</v>
      </c>
      <c r="L733">
        <v>41.54240076</v>
      </c>
      <c r="M733">
        <v>0.98111910400000002</v>
      </c>
      <c r="N733">
        <v>-6.4069799910696474</v>
      </c>
      <c r="O733">
        <v>1.6513148377346714E-3</v>
      </c>
    </row>
    <row r="734" spans="1:15" x14ac:dyDescent="0.3">
      <c r="A734">
        <v>2018</v>
      </c>
      <c r="B734">
        <v>37</v>
      </c>
      <c r="C734" t="s">
        <v>13</v>
      </c>
      <c r="D734">
        <v>7463</v>
      </c>
      <c r="E734">
        <v>4313086</v>
      </c>
      <c r="F734">
        <v>1.73E-3</v>
      </c>
      <c r="G734">
        <v>0.99826999999999999</v>
      </c>
      <c r="H734">
        <v>97950.035260000004</v>
      </c>
      <c r="I734">
        <v>169.45</v>
      </c>
      <c r="J734">
        <v>97865.308480000007</v>
      </c>
      <c r="K734">
        <v>3977773.3330000001</v>
      </c>
      <c r="L734">
        <v>40.6102287</v>
      </c>
      <c r="M734">
        <v>0.97950035300000005</v>
      </c>
      <c r="N734">
        <v>-6.3596338704724493</v>
      </c>
      <c r="O734">
        <v>1.7314616322327207E-3</v>
      </c>
    </row>
    <row r="735" spans="1:15" x14ac:dyDescent="0.3">
      <c r="A735">
        <v>2018</v>
      </c>
      <c r="B735">
        <v>38</v>
      </c>
      <c r="C735" t="s">
        <v>13</v>
      </c>
      <c r="D735">
        <v>7835</v>
      </c>
      <c r="E735">
        <v>4391406</v>
      </c>
      <c r="F735">
        <v>1.784E-3</v>
      </c>
      <c r="G735">
        <v>0.99821599999999999</v>
      </c>
      <c r="H735">
        <v>97780.550789999994</v>
      </c>
      <c r="I735">
        <v>174.44</v>
      </c>
      <c r="J735">
        <v>97693.330539999995</v>
      </c>
      <c r="K735">
        <v>3879908.0249999999</v>
      </c>
      <c r="L735">
        <v>39.679752190000002</v>
      </c>
      <c r="M735">
        <v>0.97780550799999999</v>
      </c>
      <c r="N735">
        <v>-6.3288972448243195</v>
      </c>
      <c r="O735">
        <v>1.7855877529031185E-3</v>
      </c>
    </row>
    <row r="736" spans="1:15" x14ac:dyDescent="0.3">
      <c r="A736">
        <v>2018</v>
      </c>
      <c r="B736">
        <v>39</v>
      </c>
      <c r="C736" t="s">
        <v>13</v>
      </c>
      <c r="D736">
        <v>8024</v>
      </c>
      <c r="E736">
        <v>4115771</v>
      </c>
      <c r="F736">
        <v>1.9499999999999999E-3</v>
      </c>
      <c r="G736">
        <v>0.99804999999999999</v>
      </c>
      <c r="H736">
        <v>97606.093989999994</v>
      </c>
      <c r="I736">
        <v>190.33</v>
      </c>
      <c r="J736">
        <v>97510.928050000002</v>
      </c>
      <c r="K736">
        <v>3782214.6940000001</v>
      </c>
      <c r="L736">
        <v>38.749780260000001</v>
      </c>
      <c r="M736">
        <v>0.97606093999999999</v>
      </c>
      <c r="N736">
        <v>-6.2399259064064818</v>
      </c>
      <c r="O736">
        <v>1.9518833758073811E-3</v>
      </c>
    </row>
    <row r="737" spans="1:15" x14ac:dyDescent="0.3">
      <c r="A737">
        <v>2018</v>
      </c>
      <c r="B737">
        <v>40</v>
      </c>
      <c r="C737" t="s">
        <v>13</v>
      </c>
      <c r="D737">
        <v>7907</v>
      </c>
      <c r="E737">
        <v>4031314</v>
      </c>
      <c r="F737">
        <v>1.9610000000000001E-3</v>
      </c>
      <c r="G737">
        <v>0.99803900000000001</v>
      </c>
      <c r="H737">
        <v>97415.803690000001</v>
      </c>
      <c r="I737">
        <v>191.03</v>
      </c>
      <c r="J737">
        <v>97320.287490000002</v>
      </c>
      <c r="K737">
        <v>3684703.7659999998</v>
      </c>
      <c r="L737">
        <v>37.824496920000001</v>
      </c>
      <c r="M737">
        <v>0.97415803700000003</v>
      </c>
      <c r="N737">
        <v>-6.2343007317679282</v>
      </c>
      <c r="O737">
        <v>1.9629004671369112E-3</v>
      </c>
    </row>
    <row r="738" spans="1:15" x14ac:dyDescent="0.3">
      <c r="A738">
        <v>2018</v>
      </c>
      <c r="B738">
        <v>41</v>
      </c>
      <c r="C738" t="s">
        <v>13</v>
      </c>
      <c r="D738">
        <v>8185</v>
      </c>
      <c r="E738">
        <v>3986156</v>
      </c>
      <c r="F738">
        <v>2.0530000000000001E-3</v>
      </c>
      <c r="G738">
        <v>0.99794700000000003</v>
      </c>
      <c r="H738">
        <v>97224.732799999998</v>
      </c>
      <c r="I738">
        <v>199.6</v>
      </c>
      <c r="J738">
        <v>97124.93161</v>
      </c>
      <c r="K738">
        <v>3587383.4789999998</v>
      </c>
      <c r="L738">
        <v>36.897848680000003</v>
      </c>
      <c r="M738">
        <v>0.97224732800000002</v>
      </c>
      <c r="N738">
        <v>-6.1884531409453407</v>
      </c>
      <c r="O738">
        <v>2.0550854689544589E-3</v>
      </c>
    </row>
    <row r="739" spans="1:15" x14ac:dyDescent="0.3">
      <c r="A739">
        <v>2018</v>
      </c>
      <c r="B739">
        <v>42</v>
      </c>
      <c r="C739" t="s">
        <v>13</v>
      </c>
      <c r="D739">
        <v>8293</v>
      </c>
      <c r="E739">
        <v>3866067</v>
      </c>
      <c r="F739">
        <v>2.1450000000000002E-3</v>
      </c>
      <c r="G739">
        <v>0.99785500000000005</v>
      </c>
      <c r="H739">
        <v>97025.095749999993</v>
      </c>
      <c r="I739">
        <v>208.12</v>
      </c>
      <c r="J739">
        <v>96921.036330000003</v>
      </c>
      <c r="K739">
        <v>3490258.5469999998</v>
      </c>
      <c r="L739">
        <v>35.972740039999998</v>
      </c>
      <c r="M739">
        <v>0.97025095800000005</v>
      </c>
      <c r="N739">
        <v>-6.144615726602157</v>
      </c>
      <c r="O739">
        <v>2.1473151298160632E-3</v>
      </c>
    </row>
    <row r="740" spans="1:15" x14ac:dyDescent="0.3">
      <c r="A740">
        <v>2018</v>
      </c>
      <c r="B740">
        <v>43</v>
      </c>
      <c r="C740" t="s">
        <v>13</v>
      </c>
      <c r="D740">
        <v>8902</v>
      </c>
      <c r="E740">
        <v>3979609</v>
      </c>
      <c r="F740">
        <v>2.2369999999999998E-3</v>
      </c>
      <c r="G740">
        <v>0.99776299999999996</v>
      </c>
      <c r="H740">
        <v>96816.969729999997</v>
      </c>
      <c r="I740">
        <v>216.58</v>
      </c>
      <c r="J740">
        <v>96708.679950000005</v>
      </c>
      <c r="K740">
        <v>3393337.5109999999</v>
      </c>
      <c r="L740">
        <v>35.048995240000004</v>
      </c>
      <c r="M740">
        <v>0.968169697</v>
      </c>
      <c r="N740">
        <v>-6.1026195964741445</v>
      </c>
      <c r="O740">
        <v>2.2395093140416848E-3</v>
      </c>
    </row>
    <row r="741" spans="1:15" x14ac:dyDescent="0.3">
      <c r="A741">
        <v>2018</v>
      </c>
      <c r="B741">
        <v>44</v>
      </c>
      <c r="C741" t="s">
        <v>13</v>
      </c>
      <c r="D741">
        <v>9476</v>
      </c>
      <c r="E741">
        <v>3851155</v>
      </c>
      <c r="F741">
        <v>2.4610000000000001E-3</v>
      </c>
      <c r="G741">
        <v>0.99753899999999995</v>
      </c>
      <c r="H741">
        <v>96600.399550000002</v>
      </c>
      <c r="I741">
        <v>237.73</v>
      </c>
      <c r="J741">
        <v>96481.532760000002</v>
      </c>
      <c r="K741">
        <v>3296628.8309999998</v>
      </c>
      <c r="L741">
        <v>34.126451299999999</v>
      </c>
      <c r="M741">
        <v>0.96600399599999998</v>
      </c>
      <c r="N741">
        <v>-6.0071875075732182</v>
      </c>
      <c r="O741">
        <v>2.4639943097234927E-3</v>
      </c>
    </row>
    <row r="742" spans="1:15" x14ac:dyDescent="0.3">
      <c r="A742">
        <v>2018</v>
      </c>
      <c r="B742">
        <v>45</v>
      </c>
      <c r="C742" t="s">
        <v>13</v>
      </c>
      <c r="D742">
        <v>10509</v>
      </c>
      <c r="E742">
        <v>3904041</v>
      </c>
      <c r="F742">
        <v>2.6919999999999999E-3</v>
      </c>
      <c r="G742">
        <v>0.99730799999999997</v>
      </c>
      <c r="H742">
        <v>96362.708410000007</v>
      </c>
      <c r="I742">
        <v>259.41000000000003</v>
      </c>
      <c r="J742">
        <v>96233.004199999996</v>
      </c>
      <c r="K742">
        <v>3200147.298</v>
      </c>
      <c r="L742">
        <v>33.209395530000002</v>
      </c>
      <c r="M742">
        <v>0.96362708399999997</v>
      </c>
      <c r="N742">
        <v>-5.9174708671996559</v>
      </c>
      <c r="O742">
        <v>2.6956445926947202E-3</v>
      </c>
    </row>
    <row r="743" spans="1:15" x14ac:dyDescent="0.3">
      <c r="A743">
        <v>2018</v>
      </c>
      <c r="B743">
        <v>46</v>
      </c>
      <c r="C743" t="s">
        <v>13</v>
      </c>
      <c r="D743">
        <v>11925</v>
      </c>
      <c r="E743">
        <v>4074459</v>
      </c>
      <c r="F743">
        <v>2.9269999999999999E-3</v>
      </c>
      <c r="G743">
        <v>0.99707299999999999</v>
      </c>
      <c r="H743">
        <v>96103.316749999998</v>
      </c>
      <c r="I743">
        <v>281.29000000000002</v>
      </c>
      <c r="J743">
        <v>95962.669550000006</v>
      </c>
      <c r="K743">
        <v>3103914.2940000002</v>
      </c>
      <c r="L743">
        <v>32.297681269999998</v>
      </c>
      <c r="M743">
        <v>0.96103316800000005</v>
      </c>
      <c r="N743">
        <v>-5.8337772712723881</v>
      </c>
      <c r="O743">
        <v>2.9312436677955602E-3</v>
      </c>
    </row>
    <row r="744" spans="1:15" x14ac:dyDescent="0.3">
      <c r="A744">
        <v>2018</v>
      </c>
      <c r="B744">
        <v>47</v>
      </c>
      <c r="C744" t="s">
        <v>13</v>
      </c>
      <c r="D744">
        <v>13249</v>
      </c>
      <c r="E744">
        <v>4301318</v>
      </c>
      <c r="F744">
        <v>3.0799999999999998E-3</v>
      </c>
      <c r="G744">
        <v>0.99692000000000003</v>
      </c>
      <c r="H744">
        <v>95822.044550000006</v>
      </c>
      <c r="I744">
        <v>295.13</v>
      </c>
      <c r="J744">
        <v>95674.478600000002</v>
      </c>
      <c r="K744">
        <v>3007951.6239999998</v>
      </c>
      <c r="L744">
        <v>31.391019029999999</v>
      </c>
      <c r="M744">
        <v>0.958220446</v>
      </c>
      <c r="N744">
        <v>-5.7828256819966537</v>
      </c>
      <c r="O744">
        <v>3.084731023687622E-3</v>
      </c>
    </row>
    <row r="745" spans="1:15" x14ac:dyDescent="0.3">
      <c r="A745">
        <v>2018</v>
      </c>
      <c r="B745">
        <v>48</v>
      </c>
      <c r="C745" t="s">
        <v>13</v>
      </c>
      <c r="D745">
        <v>14182</v>
      </c>
      <c r="E745">
        <v>4349714</v>
      </c>
      <c r="F745">
        <v>3.2599999999999999E-3</v>
      </c>
      <c r="G745">
        <v>0.99673999999999996</v>
      </c>
      <c r="H745">
        <v>95526.891699999993</v>
      </c>
      <c r="I745">
        <v>311.42</v>
      </c>
      <c r="J745">
        <v>95371.182870000004</v>
      </c>
      <c r="K745">
        <v>2912277.1460000002</v>
      </c>
      <c r="L745">
        <v>30.486464009999999</v>
      </c>
      <c r="M745">
        <v>0.95526891700000005</v>
      </c>
      <c r="N745">
        <v>-5.7260280836035209</v>
      </c>
      <c r="O745">
        <v>3.265347665148491E-3</v>
      </c>
    </row>
    <row r="746" spans="1:15" x14ac:dyDescent="0.3">
      <c r="A746">
        <v>2018</v>
      </c>
      <c r="B746">
        <v>49</v>
      </c>
      <c r="C746" t="s">
        <v>13</v>
      </c>
      <c r="D746">
        <v>15008</v>
      </c>
      <c r="E746">
        <v>4117603</v>
      </c>
      <c r="F746">
        <v>3.6449999999999998E-3</v>
      </c>
      <c r="G746">
        <v>0.99635499999999999</v>
      </c>
      <c r="H746">
        <v>95215.431589999993</v>
      </c>
      <c r="I746">
        <v>347.06</v>
      </c>
      <c r="J746">
        <v>95041.901469999997</v>
      </c>
      <c r="K746">
        <v>2816905.963</v>
      </c>
      <c r="L746">
        <v>29.584552800000001</v>
      </c>
      <c r="M746">
        <v>0.952154316</v>
      </c>
      <c r="N746">
        <v>-5.6143989135215158</v>
      </c>
      <c r="O746">
        <v>3.6516522361233843E-3</v>
      </c>
    </row>
    <row r="747" spans="1:15" x14ac:dyDescent="0.3">
      <c r="A747">
        <v>2018</v>
      </c>
      <c r="B747">
        <v>50</v>
      </c>
      <c r="C747" t="s">
        <v>13</v>
      </c>
      <c r="D747">
        <v>15823</v>
      </c>
      <c r="E747">
        <v>4026474</v>
      </c>
      <c r="F747">
        <v>3.9300000000000003E-3</v>
      </c>
      <c r="G747">
        <v>0.99607000000000001</v>
      </c>
      <c r="H747">
        <v>94868.386670000007</v>
      </c>
      <c r="I747">
        <v>372.83</v>
      </c>
      <c r="J747">
        <v>94681.970289999997</v>
      </c>
      <c r="K747">
        <v>2721864.0610000002</v>
      </c>
      <c r="L747">
        <v>28.690949190000001</v>
      </c>
      <c r="M747">
        <v>0.94868386699999996</v>
      </c>
      <c r="N747">
        <v>-5.5391158531009674</v>
      </c>
      <c r="O747">
        <v>3.9377079974500101E-3</v>
      </c>
    </row>
    <row r="748" spans="1:15" x14ac:dyDescent="0.3">
      <c r="A748">
        <v>2018</v>
      </c>
      <c r="B748">
        <v>51</v>
      </c>
      <c r="C748" t="s">
        <v>13</v>
      </c>
      <c r="D748">
        <v>17543</v>
      </c>
      <c r="E748">
        <v>4025069</v>
      </c>
      <c r="F748">
        <v>4.3579999999999999E-3</v>
      </c>
      <c r="G748">
        <v>0.99564200000000003</v>
      </c>
      <c r="H748">
        <v>94495.578479999996</v>
      </c>
      <c r="I748">
        <v>411.81</v>
      </c>
      <c r="J748">
        <v>94289.672609999994</v>
      </c>
      <c r="K748">
        <v>2627182.091</v>
      </c>
      <c r="L748">
        <v>27.802169509999999</v>
      </c>
      <c r="M748">
        <v>0.94495578499999999</v>
      </c>
      <c r="N748">
        <v>-5.4357420424597089</v>
      </c>
      <c r="O748">
        <v>4.3674994118188077E-3</v>
      </c>
    </row>
    <row r="749" spans="1:15" x14ac:dyDescent="0.3">
      <c r="A749">
        <v>2018</v>
      </c>
      <c r="B749">
        <v>52</v>
      </c>
      <c r="C749" t="s">
        <v>13</v>
      </c>
      <c r="D749">
        <v>19504</v>
      </c>
      <c r="E749">
        <v>4094079</v>
      </c>
      <c r="F749">
        <v>4.764E-3</v>
      </c>
      <c r="G749">
        <v>0.99523600000000001</v>
      </c>
      <c r="H749">
        <v>94083.725680000003</v>
      </c>
      <c r="I749">
        <v>448.21</v>
      </c>
      <c r="J749">
        <v>93859.61825</v>
      </c>
      <c r="K749">
        <v>2532892.4180000001</v>
      </c>
      <c r="L749">
        <v>26.921684920000001</v>
      </c>
      <c r="M749">
        <v>0.94083725699999998</v>
      </c>
      <c r="N749">
        <v>-5.346667627489083</v>
      </c>
      <c r="O749">
        <v>4.7753229536125485E-3</v>
      </c>
    </row>
    <row r="750" spans="1:15" x14ac:dyDescent="0.3">
      <c r="A750">
        <v>2018</v>
      </c>
      <c r="B750">
        <v>53</v>
      </c>
      <c r="C750" t="s">
        <v>13</v>
      </c>
      <c r="D750">
        <v>22113</v>
      </c>
      <c r="E750">
        <v>4333375</v>
      </c>
      <c r="F750">
        <v>5.1029999999999999E-3</v>
      </c>
      <c r="G750">
        <v>0.99489700000000003</v>
      </c>
      <c r="H750">
        <v>93635.515239999993</v>
      </c>
      <c r="I750">
        <v>477.82</v>
      </c>
      <c r="J750">
        <v>93396.604219999994</v>
      </c>
      <c r="K750">
        <v>2439032.7999999998</v>
      </c>
      <c r="L750">
        <v>26.048159120000001</v>
      </c>
      <c r="M750">
        <v>0.93635515199999997</v>
      </c>
      <c r="N750">
        <v>-5.2779266769003028</v>
      </c>
      <c r="O750">
        <v>5.116031703975019E-3</v>
      </c>
    </row>
    <row r="751" spans="1:15" x14ac:dyDescent="0.3">
      <c r="A751">
        <v>2018</v>
      </c>
      <c r="B751">
        <v>54</v>
      </c>
      <c r="C751" t="s">
        <v>13</v>
      </c>
      <c r="D751">
        <v>24981</v>
      </c>
      <c r="E751">
        <v>4405567</v>
      </c>
      <c r="F751">
        <v>5.6699999999999997E-3</v>
      </c>
      <c r="G751">
        <v>0.99433000000000005</v>
      </c>
      <c r="H751">
        <v>93157.697799999994</v>
      </c>
      <c r="I751">
        <v>528.20000000000005</v>
      </c>
      <c r="J751">
        <v>92893.595730000001</v>
      </c>
      <c r="K751">
        <v>2345636.196</v>
      </c>
      <c r="L751">
        <v>25.179198840000002</v>
      </c>
      <c r="M751">
        <v>0.93157697800000006</v>
      </c>
      <c r="N751">
        <v>-5.172566161242476</v>
      </c>
      <c r="O751">
        <v>5.6860764422326923E-3</v>
      </c>
    </row>
    <row r="752" spans="1:15" x14ac:dyDescent="0.3">
      <c r="A752">
        <v>2018</v>
      </c>
      <c r="B752">
        <v>55</v>
      </c>
      <c r="C752" t="s">
        <v>13</v>
      </c>
      <c r="D752">
        <v>27310</v>
      </c>
      <c r="E752">
        <v>4393983</v>
      </c>
      <c r="F752">
        <v>6.215E-3</v>
      </c>
      <c r="G752">
        <v>0.99378500000000003</v>
      </c>
      <c r="H752">
        <v>92629.463300000003</v>
      </c>
      <c r="I752">
        <v>575.69000000000005</v>
      </c>
      <c r="J752">
        <v>92341.617240000007</v>
      </c>
      <c r="K752">
        <v>2252742.6</v>
      </c>
      <c r="L752">
        <v>24.3199358</v>
      </c>
      <c r="M752">
        <v>0.92629463300000003</v>
      </c>
      <c r="N752">
        <v>-5.0807895540194625</v>
      </c>
      <c r="O752">
        <v>6.2343514103710487E-3</v>
      </c>
    </row>
    <row r="753" spans="1:15" x14ac:dyDescent="0.3">
      <c r="A753">
        <v>2018</v>
      </c>
      <c r="B753">
        <v>56</v>
      </c>
      <c r="C753" t="s">
        <v>13</v>
      </c>
      <c r="D753">
        <v>29857</v>
      </c>
      <c r="E753">
        <v>4377130</v>
      </c>
      <c r="F753">
        <v>6.8209999999999998E-3</v>
      </c>
      <c r="G753">
        <v>0.99317900000000003</v>
      </c>
      <c r="H753">
        <v>92053.741769999993</v>
      </c>
      <c r="I753">
        <v>627.9</v>
      </c>
      <c r="J753">
        <v>91739.792480000004</v>
      </c>
      <c r="K753">
        <v>2160400.983</v>
      </c>
      <c r="L753">
        <v>23.468910019999999</v>
      </c>
      <c r="M753">
        <v>0.920537418</v>
      </c>
      <c r="N753">
        <v>-4.9877491903095548</v>
      </c>
      <c r="O753">
        <v>6.8443586576786295E-3</v>
      </c>
    </row>
    <row r="754" spans="1:15" x14ac:dyDescent="0.3">
      <c r="A754">
        <v>2018</v>
      </c>
      <c r="B754">
        <v>57</v>
      </c>
      <c r="C754" t="s">
        <v>13</v>
      </c>
      <c r="D754">
        <v>32543</v>
      </c>
      <c r="E754">
        <v>4422810</v>
      </c>
      <c r="F754">
        <v>7.358E-3</v>
      </c>
      <c r="G754">
        <v>0.99264200000000002</v>
      </c>
      <c r="H754">
        <v>91425.830650000004</v>
      </c>
      <c r="I754">
        <v>672.71</v>
      </c>
      <c r="J754">
        <v>91089.475019999998</v>
      </c>
      <c r="K754">
        <v>2068661.1910000001</v>
      </c>
      <c r="L754">
        <v>22.626660059999999</v>
      </c>
      <c r="M754">
        <v>0.91425830699999999</v>
      </c>
      <c r="N754">
        <v>-4.9119671222995542</v>
      </c>
      <c r="O754">
        <v>7.3851561564369905E-3</v>
      </c>
    </row>
    <row r="755" spans="1:15" x14ac:dyDescent="0.3">
      <c r="A755">
        <v>2018</v>
      </c>
      <c r="B755">
        <v>58</v>
      </c>
      <c r="C755" t="s">
        <v>13</v>
      </c>
      <c r="D755">
        <v>34611</v>
      </c>
      <c r="E755">
        <v>4453038</v>
      </c>
      <c r="F755">
        <v>7.7720000000000003E-3</v>
      </c>
      <c r="G755">
        <v>0.992228</v>
      </c>
      <c r="H755">
        <v>90753.120139999999</v>
      </c>
      <c r="I755">
        <v>705.33</v>
      </c>
      <c r="J755">
        <v>90400.453519999995</v>
      </c>
      <c r="K755">
        <v>1977571.716</v>
      </c>
      <c r="L755">
        <v>21.790674660000001</v>
      </c>
      <c r="M755">
        <v>0.90753120099999995</v>
      </c>
      <c r="N755">
        <v>-4.8572277474669434</v>
      </c>
      <c r="O755">
        <v>7.8022856157052766E-3</v>
      </c>
    </row>
    <row r="756" spans="1:15" x14ac:dyDescent="0.3">
      <c r="A756">
        <v>2018</v>
      </c>
      <c r="B756">
        <v>59</v>
      </c>
      <c r="C756" t="s">
        <v>13</v>
      </c>
      <c r="D756">
        <v>36642</v>
      </c>
      <c r="E756">
        <v>4294024</v>
      </c>
      <c r="F756">
        <v>8.5330000000000007E-3</v>
      </c>
      <c r="G756">
        <v>0.99146699999999999</v>
      </c>
      <c r="H756">
        <v>90047.746360000005</v>
      </c>
      <c r="I756">
        <v>768.38</v>
      </c>
      <c r="J756">
        <v>89663.557650000002</v>
      </c>
      <c r="K756">
        <v>1887171.2620000001</v>
      </c>
      <c r="L756">
        <v>20.957451330000001</v>
      </c>
      <c r="M756">
        <v>0.90047746399999995</v>
      </c>
      <c r="N756">
        <v>-4.763814279427689</v>
      </c>
      <c r="O756">
        <v>8.5695919099008817E-3</v>
      </c>
    </row>
    <row r="757" spans="1:15" x14ac:dyDescent="0.3">
      <c r="A757">
        <v>2018</v>
      </c>
      <c r="B757">
        <v>60</v>
      </c>
      <c r="C757" t="s">
        <v>13</v>
      </c>
      <c r="D757">
        <v>38701</v>
      </c>
      <c r="E757">
        <v>4259361</v>
      </c>
      <c r="F757">
        <v>9.0860000000000003E-3</v>
      </c>
      <c r="G757">
        <v>0.99091399999999996</v>
      </c>
      <c r="H757">
        <v>89279.346009999994</v>
      </c>
      <c r="I757">
        <v>811.19</v>
      </c>
      <c r="J757">
        <v>88873.749939999994</v>
      </c>
      <c r="K757">
        <v>1797507.7039999999</v>
      </c>
      <c r="L757">
        <v>20.13352231</v>
      </c>
      <c r="M757">
        <v>0.89279346000000004</v>
      </c>
      <c r="N757">
        <v>-4.7010205116449253</v>
      </c>
      <c r="O757">
        <v>9.1274425032453685E-3</v>
      </c>
    </row>
    <row r="758" spans="1:15" x14ac:dyDescent="0.3">
      <c r="A758">
        <v>2018</v>
      </c>
      <c r="B758">
        <v>61</v>
      </c>
      <c r="C758" t="s">
        <v>13</v>
      </c>
      <c r="D758">
        <v>41292</v>
      </c>
      <c r="E758">
        <v>4202894</v>
      </c>
      <c r="F758">
        <v>9.8250000000000004E-3</v>
      </c>
      <c r="G758">
        <v>0.99017500000000003</v>
      </c>
      <c r="H758">
        <v>88468.144530000005</v>
      </c>
      <c r="I758">
        <v>869.2</v>
      </c>
      <c r="J758">
        <v>88033.544769999993</v>
      </c>
      <c r="K758">
        <v>1708633.9539999999</v>
      </c>
      <c r="L758">
        <v>19.313550240000001</v>
      </c>
      <c r="M758">
        <v>0.88468144500000001</v>
      </c>
      <c r="N758">
        <v>-4.6228251212268123</v>
      </c>
      <c r="O758">
        <v>9.8735073468761078E-3</v>
      </c>
    </row>
    <row r="759" spans="1:15" x14ac:dyDescent="0.3">
      <c r="A759">
        <v>2018</v>
      </c>
      <c r="B759">
        <v>62</v>
      </c>
      <c r="C759" t="s">
        <v>13</v>
      </c>
      <c r="D759">
        <v>42834</v>
      </c>
      <c r="E759">
        <v>4043396</v>
      </c>
      <c r="F759">
        <v>1.0593999999999999E-2</v>
      </c>
      <c r="G759">
        <v>0.98940600000000001</v>
      </c>
      <c r="H759">
        <v>87598.975179999994</v>
      </c>
      <c r="I759">
        <v>928.02</v>
      </c>
      <c r="J759">
        <v>87134.963409999997</v>
      </c>
      <c r="K759">
        <v>1620600.41</v>
      </c>
      <c r="L759">
        <v>18.500221109999998</v>
      </c>
      <c r="M759">
        <v>0.87598975199999995</v>
      </c>
      <c r="N759">
        <v>-4.5474674758598024</v>
      </c>
      <c r="O759">
        <v>1.0650372287337071E-2</v>
      </c>
    </row>
    <row r="760" spans="1:15" x14ac:dyDescent="0.3">
      <c r="A760">
        <v>2018</v>
      </c>
      <c r="B760">
        <v>63</v>
      </c>
      <c r="C760" t="s">
        <v>13</v>
      </c>
      <c r="D760">
        <v>45095</v>
      </c>
      <c r="E760">
        <v>4000235</v>
      </c>
      <c r="F760">
        <v>1.1273E-2</v>
      </c>
      <c r="G760">
        <v>0.98872700000000002</v>
      </c>
      <c r="H760">
        <v>86670.989279999994</v>
      </c>
      <c r="I760">
        <v>977.04</v>
      </c>
      <c r="J760">
        <v>86182.468250000005</v>
      </c>
      <c r="K760">
        <v>1533465.446</v>
      </c>
      <c r="L760">
        <v>17.692949609999999</v>
      </c>
      <c r="M760">
        <v>0.86670989300000001</v>
      </c>
      <c r="N760">
        <v>-4.4853447929197428</v>
      </c>
      <c r="O760">
        <v>1.1336877011953265E-2</v>
      </c>
    </row>
    <row r="761" spans="1:15" x14ac:dyDescent="0.3">
      <c r="A761">
        <v>2018</v>
      </c>
      <c r="B761">
        <v>64</v>
      </c>
      <c r="C761" t="s">
        <v>13</v>
      </c>
      <c r="D761">
        <v>45951</v>
      </c>
      <c r="E761">
        <v>3825765</v>
      </c>
      <c r="F761">
        <v>1.2011000000000001E-2</v>
      </c>
      <c r="G761">
        <v>0.98798900000000001</v>
      </c>
      <c r="H761">
        <v>85693.939610000001</v>
      </c>
      <c r="I761">
        <v>1029.27</v>
      </c>
      <c r="J761">
        <v>85179.304659999994</v>
      </c>
      <c r="K761">
        <v>1447282.9779999999</v>
      </c>
      <c r="L761">
        <v>16.88897703</v>
      </c>
      <c r="M761">
        <v>0.85693939600000002</v>
      </c>
      <c r="N761">
        <v>-4.4219323824097838</v>
      </c>
      <c r="O761">
        <v>1.2083568520808005E-2</v>
      </c>
    </row>
    <row r="762" spans="1:15" x14ac:dyDescent="0.3">
      <c r="A762">
        <v>2018</v>
      </c>
      <c r="B762">
        <v>65</v>
      </c>
      <c r="C762" t="s">
        <v>13</v>
      </c>
      <c r="D762">
        <v>47257</v>
      </c>
      <c r="E762">
        <v>3669600</v>
      </c>
      <c r="F762">
        <v>1.2878000000000001E-2</v>
      </c>
      <c r="G762">
        <v>0.98712200000000005</v>
      </c>
      <c r="H762">
        <v>84664.675600000002</v>
      </c>
      <c r="I762">
        <v>1090.31</v>
      </c>
      <c r="J762">
        <v>84119.519750000007</v>
      </c>
      <c r="K762">
        <v>1362103.673</v>
      </c>
      <c r="L762">
        <v>16.088217</v>
      </c>
      <c r="M762">
        <v>0.84664675599999994</v>
      </c>
      <c r="N762">
        <v>-4.3522348498661456</v>
      </c>
      <c r="O762">
        <v>1.2961438521153557E-2</v>
      </c>
    </row>
    <row r="763" spans="1:15" x14ac:dyDescent="0.3">
      <c r="A763">
        <v>2018</v>
      </c>
      <c r="B763">
        <v>66</v>
      </c>
      <c r="C763" t="s">
        <v>13</v>
      </c>
      <c r="D763">
        <v>48642</v>
      </c>
      <c r="E763">
        <v>3516436</v>
      </c>
      <c r="F763">
        <v>1.3833E-2</v>
      </c>
      <c r="G763">
        <v>0.98616700000000002</v>
      </c>
      <c r="H763">
        <v>83574.366420000006</v>
      </c>
      <c r="I763">
        <v>1156.08</v>
      </c>
      <c r="J763">
        <v>82996.324309999996</v>
      </c>
      <c r="K763">
        <v>1277984.1540000001</v>
      </c>
      <c r="L763">
        <v>15.29158052</v>
      </c>
      <c r="M763">
        <v>0.835743664</v>
      </c>
      <c r="N763">
        <v>-4.2806982370894593</v>
      </c>
      <c r="O763">
        <v>1.3929289848960347E-2</v>
      </c>
    </row>
    <row r="764" spans="1:15" x14ac:dyDescent="0.3">
      <c r="A764">
        <v>2018</v>
      </c>
      <c r="B764">
        <v>67</v>
      </c>
      <c r="C764" t="s">
        <v>13</v>
      </c>
      <c r="D764">
        <v>49857</v>
      </c>
      <c r="E764">
        <v>3398755</v>
      </c>
      <c r="F764">
        <v>1.4669E-2</v>
      </c>
      <c r="G764">
        <v>0.98533099999999996</v>
      </c>
      <c r="H764">
        <v>82418.302630000006</v>
      </c>
      <c r="I764">
        <v>1208.99</v>
      </c>
      <c r="J764">
        <v>81813.805590000004</v>
      </c>
      <c r="K764">
        <v>1194987.8289999999</v>
      </c>
      <c r="L764">
        <v>14.499058959999999</v>
      </c>
      <c r="M764">
        <v>0.82418302600000004</v>
      </c>
      <c r="N764">
        <v>-4.2220188554765112</v>
      </c>
      <c r="O764">
        <v>1.4777336295398501E-2</v>
      </c>
    </row>
    <row r="765" spans="1:15" x14ac:dyDescent="0.3">
      <c r="A765">
        <v>2018</v>
      </c>
      <c r="B765">
        <v>68</v>
      </c>
      <c r="C765" t="s">
        <v>13</v>
      </c>
      <c r="D765">
        <v>51107</v>
      </c>
      <c r="E765">
        <v>3307833</v>
      </c>
      <c r="F765">
        <v>1.545E-2</v>
      </c>
      <c r="G765">
        <v>0.98455000000000004</v>
      </c>
      <c r="H765">
        <v>81209.29247</v>
      </c>
      <c r="I765">
        <v>1254.68</v>
      </c>
      <c r="J765">
        <v>80581.950689999998</v>
      </c>
      <c r="K765">
        <v>1113174.024</v>
      </c>
      <c r="L765">
        <v>13.707471030000001</v>
      </c>
      <c r="M765">
        <v>0.81209292499999997</v>
      </c>
      <c r="N765">
        <v>-4.1701462756383822</v>
      </c>
      <c r="O765">
        <v>1.5570238454695564E-2</v>
      </c>
    </row>
    <row r="766" spans="1:15" x14ac:dyDescent="0.3">
      <c r="A766">
        <v>2018</v>
      </c>
      <c r="B766">
        <v>69</v>
      </c>
      <c r="C766" t="s">
        <v>13</v>
      </c>
      <c r="D766">
        <v>54383</v>
      </c>
      <c r="E766">
        <v>3194269</v>
      </c>
      <c r="F766">
        <v>1.7024999999999998E-2</v>
      </c>
      <c r="G766">
        <v>0.98297500000000004</v>
      </c>
      <c r="H766">
        <v>79954.584839999996</v>
      </c>
      <c r="I766">
        <v>1361.23</v>
      </c>
      <c r="J766">
        <v>79273.971439999994</v>
      </c>
      <c r="K766">
        <v>1032592.073</v>
      </c>
      <c r="L766">
        <v>12.914732470000001</v>
      </c>
      <c r="M766">
        <v>0.79954584799999995</v>
      </c>
      <c r="N766">
        <v>-4.0730724269465615</v>
      </c>
      <c r="O766">
        <v>1.7171211406164032E-2</v>
      </c>
    </row>
    <row r="767" spans="1:15" x14ac:dyDescent="0.3">
      <c r="A767">
        <v>2018</v>
      </c>
      <c r="B767">
        <v>70</v>
      </c>
      <c r="C767" t="s">
        <v>13</v>
      </c>
      <c r="D767">
        <v>58141</v>
      </c>
      <c r="E767">
        <v>3144466</v>
      </c>
      <c r="F767">
        <v>1.8489999999999999E-2</v>
      </c>
      <c r="G767">
        <v>0.98150999999999999</v>
      </c>
      <c r="H767">
        <v>78593.343760000003</v>
      </c>
      <c r="I767">
        <v>1453.19</v>
      </c>
      <c r="J767">
        <v>77866.748300000007</v>
      </c>
      <c r="K767">
        <v>953318.10149999999</v>
      </c>
      <c r="L767">
        <v>12.129756240000001</v>
      </c>
      <c r="M767">
        <v>0.78593343800000004</v>
      </c>
      <c r="N767">
        <v>-3.9905252335831034</v>
      </c>
      <c r="O767">
        <v>1.8662522715648704E-2</v>
      </c>
    </row>
    <row r="768" spans="1:15" x14ac:dyDescent="0.3">
      <c r="A768">
        <v>2018</v>
      </c>
      <c r="B768">
        <v>71</v>
      </c>
      <c r="C768" t="s">
        <v>13</v>
      </c>
      <c r="D768">
        <v>63825</v>
      </c>
      <c r="E768">
        <v>3260552</v>
      </c>
      <c r="F768">
        <v>1.9574999999999999E-2</v>
      </c>
      <c r="G768">
        <v>0.98042499999999999</v>
      </c>
      <c r="H768">
        <v>77140.15724</v>
      </c>
      <c r="I768">
        <v>1510.02</v>
      </c>
      <c r="J768">
        <v>76385.147949999999</v>
      </c>
      <c r="K768">
        <v>875451.35320000001</v>
      </c>
      <c r="L768">
        <v>11.34884066</v>
      </c>
      <c r="M768">
        <v>0.77140157200000004</v>
      </c>
      <c r="N768">
        <v>-3.9335020371052702</v>
      </c>
      <c r="O768">
        <v>1.9768501718754165E-2</v>
      </c>
    </row>
    <row r="769" spans="1:15" x14ac:dyDescent="0.3">
      <c r="A769">
        <v>2018</v>
      </c>
      <c r="B769">
        <v>72</v>
      </c>
      <c r="C769" t="s">
        <v>13</v>
      </c>
      <c r="D769">
        <v>53943</v>
      </c>
      <c r="E769">
        <v>2392283</v>
      </c>
      <c r="F769">
        <v>2.2549E-2</v>
      </c>
      <c r="G769">
        <v>0.97745099999999996</v>
      </c>
      <c r="H769">
        <v>75630.14589</v>
      </c>
      <c r="I769">
        <v>1705.38</v>
      </c>
      <c r="J769">
        <v>74777.453810000006</v>
      </c>
      <c r="K769">
        <v>799066.20530000003</v>
      </c>
      <c r="L769">
        <v>10.56544577</v>
      </c>
      <c r="M769">
        <v>0.75630145900000001</v>
      </c>
      <c r="N769">
        <v>-3.7920645599147624</v>
      </c>
      <c r="O769">
        <v>2.2806069218331747E-2</v>
      </c>
    </row>
    <row r="770" spans="1:15" x14ac:dyDescent="0.3">
      <c r="A770">
        <v>2018</v>
      </c>
      <c r="B770">
        <v>73</v>
      </c>
      <c r="C770" t="s">
        <v>13</v>
      </c>
      <c r="D770">
        <v>56033</v>
      </c>
      <c r="E770">
        <v>2344633</v>
      </c>
      <c r="F770">
        <v>2.3897999999999999E-2</v>
      </c>
      <c r="G770">
        <v>0.97610200000000003</v>
      </c>
      <c r="H770">
        <v>73924.780360000004</v>
      </c>
      <c r="I770">
        <v>1766.65</v>
      </c>
      <c r="J770">
        <v>73041.453160000005</v>
      </c>
      <c r="K770">
        <v>724288.75150000001</v>
      </c>
      <c r="L770">
        <v>9.7976449569999993</v>
      </c>
      <c r="M770">
        <v>0.73924780400000001</v>
      </c>
      <c r="N770">
        <v>-3.7339605055545748</v>
      </c>
      <c r="O770">
        <v>2.4186955348774224E-2</v>
      </c>
    </row>
    <row r="771" spans="1:15" x14ac:dyDescent="0.3">
      <c r="A771">
        <v>2018</v>
      </c>
      <c r="B771">
        <v>74</v>
      </c>
      <c r="C771" t="s">
        <v>13</v>
      </c>
      <c r="D771">
        <v>60590</v>
      </c>
      <c r="E771">
        <v>2263489</v>
      </c>
      <c r="F771">
        <v>2.6768E-2</v>
      </c>
      <c r="G771">
        <v>0.97323199999999999</v>
      </c>
      <c r="H771">
        <v>72158.095679999999</v>
      </c>
      <c r="I771">
        <v>1931.53</v>
      </c>
      <c r="J771">
        <v>71192.331730000005</v>
      </c>
      <c r="K771">
        <v>651247.29830000002</v>
      </c>
      <c r="L771">
        <v>9.0252838880000006</v>
      </c>
      <c r="M771">
        <v>0.72158095700000002</v>
      </c>
      <c r="N771">
        <v>-3.6205481347376689</v>
      </c>
      <c r="O771">
        <v>2.7131158002418245E-2</v>
      </c>
    </row>
    <row r="772" spans="1:15" x14ac:dyDescent="0.3">
      <c r="A772">
        <v>2018</v>
      </c>
      <c r="B772">
        <v>75</v>
      </c>
      <c r="C772" t="s">
        <v>13</v>
      </c>
      <c r="D772">
        <v>66524</v>
      </c>
      <c r="E772">
        <v>2293604</v>
      </c>
      <c r="F772">
        <v>2.9003999999999999E-2</v>
      </c>
      <c r="G772">
        <v>0.97099599999999997</v>
      </c>
      <c r="H772">
        <v>70226.538239999994</v>
      </c>
      <c r="I772">
        <v>2036.85</v>
      </c>
      <c r="J772">
        <v>69208.112980000005</v>
      </c>
      <c r="K772">
        <v>580054.96660000004</v>
      </c>
      <c r="L772">
        <v>8.259768759</v>
      </c>
      <c r="M772">
        <v>0.70226538199999999</v>
      </c>
      <c r="N772">
        <v>-3.5403215274727908</v>
      </c>
      <c r="O772">
        <v>2.9430800115740889E-2</v>
      </c>
    </row>
    <row r="773" spans="1:15" x14ac:dyDescent="0.3">
      <c r="A773">
        <v>2018</v>
      </c>
      <c r="B773">
        <v>76</v>
      </c>
      <c r="C773" t="s">
        <v>13</v>
      </c>
      <c r="D773">
        <v>63365</v>
      </c>
      <c r="E773">
        <v>1978012</v>
      </c>
      <c r="F773">
        <v>3.2035000000000001E-2</v>
      </c>
      <c r="G773">
        <v>0.96796499999999996</v>
      </c>
      <c r="H773">
        <v>68189.678239999994</v>
      </c>
      <c r="I773">
        <v>2184.46</v>
      </c>
      <c r="J773">
        <v>67097.450070000006</v>
      </c>
      <c r="K773">
        <v>510846.85359999997</v>
      </c>
      <c r="L773">
        <v>7.4915568869999998</v>
      </c>
      <c r="M773">
        <v>0.68189678200000003</v>
      </c>
      <c r="N773">
        <v>-3.440926223891152</v>
      </c>
      <c r="O773">
        <v>3.255652268376024E-2</v>
      </c>
    </row>
    <row r="774" spans="1:15" x14ac:dyDescent="0.3">
      <c r="A774">
        <v>2018</v>
      </c>
      <c r="B774">
        <v>77</v>
      </c>
      <c r="C774" t="s">
        <v>13</v>
      </c>
      <c r="D774">
        <v>63017</v>
      </c>
      <c r="E774">
        <v>1786181</v>
      </c>
      <c r="F774">
        <v>3.5279999999999999E-2</v>
      </c>
      <c r="G774">
        <v>0.96472000000000002</v>
      </c>
      <c r="H774">
        <v>66005.24308</v>
      </c>
      <c r="I774">
        <v>2328.66</v>
      </c>
      <c r="J774">
        <v>64840.91059</v>
      </c>
      <c r="K774">
        <v>443749.40360000002</v>
      </c>
      <c r="L774">
        <v>6.7229417370000002</v>
      </c>
      <c r="M774">
        <v>0.660052431</v>
      </c>
      <c r="N774">
        <v>-3.3444390478435464</v>
      </c>
      <c r="O774">
        <v>3.5913443122200968E-2</v>
      </c>
    </row>
    <row r="775" spans="1:15" x14ac:dyDescent="0.3">
      <c r="A775">
        <v>2018</v>
      </c>
      <c r="B775">
        <v>78</v>
      </c>
      <c r="C775" t="s">
        <v>13</v>
      </c>
      <c r="D775">
        <v>63188</v>
      </c>
      <c r="E775">
        <v>1666402</v>
      </c>
      <c r="F775">
        <v>3.7919000000000001E-2</v>
      </c>
      <c r="G775">
        <v>0.96208099999999996</v>
      </c>
      <c r="H775">
        <v>63676.558360000003</v>
      </c>
      <c r="I775">
        <v>2414.5500000000002</v>
      </c>
      <c r="J775">
        <v>62469.282650000001</v>
      </c>
      <c r="K775">
        <v>378908.49300000002</v>
      </c>
      <c r="L775">
        <v>5.9505177839999996</v>
      </c>
      <c r="M775">
        <v>0.63676558400000005</v>
      </c>
      <c r="N775">
        <v>-3.2723029732510618</v>
      </c>
      <c r="O775">
        <v>3.8651792974679806E-2</v>
      </c>
    </row>
    <row r="776" spans="1:15" x14ac:dyDescent="0.3">
      <c r="A776">
        <v>2018</v>
      </c>
      <c r="B776">
        <v>79</v>
      </c>
      <c r="C776" t="s">
        <v>13</v>
      </c>
      <c r="D776">
        <v>65651</v>
      </c>
      <c r="E776">
        <v>1542867</v>
      </c>
      <c r="F776">
        <v>4.2550999999999999E-2</v>
      </c>
      <c r="G776">
        <v>0.95744899999999999</v>
      </c>
      <c r="H776">
        <v>61262.018309999999</v>
      </c>
      <c r="I776">
        <v>2606.7600000000002</v>
      </c>
      <c r="J776">
        <v>59958.63824</v>
      </c>
      <c r="K776">
        <v>316439.21029999998</v>
      </c>
      <c r="L776">
        <v>5.1653409249999997</v>
      </c>
      <c r="M776">
        <v>0.61262018299999998</v>
      </c>
      <c r="N776">
        <v>-3.1570519224762839</v>
      </c>
      <c r="O776">
        <v>4.3475977425526523E-2</v>
      </c>
    </row>
    <row r="777" spans="1:15" x14ac:dyDescent="0.3">
      <c r="A777">
        <v>2018</v>
      </c>
      <c r="B777">
        <v>80</v>
      </c>
      <c r="C777" t="s">
        <v>13</v>
      </c>
      <c r="D777">
        <v>67987</v>
      </c>
      <c r="E777">
        <v>1451583</v>
      </c>
      <c r="F777">
        <v>4.6836000000000003E-2</v>
      </c>
      <c r="G777">
        <v>0.95316400000000001</v>
      </c>
      <c r="H777">
        <v>58655.239650000003</v>
      </c>
      <c r="I777">
        <v>2747.18</v>
      </c>
      <c r="J777">
        <v>57281.651250000003</v>
      </c>
      <c r="K777">
        <v>256480.57209999999</v>
      </c>
      <c r="L777">
        <v>4.3726796380000001</v>
      </c>
      <c r="M777">
        <v>0.58655239699999995</v>
      </c>
      <c r="N777">
        <v>-3.0611031409956588</v>
      </c>
      <c r="O777">
        <v>4.7959173280585209E-2</v>
      </c>
    </row>
    <row r="778" spans="1:15" x14ac:dyDescent="0.3">
      <c r="A778">
        <v>2018</v>
      </c>
      <c r="B778">
        <v>81</v>
      </c>
      <c r="C778" t="s">
        <v>13</v>
      </c>
      <c r="D778">
        <v>68584</v>
      </c>
      <c r="E778">
        <v>1311488</v>
      </c>
      <c r="F778">
        <v>5.2295000000000001E-2</v>
      </c>
      <c r="G778">
        <v>0.94770500000000002</v>
      </c>
      <c r="H778">
        <v>55908.036240000001</v>
      </c>
      <c r="I778">
        <v>2923.71</v>
      </c>
      <c r="J778">
        <v>54446.18086</v>
      </c>
      <c r="K778">
        <v>199198.92079999999</v>
      </c>
      <c r="L778">
        <v>3.5629747389999999</v>
      </c>
      <c r="M778">
        <v>0.559080362</v>
      </c>
      <c r="N778">
        <v>-2.9508545147759055</v>
      </c>
      <c r="O778">
        <v>5.369907770240271E-2</v>
      </c>
    </row>
    <row r="779" spans="1:15" x14ac:dyDescent="0.3">
      <c r="A779">
        <v>2018</v>
      </c>
      <c r="B779">
        <v>82</v>
      </c>
      <c r="C779" t="s">
        <v>13</v>
      </c>
      <c r="D779">
        <v>71290</v>
      </c>
      <c r="E779">
        <v>1224165</v>
      </c>
      <c r="F779">
        <v>5.8236000000000003E-2</v>
      </c>
      <c r="G779">
        <v>0.94176400000000005</v>
      </c>
      <c r="H779">
        <v>52984.336779999998</v>
      </c>
      <c r="I779">
        <v>3085.6</v>
      </c>
      <c r="J779">
        <v>51441.538860000001</v>
      </c>
      <c r="K779">
        <v>144752.74</v>
      </c>
      <c r="L779">
        <v>2.7319911650000002</v>
      </c>
      <c r="M779">
        <v>0.52984336799999998</v>
      </c>
      <c r="N779">
        <v>-2.8432515587710574</v>
      </c>
      <c r="O779">
        <v>5.9982641547237411E-2</v>
      </c>
    </row>
    <row r="780" spans="1:15" x14ac:dyDescent="0.3">
      <c r="A780">
        <v>2018</v>
      </c>
      <c r="B780">
        <v>83</v>
      </c>
      <c r="C780" t="s">
        <v>13</v>
      </c>
      <c r="D780">
        <v>73173</v>
      </c>
      <c r="E780">
        <v>1143669</v>
      </c>
      <c r="F780">
        <v>6.3980999999999996E-2</v>
      </c>
      <c r="G780">
        <v>0.93601900000000005</v>
      </c>
      <c r="H780">
        <v>49898.761409999999</v>
      </c>
      <c r="I780">
        <v>3192.57</v>
      </c>
      <c r="J780">
        <v>48302.475079999997</v>
      </c>
      <c r="K780">
        <v>93311.201100000006</v>
      </c>
      <c r="L780">
        <v>1.870010366</v>
      </c>
      <c r="M780">
        <v>0.49898761400000002</v>
      </c>
      <c r="N780">
        <v>-2.7491691146985717</v>
      </c>
      <c r="O780">
        <v>6.6095368200544624E-2</v>
      </c>
    </row>
    <row r="781" spans="1:15" x14ac:dyDescent="0.3">
      <c r="A781">
        <v>2018</v>
      </c>
      <c r="B781">
        <v>84</v>
      </c>
      <c r="C781" t="s">
        <v>13</v>
      </c>
      <c r="D781">
        <v>72426</v>
      </c>
      <c r="E781">
        <v>996403</v>
      </c>
      <c r="F781">
        <v>7.2687000000000002E-2</v>
      </c>
      <c r="G781">
        <v>0.92731300000000005</v>
      </c>
      <c r="H781">
        <v>46706.192519999997</v>
      </c>
      <c r="I781">
        <v>3394.93</v>
      </c>
      <c r="J781">
        <v>45008.726009999998</v>
      </c>
      <c r="K781">
        <v>45008.726009999998</v>
      </c>
      <c r="L781">
        <v>0.96365650000000003</v>
      </c>
      <c r="M781">
        <v>0.46706192499999999</v>
      </c>
      <c r="N781">
        <v>-2.6215927274887356</v>
      </c>
      <c r="O781">
        <v>4.6282027250310921E-2</v>
      </c>
    </row>
    <row r="782" spans="1:15" x14ac:dyDescent="0.3">
      <c r="A782">
        <v>2019</v>
      </c>
      <c r="B782">
        <v>20</v>
      </c>
      <c r="C782" t="s">
        <v>11</v>
      </c>
      <c r="D782">
        <v>861</v>
      </c>
      <c r="E782">
        <v>2086544</v>
      </c>
      <c r="F782">
        <v>4.1300000000000001E-4</v>
      </c>
      <c r="G782">
        <v>0.999587</v>
      </c>
      <c r="H782">
        <v>100000</v>
      </c>
      <c r="I782">
        <v>41.3</v>
      </c>
      <c r="J782">
        <v>99979.35</v>
      </c>
      <c r="K782">
        <v>5844140.1909999996</v>
      </c>
      <c r="L782">
        <v>58.441401910000003</v>
      </c>
      <c r="M782">
        <v>1</v>
      </c>
      <c r="N782">
        <v>-7.7920629650032414</v>
      </c>
      <c r="O782">
        <v>4.1308522859118764E-4</v>
      </c>
    </row>
    <row r="783" spans="1:15" x14ac:dyDescent="0.3">
      <c r="A783">
        <v>2019</v>
      </c>
      <c r="B783">
        <v>21</v>
      </c>
      <c r="C783" t="s">
        <v>11</v>
      </c>
      <c r="D783">
        <v>950</v>
      </c>
      <c r="E783">
        <v>2091237</v>
      </c>
      <c r="F783">
        <v>4.5399999999999998E-4</v>
      </c>
      <c r="G783">
        <v>0.99954600000000005</v>
      </c>
      <c r="H783">
        <v>99958.735589999997</v>
      </c>
      <c r="I783">
        <v>45.38</v>
      </c>
      <c r="J783">
        <v>99936.044959999999</v>
      </c>
      <c r="K783">
        <v>5744160.841</v>
      </c>
      <c r="L783">
        <v>57.46532113</v>
      </c>
      <c r="M783">
        <v>0.99958735600000004</v>
      </c>
      <c r="N783">
        <v>-7.6974133599229262</v>
      </c>
      <c r="O783">
        <v>4.540904765239055E-4</v>
      </c>
    </row>
    <row r="784" spans="1:15" x14ac:dyDescent="0.3">
      <c r="A784">
        <v>2019</v>
      </c>
      <c r="B784">
        <v>22</v>
      </c>
      <c r="C784" t="s">
        <v>11</v>
      </c>
      <c r="D784">
        <v>973</v>
      </c>
      <c r="E784">
        <v>2103476</v>
      </c>
      <c r="F784">
        <v>4.6299999999999998E-4</v>
      </c>
      <c r="G784">
        <v>0.99953700000000001</v>
      </c>
      <c r="H784">
        <v>99913.326679999998</v>
      </c>
      <c r="I784">
        <v>46.26</v>
      </c>
      <c r="J784">
        <v>99890.196739999999</v>
      </c>
      <c r="K784">
        <v>5644224.7960000001</v>
      </c>
      <c r="L784">
        <v>56.491210760000001</v>
      </c>
      <c r="M784">
        <v>0.99913326700000005</v>
      </c>
      <c r="N784">
        <v>-7.6777835038780404</v>
      </c>
      <c r="O784">
        <v>4.631084080748287E-4</v>
      </c>
    </row>
    <row r="785" spans="1:15" x14ac:dyDescent="0.3">
      <c r="A785">
        <v>2019</v>
      </c>
      <c r="B785">
        <v>23</v>
      </c>
      <c r="C785" t="s">
        <v>11</v>
      </c>
      <c r="D785">
        <v>1167</v>
      </c>
      <c r="E785">
        <v>2119886</v>
      </c>
      <c r="F785">
        <v>5.5099999999999995E-4</v>
      </c>
      <c r="G785">
        <v>0.99944900000000003</v>
      </c>
      <c r="H785">
        <v>99867.110010000004</v>
      </c>
      <c r="I785">
        <v>55.03</v>
      </c>
      <c r="J785">
        <v>99839.596619999997</v>
      </c>
      <c r="K785">
        <v>5544334.5990000004</v>
      </c>
      <c r="L785">
        <v>55.517122690000001</v>
      </c>
      <c r="M785">
        <v>0.99867110000000003</v>
      </c>
      <c r="N785">
        <v>-7.5037757488113597</v>
      </c>
      <c r="O785">
        <v>5.5118398048991323E-4</v>
      </c>
    </row>
    <row r="786" spans="1:15" x14ac:dyDescent="0.3">
      <c r="A786">
        <v>2019</v>
      </c>
      <c r="B786">
        <v>24</v>
      </c>
      <c r="C786" t="s">
        <v>11</v>
      </c>
      <c r="D786">
        <v>1175</v>
      </c>
      <c r="E786">
        <v>2167045</v>
      </c>
      <c r="F786">
        <v>5.4199999999999995E-4</v>
      </c>
      <c r="G786">
        <v>0.99945799999999996</v>
      </c>
      <c r="H786">
        <v>99812.133029999997</v>
      </c>
      <c r="I786">
        <v>54.1</v>
      </c>
      <c r="J786">
        <v>99785.083939999997</v>
      </c>
      <c r="K786">
        <v>5444495.0020000003</v>
      </c>
      <c r="L786">
        <v>54.547426620000003</v>
      </c>
      <c r="M786">
        <v>0.99812133000000003</v>
      </c>
      <c r="N786">
        <v>-7.5202445565246281</v>
      </c>
      <c r="O786">
        <v>5.4216525784301197E-4</v>
      </c>
    </row>
    <row r="787" spans="1:15" x14ac:dyDescent="0.3">
      <c r="A787">
        <v>2019</v>
      </c>
      <c r="B787">
        <v>25</v>
      </c>
      <c r="C787" t="s">
        <v>11</v>
      </c>
      <c r="D787">
        <v>1271</v>
      </c>
      <c r="E787">
        <v>2213205</v>
      </c>
      <c r="F787">
        <v>5.7399999999999997E-4</v>
      </c>
      <c r="G787">
        <v>0.99942600000000004</v>
      </c>
      <c r="H787">
        <v>99758.013590000002</v>
      </c>
      <c r="I787">
        <v>57.26</v>
      </c>
      <c r="J787">
        <v>99729.383040000001</v>
      </c>
      <c r="K787">
        <v>5344709.9179999996</v>
      </c>
      <c r="L787">
        <v>53.57674763</v>
      </c>
      <c r="M787">
        <v>0.99758013599999995</v>
      </c>
      <c r="N787">
        <v>-7.4628811616447077</v>
      </c>
      <c r="O787">
        <v>5.7415383792863229E-4</v>
      </c>
    </row>
    <row r="788" spans="1:15" x14ac:dyDescent="0.3">
      <c r="A788">
        <v>2019</v>
      </c>
      <c r="B788">
        <v>26</v>
      </c>
      <c r="C788" t="s">
        <v>11</v>
      </c>
      <c r="D788">
        <v>1390</v>
      </c>
      <c r="E788">
        <v>2245334</v>
      </c>
      <c r="F788">
        <v>6.1899999999999998E-4</v>
      </c>
      <c r="G788">
        <v>0.99938099999999996</v>
      </c>
      <c r="H788">
        <v>99700.724530000007</v>
      </c>
      <c r="I788">
        <v>61.71</v>
      </c>
      <c r="J788">
        <v>99669.867159999994</v>
      </c>
      <c r="K788">
        <v>5244980.5350000001</v>
      </c>
      <c r="L788">
        <v>52.607245939999999</v>
      </c>
      <c r="M788">
        <v>0.99700724500000004</v>
      </c>
      <c r="N788">
        <v>-7.3874052852796783</v>
      </c>
      <c r="O788">
        <v>6.1914401673385483E-4</v>
      </c>
    </row>
    <row r="789" spans="1:15" x14ac:dyDescent="0.3">
      <c r="A789">
        <v>2019</v>
      </c>
      <c r="B789">
        <v>27</v>
      </c>
      <c r="C789" t="s">
        <v>11</v>
      </c>
      <c r="D789">
        <v>1519</v>
      </c>
      <c r="E789">
        <v>2312599</v>
      </c>
      <c r="F789">
        <v>6.5700000000000003E-4</v>
      </c>
      <c r="G789">
        <v>0.99934299999999998</v>
      </c>
      <c r="H789">
        <v>99639.003649999999</v>
      </c>
      <c r="I789">
        <v>65.459999999999994</v>
      </c>
      <c r="J789">
        <v>99606.272240000006</v>
      </c>
      <c r="K789">
        <v>5145310.6679999996</v>
      </c>
      <c r="L789">
        <v>51.639523480000001</v>
      </c>
      <c r="M789">
        <v>0.99639003699999995</v>
      </c>
      <c r="N789">
        <v>-7.3278265394796636</v>
      </c>
      <c r="O789">
        <v>6.5718747609930445E-4</v>
      </c>
    </row>
    <row r="790" spans="1:15" x14ac:dyDescent="0.3">
      <c r="A790">
        <v>2019</v>
      </c>
      <c r="B790">
        <v>28</v>
      </c>
      <c r="C790" t="s">
        <v>11</v>
      </c>
      <c r="D790">
        <v>1628</v>
      </c>
      <c r="E790">
        <v>2366969</v>
      </c>
      <c r="F790">
        <v>6.8800000000000003E-4</v>
      </c>
      <c r="G790">
        <v>0.99931199999999998</v>
      </c>
      <c r="H790">
        <v>99573.557090000002</v>
      </c>
      <c r="I790">
        <v>68.510000000000005</v>
      </c>
      <c r="J790">
        <v>99539.303790000005</v>
      </c>
      <c r="K790">
        <v>5045704.3959999997</v>
      </c>
      <c r="L790">
        <v>50.673135950000002</v>
      </c>
      <c r="M790">
        <v>0.99573557099999999</v>
      </c>
      <c r="N790">
        <v>-7.2817217200309301</v>
      </c>
      <c r="O790">
        <v>6.8827076865631475E-4</v>
      </c>
    </row>
    <row r="791" spans="1:15" x14ac:dyDescent="0.3">
      <c r="A791">
        <v>2019</v>
      </c>
      <c r="B791">
        <v>29</v>
      </c>
      <c r="C791" t="s">
        <v>11</v>
      </c>
      <c r="D791">
        <v>1719</v>
      </c>
      <c r="E791">
        <v>2366339</v>
      </c>
      <c r="F791">
        <v>7.2599999999999997E-4</v>
      </c>
      <c r="G791">
        <v>0.999274</v>
      </c>
      <c r="H791">
        <v>99505.070449999999</v>
      </c>
      <c r="I791">
        <v>72.239999999999995</v>
      </c>
      <c r="J791">
        <v>99468.950110000005</v>
      </c>
      <c r="K791">
        <v>4946165.0920000002</v>
      </c>
      <c r="L791">
        <v>49.707668859999998</v>
      </c>
      <c r="M791">
        <v>0.99505070500000004</v>
      </c>
      <c r="N791">
        <v>-7.2279605431394778</v>
      </c>
      <c r="O791">
        <v>7.2625694521425593E-4</v>
      </c>
    </row>
    <row r="792" spans="1:15" x14ac:dyDescent="0.3">
      <c r="A792">
        <v>2019</v>
      </c>
      <c r="B792">
        <v>30</v>
      </c>
      <c r="C792" t="s">
        <v>11</v>
      </c>
      <c r="D792">
        <v>1882</v>
      </c>
      <c r="E792">
        <v>2273519</v>
      </c>
      <c r="F792">
        <v>8.2799999999999996E-4</v>
      </c>
      <c r="G792">
        <v>0.99917199999999995</v>
      </c>
      <c r="H792">
        <v>99432.786120000004</v>
      </c>
      <c r="I792">
        <v>82.33</v>
      </c>
      <c r="J792">
        <v>99391.620949999997</v>
      </c>
      <c r="K792">
        <v>4846696.142</v>
      </c>
      <c r="L792">
        <v>48.743440980000003</v>
      </c>
      <c r="M792">
        <v>0.99432786100000004</v>
      </c>
      <c r="N792">
        <v>-7.096497403579014</v>
      </c>
      <c r="O792">
        <v>8.2833935729674057E-4</v>
      </c>
    </row>
    <row r="793" spans="1:15" x14ac:dyDescent="0.3">
      <c r="A793">
        <v>2019</v>
      </c>
      <c r="B793">
        <v>31</v>
      </c>
      <c r="C793" t="s">
        <v>11</v>
      </c>
      <c r="D793">
        <v>1943</v>
      </c>
      <c r="E793">
        <v>2220984</v>
      </c>
      <c r="F793">
        <v>8.7500000000000002E-4</v>
      </c>
      <c r="G793">
        <v>0.99912500000000004</v>
      </c>
      <c r="H793">
        <v>99350.476500000004</v>
      </c>
      <c r="I793">
        <v>86.93</v>
      </c>
      <c r="J793">
        <v>99307.010670000003</v>
      </c>
      <c r="K793">
        <v>4747304.5209999997</v>
      </c>
      <c r="L793">
        <v>47.783409689999999</v>
      </c>
      <c r="M793">
        <v>0.99350476499999996</v>
      </c>
      <c r="N793">
        <v>-7.0412866716066596</v>
      </c>
      <c r="O793">
        <v>8.7536612319009596E-4</v>
      </c>
    </row>
    <row r="794" spans="1:15" x14ac:dyDescent="0.3">
      <c r="A794">
        <v>2019</v>
      </c>
      <c r="B794">
        <v>32</v>
      </c>
      <c r="C794" t="s">
        <v>11</v>
      </c>
      <c r="D794">
        <v>1994</v>
      </c>
      <c r="E794">
        <v>2181619</v>
      </c>
      <c r="F794">
        <v>9.1399999999999999E-4</v>
      </c>
      <c r="G794">
        <v>0.99908600000000003</v>
      </c>
      <c r="H794">
        <v>99263.560979999995</v>
      </c>
      <c r="I794">
        <v>90.73</v>
      </c>
      <c r="J794">
        <v>99218.197530000005</v>
      </c>
      <c r="K794">
        <v>4647997.51</v>
      </c>
      <c r="L794">
        <v>46.82481129</v>
      </c>
      <c r="M794">
        <v>0.99263561</v>
      </c>
      <c r="N794">
        <v>-6.997679986510124</v>
      </c>
      <c r="O794">
        <v>9.1444918637167115E-4</v>
      </c>
    </row>
    <row r="795" spans="1:15" x14ac:dyDescent="0.3">
      <c r="A795">
        <v>2019</v>
      </c>
      <c r="B795">
        <v>33</v>
      </c>
      <c r="C795" t="s">
        <v>11</v>
      </c>
      <c r="D795">
        <v>2273</v>
      </c>
      <c r="E795">
        <v>2189693</v>
      </c>
      <c r="F795">
        <v>1.0380000000000001E-3</v>
      </c>
      <c r="G795">
        <v>0.99896200000000002</v>
      </c>
      <c r="H795">
        <v>99172.834069999997</v>
      </c>
      <c r="I795">
        <v>102.94</v>
      </c>
      <c r="J795">
        <v>99121.363370000006</v>
      </c>
      <c r="K795">
        <v>4548779.3130000001</v>
      </c>
      <c r="L795">
        <v>45.867190899999997</v>
      </c>
      <c r="M795">
        <v>0.99172834099999996</v>
      </c>
      <c r="N795">
        <v>-6.8704594942384398</v>
      </c>
      <c r="O795">
        <v>1.0385248832469032E-3</v>
      </c>
    </row>
    <row r="796" spans="1:15" x14ac:dyDescent="0.3">
      <c r="A796">
        <v>2019</v>
      </c>
      <c r="B796">
        <v>34</v>
      </c>
      <c r="C796" t="s">
        <v>11</v>
      </c>
      <c r="D796">
        <v>2208</v>
      </c>
      <c r="E796">
        <v>2210880</v>
      </c>
      <c r="F796">
        <v>9.990000000000001E-4</v>
      </c>
      <c r="G796">
        <v>0.99900100000000003</v>
      </c>
      <c r="H796">
        <v>99069.888200000001</v>
      </c>
      <c r="I796">
        <v>98.97</v>
      </c>
      <c r="J796">
        <v>99020.402789999993</v>
      </c>
      <c r="K796">
        <v>4449657.949</v>
      </c>
      <c r="L796">
        <v>44.91433301</v>
      </c>
      <c r="M796">
        <v>0.990698882</v>
      </c>
      <c r="N796">
        <v>-6.9087557793157206</v>
      </c>
      <c r="O796">
        <v>9.99490834454875E-4</v>
      </c>
    </row>
    <row r="797" spans="1:15" x14ac:dyDescent="0.3">
      <c r="A797">
        <v>2019</v>
      </c>
      <c r="B797">
        <v>35</v>
      </c>
      <c r="C797" t="s">
        <v>11</v>
      </c>
      <c r="D797">
        <v>2327</v>
      </c>
      <c r="E797">
        <v>2148244</v>
      </c>
      <c r="F797">
        <v>1.083E-3</v>
      </c>
      <c r="G797">
        <v>0.99891700000000005</v>
      </c>
      <c r="H797">
        <v>98970.947369999994</v>
      </c>
      <c r="I797">
        <v>107.19</v>
      </c>
      <c r="J797">
        <v>98917.354600000006</v>
      </c>
      <c r="K797">
        <v>4350637.5470000003</v>
      </c>
      <c r="L797">
        <v>43.958733969999997</v>
      </c>
      <c r="M797">
        <v>0.98970947399999998</v>
      </c>
      <c r="N797">
        <v>-6.8280203109632831</v>
      </c>
      <c r="O797">
        <v>1.0836320048048576E-3</v>
      </c>
    </row>
    <row r="798" spans="1:15" x14ac:dyDescent="0.3">
      <c r="A798">
        <v>2019</v>
      </c>
      <c r="B798">
        <v>36</v>
      </c>
      <c r="C798" t="s">
        <v>11</v>
      </c>
      <c r="D798">
        <v>2472</v>
      </c>
      <c r="E798">
        <v>2181076</v>
      </c>
      <c r="F798">
        <v>1.1329999999999999E-3</v>
      </c>
      <c r="G798">
        <v>0.99886699999999995</v>
      </c>
      <c r="H798">
        <v>98863.741020000001</v>
      </c>
      <c r="I798">
        <v>112.01</v>
      </c>
      <c r="J798">
        <v>98807.734710000004</v>
      </c>
      <c r="K798">
        <v>4251720.1919999998</v>
      </c>
      <c r="L798">
        <v>43.005859870000002</v>
      </c>
      <c r="M798">
        <v>0.98863741000000005</v>
      </c>
      <c r="N798">
        <v>-6.782886296936268</v>
      </c>
      <c r="O798">
        <v>1.1336159252660549E-3</v>
      </c>
    </row>
    <row r="799" spans="1:15" x14ac:dyDescent="0.3">
      <c r="A799">
        <v>2019</v>
      </c>
      <c r="B799">
        <v>37</v>
      </c>
      <c r="C799" t="s">
        <v>11</v>
      </c>
      <c r="D799">
        <v>2626</v>
      </c>
      <c r="E799">
        <v>2180124</v>
      </c>
      <c r="F799">
        <v>1.2049999999999999E-3</v>
      </c>
      <c r="G799">
        <v>0.99879499999999999</v>
      </c>
      <c r="H799">
        <v>98751.690279999995</v>
      </c>
      <c r="I799">
        <v>119</v>
      </c>
      <c r="J799">
        <v>98692.192389999997</v>
      </c>
      <c r="K799">
        <v>4152912.4569999999</v>
      </c>
      <c r="L799">
        <v>42.054089869999999</v>
      </c>
      <c r="M799">
        <v>0.98751690299999995</v>
      </c>
      <c r="N799">
        <v>-6.7212757120395192</v>
      </c>
      <c r="O799">
        <v>1.205768850231368E-3</v>
      </c>
    </row>
    <row r="800" spans="1:15" x14ac:dyDescent="0.3">
      <c r="A800">
        <v>2019</v>
      </c>
      <c r="B800">
        <v>38</v>
      </c>
      <c r="C800" t="s">
        <v>11</v>
      </c>
      <c r="D800">
        <v>2896</v>
      </c>
      <c r="E800">
        <v>2156217</v>
      </c>
      <c r="F800">
        <v>1.343E-3</v>
      </c>
      <c r="G800">
        <v>0.99865700000000002</v>
      </c>
      <c r="H800">
        <v>98632.742029999994</v>
      </c>
      <c r="I800">
        <v>132.46</v>
      </c>
      <c r="J800">
        <v>98566.510139999999</v>
      </c>
      <c r="K800">
        <v>4054220.2650000001</v>
      </c>
      <c r="L800">
        <v>41.104203140000003</v>
      </c>
      <c r="M800">
        <v>0.98632741999999995</v>
      </c>
      <c r="N800">
        <v>-6.6128493614410369</v>
      </c>
      <c r="O800">
        <v>1.3438642189266565E-3</v>
      </c>
    </row>
    <row r="801" spans="1:15" x14ac:dyDescent="0.3">
      <c r="A801">
        <v>2019</v>
      </c>
      <c r="B801">
        <v>39</v>
      </c>
      <c r="C801" t="s">
        <v>11</v>
      </c>
      <c r="D801">
        <v>3076</v>
      </c>
      <c r="E801">
        <v>2186919</v>
      </c>
      <c r="F801">
        <v>1.407E-3</v>
      </c>
      <c r="G801">
        <v>0.99859299999999995</v>
      </c>
      <c r="H801">
        <v>98500.269079999998</v>
      </c>
      <c r="I801">
        <v>138.59</v>
      </c>
      <c r="J801">
        <v>98430.974140000006</v>
      </c>
      <c r="K801">
        <v>3955653.7549999999</v>
      </c>
      <c r="L801">
        <v>40.158811659999998</v>
      </c>
      <c r="M801">
        <v>0.98500269100000004</v>
      </c>
      <c r="N801">
        <v>-6.5662955008498853</v>
      </c>
      <c r="O801">
        <v>1.4079914341779568E-3</v>
      </c>
    </row>
    <row r="802" spans="1:15" x14ac:dyDescent="0.3">
      <c r="A802">
        <v>2019</v>
      </c>
      <c r="B802">
        <v>40</v>
      </c>
      <c r="C802" t="s">
        <v>11</v>
      </c>
      <c r="D802">
        <v>3011</v>
      </c>
      <c r="E802">
        <v>2058650</v>
      </c>
      <c r="F802">
        <v>1.4630000000000001E-3</v>
      </c>
      <c r="G802">
        <v>0.99853700000000001</v>
      </c>
      <c r="H802">
        <v>98361.724019999994</v>
      </c>
      <c r="I802">
        <v>143.9</v>
      </c>
      <c r="J802">
        <v>98289.772419999994</v>
      </c>
      <c r="K802">
        <v>3857222.781</v>
      </c>
      <c r="L802">
        <v>39.214672360000002</v>
      </c>
      <c r="M802">
        <v>0.98361723999999995</v>
      </c>
      <c r="N802">
        <v>-6.5272661569441501</v>
      </c>
      <c r="O802">
        <v>1.4640381018652816E-3</v>
      </c>
    </row>
    <row r="803" spans="1:15" x14ac:dyDescent="0.3">
      <c r="A803">
        <v>2019</v>
      </c>
      <c r="B803">
        <v>41</v>
      </c>
      <c r="C803" t="s">
        <v>11</v>
      </c>
      <c r="D803">
        <v>3071</v>
      </c>
      <c r="E803">
        <v>2018752</v>
      </c>
      <c r="F803">
        <v>1.521E-3</v>
      </c>
      <c r="G803">
        <v>0.99847900000000001</v>
      </c>
      <c r="H803">
        <v>98217.859280000004</v>
      </c>
      <c r="I803">
        <v>149.38999999999999</v>
      </c>
      <c r="J803">
        <v>98143.164600000004</v>
      </c>
      <c r="K803">
        <v>3758933.0079999999</v>
      </c>
      <c r="L803">
        <v>38.271379930000002</v>
      </c>
      <c r="M803">
        <v>0.98217859299999999</v>
      </c>
      <c r="N803">
        <v>-6.488387265704981</v>
      </c>
      <c r="O803">
        <v>1.5221642619661479E-3</v>
      </c>
    </row>
    <row r="804" spans="1:15" x14ac:dyDescent="0.3">
      <c r="A804">
        <v>2019</v>
      </c>
      <c r="B804">
        <v>42</v>
      </c>
      <c r="C804" t="s">
        <v>11</v>
      </c>
      <c r="D804">
        <v>3136</v>
      </c>
      <c r="E804">
        <v>2002157</v>
      </c>
      <c r="F804">
        <v>1.5659999999999999E-3</v>
      </c>
      <c r="G804">
        <v>0.99843400000000004</v>
      </c>
      <c r="H804">
        <v>98068.446649999998</v>
      </c>
      <c r="I804">
        <v>153.58000000000001</v>
      </c>
      <c r="J804">
        <v>97991.659060000005</v>
      </c>
      <c r="K804">
        <v>3660789.844</v>
      </c>
      <c r="L804">
        <v>37.32892657</v>
      </c>
      <c r="M804">
        <v>0.980684467</v>
      </c>
      <c r="N804">
        <v>-6.4592306814135254</v>
      </c>
      <c r="O804">
        <v>1.5672764943315961E-3</v>
      </c>
    </row>
    <row r="805" spans="1:15" x14ac:dyDescent="0.3">
      <c r="A805">
        <v>2019</v>
      </c>
      <c r="B805">
        <v>43</v>
      </c>
      <c r="C805" t="s">
        <v>11</v>
      </c>
      <c r="D805">
        <v>3370</v>
      </c>
      <c r="E805">
        <v>1940751</v>
      </c>
      <c r="F805">
        <v>1.7359999999999999E-3</v>
      </c>
      <c r="G805">
        <v>0.99826400000000004</v>
      </c>
      <c r="H805">
        <v>97914.840989999997</v>
      </c>
      <c r="I805">
        <v>169.98</v>
      </c>
      <c r="J805">
        <v>97829.850909999994</v>
      </c>
      <c r="K805">
        <v>3562798.1850000001</v>
      </c>
      <c r="L805">
        <v>36.386702450000001</v>
      </c>
      <c r="M805">
        <v>0.97914840999999997</v>
      </c>
      <c r="N805">
        <v>-6.3561716627439786</v>
      </c>
      <c r="O805">
        <v>1.7375068647147779E-3</v>
      </c>
    </row>
    <row r="806" spans="1:15" x14ac:dyDescent="0.3">
      <c r="A806">
        <v>2019</v>
      </c>
      <c r="B806">
        <v>44</v>
      </c>
      <c r="C806" t="s">
        <v>11</v>
      </c>
      <c r="D806">
        <v>3565</v>
      </c>
      <c r="E806">
        <v>1994174</v>
      </c>
      <c r="F806">
        <v>1.7880000000000001E-3</v>
      </c>
      <c r="G806">
        <v>0.99821199999999999</v>
      </c>
      <c r="H806">
        <v>97744.817630000005</v>
      </c>
      <c r="I806">
        <v>174.77</v>
      </c>
      <c r="J806">
        <v>97657.43376</v>
      </c>
      <c r="K806">
        <v>3464968.3339999998</v>
      </c>
      <c r="L806">
        <v>35.449125770000002</v>
      </c>
      <c r="M806">
        <v>0.977448176</v>
      </c>
      <c r="N806">
        <v>-6.3266576022308145</v>
      </c>
      <c r="O806">
        <v>1.7896228448496714E-3</v>
      </c>
    </row>
    <row r="807" spans="1:15" x14ac:dyDescent="0.3">
      <c r="A807">
        <v>2019</v>
      </c>
      <c r="B807">
        <v>45</v>
      </c>
      <c r="C807" t="s">
        <v>11</v>
      </c>
      <c r="D807">
        <v>3861</v>
      </c>
      <c r="E807">
        <v>1937417</v>
      </c>
      <c r="F807">
        <v>1.993E-3</v>
      </c>
      <c r="G807">
        <v>0.99800699999999998</v>
      </c>
      <c r="H807">
        <v>97570.078469999993</v>
      </c>
      <c r="I807">
        <v>194.46</v>
      </c>
      <c r="J807">
        <v>97472.849889999998</v>
      </c>
      <c r="K807">
        <v>3367310.9</v>
      </c>
      <c r="L807">
        <v>34.511716630000002</v>
      </c>
      <c r="M807">
        <v>0.97570078500000001</v>
      </c>
      <c r="N807">
        <v>-6.2181142377514798</v>
      </c>
      <c r="O807">
        <v>1.9950169360348638E-3</v>
      </c>
    </row>
    <row r="808" spans="1:15" x14ac:dyDescent="0.3">
      <c r="A808">
        <v>2019</v>
      </c>
      <c r="B808">
        <v>46</v>
      </c>
      <c r="C808" t="s">
        <v>11</v>
      </c>
      <c r="D808">
        <v>4261</v>
      </c>
      <c r="E808">
        <v>1970074</v>
      </c>
      <c r="F808">
        <v>2.163E-3</v>
      </c>
      <c r="G808">
        <v>0.99783699999999997</v>
      </c>
      <c r="H808">
        <v>97375.635009999998</v>
      </c>
      <c r="I808">
        <v>210.62</v>
      </c>
      <c r="J808">
        <v>97270.323260000005</v>
      </c>
      <c r="K808">
        <v>3269838.05</v>
      </c>
      <c r="L808">
        <v>33.579632619999998</v>
      </c>
      <c r="M808">
        <v>0.97375635000000005</v>
      </c>
      <c r="N808">
        <v>-6.1362591320112152</v>
      </c>
      <c r="O808">
        <v>2.165305701550975E-3</v>
      </c>
    </row>
    <row r="809" spans="1:15" x14ac:dyDescent="0.3">
      <c r="A809">
        <v>2019</v>
      </c>
      <c r="B809">
        <v>47</v>
      </c>
      <c r="C809" t="s">
        <v>11</v>
      </c>
      <c r="D809">
        <v>4786</v>
      </c>
      <c r="E809">
        <v>2052817</v>
      </c>
      <c r="F809">
        <v>2.3310000000000002E-3</v>
      </c>
      <c r="G809">
        <v>0.99766900000000003</v>
      </c>
      <c r="H809">
        <v>97165.024860000005</v>
      </c>
      <c r="I809">
        <v>226.49</v>
      </c>
      <c r="J809">
        <v>97051.779020000002</v>
      </c>
      <c r="K809">
        <v>3172567.727</v>
      </c>
      <c r="L809">
        <v>32.651334480000003</v>
      </c>
      <c r="M809">
        <v>0.97165024899999997</v>
      </c>
      <c r="N809">
        <v>-6.0614579189285172</v>
      </c>
      <c r="O809">
        <v>2.3337032157963863E-3</v>
      </c>
    </row>
    <row r="810" spans="1:15" x14ac:dyDescent="0.3">
      <c r="A810">
        <v>2019</v>
      </c>
      <c r="B810">
        <v>48</v>
      </c>
      <c r="C810" t="s">
        <v>11</v>
      </c>
      <c r="D810">
        <v>5542</v>
      </c>
      <c r="E810">
        <v>2168043</v>
      </c>
      <c r="F810">
        <v>2.5560000000000001E-3</v>
      </c>
      <c r="G810">
        <v>0.997444</v>
      </c>
      <c r="H810">
        <v>96938.49136</v>
      </c>
      <c r="I810">
        <v>247.77</v>
      </c>
      <c r="J810">
        <v>96814.603969999996</v>
      </c>
      <c r="K810">
        <v>3075515.9479999999</v>
      </c>
      <c r="L810">
        <v>31.72646804</v>
      </c>
      <c r="M810">
        <v>0.96938491400000004</v>
      </c>
      <c r="N810">
        <v>-5.9693117424668483</v>
      </c>
      <c r="O810">
        <v>2.5592216196266178E-3</v>
      </c>
    </row>
    <row r="811" spans="1:15" x14ac:dyDescent="0.3">
      <c r="A811">
        <v>2019</v>
      </c>
      <c r="B811">
        <v>49</v>
      </c>
      <c r="C811" t="s">
        <v>11</v>
      </c>
      <c r="D811">
        <v>5931</v>
      </c>
      <c r="E811">
        <v>2184045</v>
      </c>
      <c r="F811">
        <v>2.7160000000000001E-3</v>
      </c>
      <c r="G811">
        <v>0.99728399999999995</v>
      </c>
      <c r="H811">
        <v>96690.695030000003</v>
      </c>
      <c r="I811">
        <v>262.61</v>
      </c>
      <c r="J811">
        <v>96559.389070000005</v>
      </c>
      <c r="K811">
        <v>2978701.344</v>
      </c>
      <c r="L811">
        <v>30.806494279999999</v>
      </c>
      <c r="M811">
        <v>0.96690695000000004</v>
      </c>
      <c r="N811">
        <v>-5.9085950692856875</v>
      </c>
      <c r="O811">
        <v>2.7196728396188855E-3</v>
      </c>
    </row>
    <row r="812" spans="1:15" x14ac:dyDescent="0.3">
      <c r="A812">
        <v>2019</v>
      </c>
      <c r="B812">
        <v>50</v>
      </c>
      <c r="C812" t="s">
        <v>11</v>
      </c>
      <c r="D812">
        <v>6211</v>
      </c>
      <c r="E812">
        <v>2071196</v>
      </c>
      <c r="F812">
        <v>2.9989999999999999E-3</v>
      </c>
      <c r="G812">
        <v>0.99700100000000003</v>
      </c>
      <c r="H812">
        <v>96428.121450000006</v>
      </c>
      <c r="I812">
        <v>289.19</v>
      </c>
      <c r="J812">
        <v>96283.527480000004</v>
      </c>
      <c r="K812">
        <v>2882141.9550000001</v>
      </c>
      <c r="L812">
        <v>29.889019009999998</v>
      </c>
      <c r="M812">
        <v>0.96428121499999997</v>
      </c>
      <c r="N812">
        <v>-5.8094763792152646</v>
      </c>
      <c r="O812">
        <v>3.0035248129818156E-3</v>
      </c>
    </row>
    <row r="813" spans="1:15" x14ac:dyDescent="0.3">
      <c r="A813">
        <v>2019</v>
      </c>
      <c r="B813">
        <v>51</v>
      </c>
      <c r="C813" t="s">
        <v>11</v>
      </c>
      <c r="D813">
        <v>6545</v>
      </c>
      <c r="E813">
        <v>2027460</v>
      </c>
      <c r="F813">
        <v>3.228E-3</v>
      </c>
      <c r="G813">
        <v>0.99677199999999999</v>
      </c>
      <c r="H813">
        <v>96138.957569999999</v>
      </c>
      <c r="I813">
        <v>310.33999999999997</v>
      </c>
      <c r="J813">
        <v>95983.789290000001</v>
      </c>
      <c r="K813">
        <v>2785858.4270000001</v>
      </c>
      <c r="L813">
        <v>28.977414540000002</v>
      </c>
      <c r="M813">
        <v>0.96138957599999997</v>
      </c>
      <c r="N813">
        <v>-5.7358925285744347</v>
      </c>
      <c r="O813">
        <v>3.2332545923703087E-3</v>
      </c>
    </row>
    <row r="814" spans="1:15" x14ac:dyDescent="0.3">
      <c r="A814">
        <v>2019</v>
      </c>
      <c r="B814">
        <v>52</v>
      </c>
      <c r="C814" t="s">
        <v>11</v>
      </c>
      <c r="D814">
        <v>7183</v>
      </c>
      <c r="E814">
        <v>2033163</v>
      </c>
      <c r="F814">
        <v>3.5330000000000001E-3</v>
      </c>
      <c r="G814">
        <v>0.99646699999999999</v>
      </c>
      <c r="H814">
        <v>95828.603990000003</v>
      </c>
      <c r="I814">
        <v>338.56</v>
      </c>
      <c r="J814">
        <v>95659.322759999995</v>
      </c>
      <c r="K814">
        <v>2689874.6379999998</v>
      </c>
      <c r="L814">
        <v>28.06964232</v>
      </c>
      <c r="M814">
        <v>0.95828603999999995</v>
      </c>
      <c r="N814">
        <v>-5.6456079106051291</v>
      </c>
      <c r="O814">
        <v>3.5392262508435308E-3</v>
      </c>
    </row>
    <row r="815" spans="1:15" x14ac:dyDescent="0.3">
      <c r="A815">
        <v>2019</v>
      </c>
      <c r="B815">
        <v>53</v>
      </c>
      <c r="C815" t="s">
        <v>11</v>
      </c>
      <c r="D815">
        <v>8043</v>
      </c>
      <c r="E815">
        <v>2067526</v>
      </c>
      <c r="F815">
        <v>3.8899999999999998E-3</v>
      </c>
      <c r="G815">
        <v>0.99611000000000005</v>
      </c>
      <c r="H815">
        <v>95490.049299999999</v>
      </c>
      <c r="I815">
        <v>371.46</v>
      </c>
      <c r="J815">
        <v>95304.321150000003</v>
      </c>
      <c r="K815">
        <v>2594215.3149999999</v>
      </c>
      <c r="L815">
        <v>27.167389</v>
      </c>
      <c r="M815">
        <v>0.95490049300000002</v>
      </c>
      <c r="N815">
        <v>-5.5493461213517818</v>
      </c>
      <c r="O815">
        <v>3.8976200098006738E-3</v>
      </c>
    </row>
    <row r="816" spans="1:15" x14ac:dyDescent="0.3">
      <c r="A816">
        <v>2019</v>
      </c>
      <c r="B816">
        <v>54</v>
      </c>
      <c r="C816" t="s">
        <v>11</v>
      </c>
      <c r="D816">
        <v>9183</v>
      </c>
      <c r="E816">
        <v>2191195</v>
      </c>
      <c r="F816">
        <v>4.1910000000000003E-3</v>
      </c>
      <c r="G816">
        <v>0.99580900000000006</v>
      </c>
      <c r="H816">
        <v>95118.578049999996</v>
      </c>
      <c r="I816">
        <v>398.64</v>
      </c>
      <c r="J816">
        <v>94919.257070000007</v>
      </c>
      <c r="K816">
        <v>2498910.9939999999</v>
      </c>
      <c r="L816">
        <v>26.271534389999999</v>
      </c>
      <c r="M816">
        <v>0.95118578099999995</v>
      </c>
      <c r="N816">
        <v>-5.4748159100392026</v>
      </c>
      <c r="O816">
        <v>4.199779740294866E-3</v>
      </c>
    </row>
    <row r="817" spans="1:15" x14ac:dyDescent="0.3">
      <c r="A817">
        <v>2019</v>
      </c>
      <c r="B817">
        <v>55</v>
      </c>
      <c r="C817" t="s">
        <v>11</v>
      </c>
      <c r="D817">
        <v>10259</v>
      </c>
      <c r="E817">
        <v>2236979</v>
      </c>
      <c r="F817">
        <v>4.5859999999999998E-3</v>
      </c>
      <c r="G817">
        <v>0.99541400000000002</v>
      </c>
      <c r="H817">
        <v>94719.949040000007</v>
      </c>
      <c r="I817">
        <v>434.39</v>
      </c>
      <c r="J817">
        <v>94502.756200000003</v>
      </c>
      <c r="K817">
        <v>2403991.7370000002</v>
      </c>
      <c r="L817">
        <v>25.379993989999999</v>
      </c>
      <c r="M817">
        <v>0.94719949000000003</v>
      </c>
      <c r="N817">
        <v>-5.384747094546424</v>
      </c>
      <c r="O817">
        <v>4.5965857328984358E-3</v>
      </c>
    </row>
    <row r="818" spans="1:15" x14ac:dyDescent="0.3">
      <c r="A818">
        <v>2019</v>
      </c>
      <c r="B818">
        <v>56</v>
      </c>
      <c r="C818" t="s">
        <v>11</v>
      </c>
      <c r="D818">
        <v>11173</v>
      </c>
      <c r="E818">
        <v>2235893</v>
      </c>
      <c r="F818">
        <v>4.9969999999999997E-3</v>
      </c>
      <c r="G818">
        <v>0.99500299999999997</v>
      </c>
      <c r="H818">
        <v>94285.554279999997</v>
      </c>
      <c r="I818">
        <v>471.14</v>
      </c>
      <c r="J818">
        <v>94049.981820000001</v>
      </c>
      <c r="K818">
        <v>2309488.9810000001</v>
      </c>
      <c r="L818">
        <v>24.494621670000001</v>
      </c>
      <c r="M818">
        <v>0.94285554299999996</v>
      </c>
      <c r="N818">
        <v>-5.2989175466200695</v>
      </c>
      <c r="O818">
        <v>5.0094642923495013E-3</v>
      </c>
    </row>
    <row r="819" spans="1:15" x14ac:dyDescent="0.3">
      <c r="A819">
        <v>2019</v>
      </c>
      <c r="B819">
        <v>57</v>
      </c>
      <c r="C819" t="s">
        <v>11</v>
      </c>
      <c r="D819">
        <v>12317</v>
      </c>
      <c r="E819">
        <v>2230590</v>
      </c>
      <c r="F819">
        <v>5.522E-3</v>
      </c>
      <c r="G819">
        <v>0.99447799999999997</v>
      </c>
      <c r="H819">
        <v>93814.399130000005</v>
      </c>
      <c r="I819">
        <v>518.04</v>
      </c>
      <c r="J819">
        <v>93555.377569999997</v>
      </c>
      <c r="K819">
        <v>2215438.9989999998</v>
      </c>
      <c r="L819">
        <v>23.615127520000001</v>
      </c>
      <c r="M819">
        <v>0.93814399100000001</v>
      </c>
      <c r="N819">
        <v>-5.1990151654741741</v>
      </c>
      <c r="O819">
        <v>5.5372547940192697E-3</v>
      </c>
    </row>
    <row r="820" spans="1:15" x14ac:dyDescent="0.3">
      <c r="A820">
        <v>2019</v>
      </c>
      <c r="B820">
        <v>58</v>
      </c>
      <c r="C820" t="s">
        <v>11</v>
      </c>
      <c r="D820">
        <v>13439</v>
      </c>
      <c r="E820">
        <v>2259796</v>
      </c>
      <c r="F820">
        <v>5.947E-3</v>
      </c>
      <c r="G820">
        <v>0.99405299999999996</v>
      </c>
      <c r="H820">
        <v>93296.369390000007</v>
      </c>
      <c r="I820">
        <v>554.83000000000004</v>
      </c>
      <c r="J820">
        <v>93018.952640000003</v>
      </c>
      <c r="K820">
        <v>2121883.6209999998</v>
      </c>
      <c r="L820">
        <v>22.743474750000001</v>
      </c>
      <c r="M820">
        <v>0.93296369400000001</v>
      </c>
      <c r="N820">
        <v>-5.1248683882576804</v>
      </c>
      <c r="O820">
        <v>5.9646984130433843E-3</v>
      </c>
    </row>
    <row r="821" spans="1:15" x14ac:dyDescent="0.3">
      <c r="A821">
        <v>2019</v>
      </c>
      <c r="B821">
        <v>59</v>
      </c>
      <c r="C821" t="s">
        <v>11</v>
      </c>
      <c r="D821">
        <v>14210</v>
      </c>
      <c r="E821">
        <v>2271644</v>
      </c>
      <c r="F821">
        <v>6.2550000000000001E-3</v>
      </c>
      <c r="G821">
        <v>0.99374499999999999</v>
      </c>
      <c r="H821">
        <v>92741.536160000003</v>
      </c>
      <c r="I821">
        <v>580.1</v>
      </c>
      <c r="J821">
        <v>92451.487009999997</v>
      </c>
      <c r="K821">
        <v>2028864.669</v>
      </c>
      <c r="L821">
        <v>21.87654801</v>
      </c>
      <c r="M821">
        <v>0.92741536199999997</v>
      </c>
      <c r="N821">
        <v>-5.0743741350632625</v>
      </c>
      <c r="O821">
        <v>6.2746433809882174E-3</v>
      </c>
    </row>
    <row r="822" spans="1:15" x14ac:dyDescent="0.3">
      <c r="A822">
        <v>2019</v>
      </c>
      <c r="B822">
        <v>60</v>
      </c>
      <c r="C822" t="s">
        <v>11</v>
      </c>
      <c r="D822">
        <v>15391</v>
      </c>
      <c r="E822">
        <v>2199986</v>
      </c>
      <c r="F822">
        <v>6.9959999999999996E-3</v>
      </c>
      <c r="G822">
        <v>0.993004</v>
      </c>
      <c r="H822">
        <v>92161.402470000001</v>
      </c>
      <c r="I822">
        <v>644.76</v>
      </c>
      <c r="J822">
        <v>91839.02188</v>
      </c>
      <c r="K822">
        <v>1936413.182</v>
      </c>
      <c r="L822">
        <v>21.011108010000001</v>
      </c>
      <c r="M822">
        <v>0.921614025</v>
      </c>
      <c r="N822">
        <v>-4.9624167218257815</v>
      </c>
      <c r="O822">
        <v>7.020544990325563E-3</v>
      </c>
    </row>
    <row r="823" spans="1:15" x14ac:dyDescent="0.3">
      <c r="A823">
        <v>2019</v>
      </c>
      <c r="B823">
        <v>61</v>
      </c>
      <c r="C823" t="s">
        <v>11</v>
      </c>
      <c r="D823">
        <v>16341</v>
      </c>
      <c r="E823">
        <v>2187221</v>
      </c>
      <c r="F823">
        <v>7.4710000000000002E-3</v>
      </c>
      <c r="G823">
        <v>0.99252899999999999</v>
      </c>
      <c r="H823">
        <v>91516.645569999993</v>
      </c>
      <c r="I823">
        <v>683.72</v>
      </c>
      <c r="J823">
        <v>91174.785140000007</v>
      </c>
      <c r="K823">
        <v>1844574.16</v>
      </c>
      <c r="L823">
        <v>20.155613750000001</v>
      </c>
      <c r="M823">
        <v>0.91516645600000002</v>
      </c>
      <c r="N823">
        <v>-4.8967264199884726</v>
      </c>
      <c r="O823">
        <v>7.4990036074060393E-3</v>
      </c>
    </row>
    <row r="824" spans="1:15" x14ac:dyDescent="0.3">
      <c r="A824">
        <v>2019</v>
      </c>
      <c r="B824">
        <v>62</v>
      </c>
      <c r="C824" t="s">
        <v>11</v>
      </c>
      <c r="D824">
        <v>17321</v>
      </c>
      <c r="E824">
        <v>2165425</v>
      </c>
      <c r="F824">
        <v>7.9989999999999992E-3</v>
      </c>
      <c r="G824">
        <v>0.99200100000000002</v>
      </c>
      <c r="H824">
        <v>90832.913329999996</v>
      </c>
      <c r="I824">
        <v>726.57</v>
      </c>
      <c r="J824">
        <v>90469.627089999994</v>
      </c>
      <c r="K824">
        <v>1753399.375</v>
      </c>
      <c r="L824">
        <v>19.303568609999999</v>
      </c>
      <c r="M824">
        <v>0.90832913299999996</v>
      </c>
      <c r="N824">
        <v>-4.8284387451154522</v>
      </c>
      <c r="O824">
        <v>8.0310926862124706E-3</v>
      </c>
    </row>
    <row r="825" spans="1:15" x14ac:dyDescent="0.3">
      <c r="A825">
        <v>2019</v>
      </c>
      <c r="B825">
        <v>63</v>
      </c>
      <c r="C825" t="s">
        <v>11</v>
      </c>
      <c r="D825">
        <v>17837</v>
      </c>
      <c r="E825">
        <v>2090246</v>
      </c>
      <c r="F825">
        <v>8.5330000000000007E-3</v>
      </c>
      <c r="G825">
        <v>0.99146699999999999</v>
      </c>
      <c r="H825">
        <v>90106.350699999995</v>
      </c>
      <c r="I825">
        <v>768.88</v>
      </c>
      <c r="J825">
        <v>89721.911949999994</v>
      </c>
      <c r="K825">
        <v>1662929.7479999999</v>
      </c>
      <c r="L825">
        <v>18.455189170000001</v>
      </c>
      <c r="M825">
        <v>0.90106350700000004</v>
      </c>
      <c r="N825">
        <v>-4.763814279427689</v>
      </c>
      <c r="O825">
        <v>8.569591922366674E-3</v>
      </c>
    </row>
    <row r="826" spans="1:15" x14ac:dyDescent="0.3">
      <c r="A826">
        <v>2019</v>
      </c>
      <c r="B826">
        <v>64</v>
      </c>
      <c r="C826" t="s">
        <v>11</v>
      </c>
      <c r="D826">
        <v>18724</v>
      </c>
      <c r="E826">
        <v>2071538</v>
      </c>
      <c r="F826">
        <v>9.0390000000000002E-3</v>
      </c>
      <c r="G826">
        <v>0.99096099999999998</v>
      </c>
      <c r="H826">
        <v>89337.433080000003</v>
      </c>
      <c r="I826">
        <v>807.52</v>
      </c>
      <c r="J826">
        <v>88933.672550000003</v>
      </c>
      <c r="K826">
        <v>1573207.8359999999</v>
      </c>
      <c r="L826">
        <v>17.609727320000001</v>
      </c>
      <c r="M826">
        <v>0.89337433099999997</v>
      </c>
      <c r="N826">
        <v>-4.7062067301658628</v>
      </c>
      <c r="O826">
        <v>9.0800239446456269E-3</v>
      </c>
    </row>
    <row r="827" spans="1:15" x14ac:dyDescent="0.3">
      <c r="A827">
        <v>2019</v>
      </c>
      <c r="B827">
        <v>65</v>
      </c>
      <c r="C827" t="s">
        <v>11</v>
      </c>
      <c r="D827">
        <v>19046</v>
      </c>
      <c r="E827">
        <v>1991169</v>
      </c>
      <c r="F827">
        <v>9.5650000000000006E-3</v>
      </c>
      <c r="G827">
        <v>0.99043499999999995</v>
      </c>
      <c r="H827">
        <v>88529.939280000006</v>
      </c>
      <c r="I827">
        <v>846.79</v>
      </c>
      <c r="J827">
        <v>88106.544850000006</v>
      </c>
      <c r="K827">
        <v>1484274.1629999999</v>
      </c>
      <c r="L827">
        <v>16.765787660000001</v>
      </c>
      <c r="M827">
        <v>0.88529939300000005</v>
      </c>
      <c r="N827">
        <v>-4.6496446760899204</v>
      </c>
      <c r="O827">
        <v>9.6109784078815229E-3</v>
      </c>
    </row>
    <row r="828" spans="1:15" x14ac:dyDescent="0.3">
      <c r="A828">
        <v>2019</v>
      </c>
      <c r="B828">
        <v>66</v>
      </c>
      <c r="C828" t="s">
        <v>11</v>
      </c>
      <c r="D828">
        <v>19793</v>
      </c>
      <c r="E828">
        <v>1914181</v>
      </c>
      <c r="F828">
        <v>1.034E-2</v>
      </c>
      <c r="G828">
        <v>0.98965999999999998</v>
      </c>
      <c r="H828">
        <v>87683.129579999993</v>
      </c>
      <c r="I828">
        <v>906.64</v>
      </c>
      <c r="J828">
        <v>87229.807799999995</v>
      </c>
      <c r="K828">
        <v>1396167.618</v>
      </c>
      <c r="L828">
        <v>15.92287621</v>
      </c>
      <c r="M828">
        <v>0.87683129599999998</v>
      </c>
      <c r="N828">
        <v>-4.5717354099018541</v>
      </c>
      <c r="O828">
        <v>1.0393695808679663E-2</v>
      </c>
    </row>
    <row r="829" spans="1:15" x14ac:dyDescent="0.3">
      <c r="A829">
        <v>2019</v>
      </c>
      <c r="B829">
        <v>67</v>
      </c>
      <c r="C829" t="s">
        <v>11</v>
      </c>
      <c r="D829">
        <v>20479</v>
      </c>
      <c r="E829">
        <v>1836574</v>
      </c>
      <c r="F829">
        <v>1.1150999999999999E-2</v>
      </c>
      <c r="G829">
        <v>0.98884899999999998</v>
      </c>
      <c r="H829">
        <v>86776.469140000001</v>
      </c>
      <c r="I829">
        <v>967.64</v>
      </c>
      <c r="J829">
        <v>86292.646940000006</v>
      </c>
      <c r="K829">
        <v>1308937.81</v>
      </c>
      <c r="L829">
        <v>15.084017859999999</v>
      </c>
      <c r="M829">
        <v>0.86776469099999998</v>
      </c>
      <c r="N829">
        <v>-4.4962260989989122</v>
      </c>
      <c r="O829">
        <v>1.1213467956571663E-2</v>
      </c>
    </row>
    <row r="830" spans="1:15" x14ac:dyDescent="0.3">
      <c r="A830">
        <v>2019</v>
      </c>
      <c r="B830">
        <v>68</v>
      </c>
      <c r="C830" t="s">
        <v>11</v>
      </c>
      <c r="D830">
        <v>21517</v>
      </c>
      <c r="E830">
        <v>1781346</v>
      </c>
      <c r="F830">
        <v>1.2078999999999999E-2</v>
      </c>
      <c r="G830">
        <v>0.98792100000000005</v>
      </c>
      <c r="H830">
        <v>85808.854819999993</v>
      </c>
      <c r="I830">
        <v>1036.49</v>
      </c>
      <c r="J830">
        <v>85290.612240000002</v>
      </c>
      <c r="K830">
        <v>1222645.1640000001</v>
      </c>
      <c r="L830">
        <v>14.248473150000001</v>
      </c>
      <c r="M830">
        <v>0.85808854800000001</v>
      </c>
      <c r="N830">
        <v>-4.416286871358996</v>
      </c>
      <c r="O830">
        <v>1.2152451581542113E-2</v>
      </c>
    </row>
    <row r="831" spans="1:15" x14ac:dyDescent="0.3">
      <c r="A831">
        <v>2019</v>
      </c>
      <c r="B831">
        <v>69</v>
      </c>
      <c r="C831" t="s">
        <v>11</v>
      </c>
      <c r="D831">
        <v>22639</v>
      </c>
      <c r="E831">
        <v>1731958</v>
      </c>
      <c r="F831">
        <v>1.3070999999999999E-2</v>
      </c>
      <c r="G831">
        <v>0.98692899999999995</v>
      </c>
      <c r="H831">
        <v>84772.363800000006</v>
      </c>
      <c r="I831">
        <v>1108.06</v>
      </c>
      <c r="J831">
        <v>84218.334019999995</v>
      </c>
      <c r="K831">
        <v>1137354.551</v>
      </c>
      <c r="L831">
        <v>13.41657234</v>
      </c>
      <c r="M831">
        <v>0.84772363799999995</v>
      </c>
      <c r="N831">
        <v>-4.3373592431787227</v>
      </c>
      <c r="O831">
        <v>1.3156994836533008E-2</v>
      </c>
    </row>
    <row r="832" spans="1:15" x14ac:dyDescent="0.3">
      <c r="A832">
        <v>2019</v>
      </c>
      <c r="B832">
        <v>70</v>
      </c>
      <c r="C832" t="s">
        <v>11</v>
      </c>
      <c r="D832">
        <v>24422</v>
      </c>
      <c r="E832">
        <v>1674584</v>
      </c>
      <c r="F832">
        <v>1.4584E-2</v>
      </c>
      <c r="G832">
        <v>0.98541599999999996</v>
      </c>
      <c r="H832">
        <v>83664.275989999995</v>
      </c>
      <c r="I832">
        <v>1220.1600000000001</v>
      </c>
      <c r="J832">
        <v>83054.196089999998</v>
      </c>
      <c r="K832">
        <v>1053136.2169999999</v>
      </c>
      <c r="L832">
        <v>12.587645139999999</v>
      </c>
      <c r="M832">
        <v>0.83664276000000004</v>
      </c>
      <c r="N832">
        <v>-4.2278302416057754</v>
      </c>
      <c r="O832">
        <v>1.4691129510540236E-2</v>
      </c>
    </row>
    <row r="833" spans="1:15" x14ac:dyDescent="0.3">
      <c r="A833">
        <v>2019</v>
      </c>
      <c r="B833">
        <v>71</v>
      </c>
      <c r="C833" t="s">
        <v>11</v>
      </c>
      <c r="D833">
        <v>26607</v>
      </c>
      <c r="E833">
        <v>1647705</v>
      </c>
      <c r="F833">
        <v>1.6147999999999999E-2</v>
      </c>
      <c r="G833">
        <v>0.98385199999999995</v>
      </c>
      <c r="H833">
        <v>82444.122839999996</v>
      </c>
      <c r="I833">
        <v>1331.31</v>
      </c>
      <c r="J833">
        <v>81778.468989999994</v>
      </c>
      <c r="K833">
        <v>970082.02119999996</v>
      </c>
      <c r="L833">
        <v>11.766539420000001</v>
      </c>
      <c r="M833">
        <v>0.82444122799999997</v>
      </c>
      <c r="N833">
        <v>-4.1259590759914424</v>
      </c>
      <c r="O833">
        <v>1.6279467680201533E-2</v>
      </c>
    </row>
    <row r="834" spans="1:15" x14ac:dyDescent="0.3">
      <c r="A834">
        <v>2019</v>
      </c>
      <c r="B834">
        <v>72</v>
      </c>
      <c r="C834" t="s">
        <v>11</v>
      </c>
      <c r="D834">
        <v>29424</v>
      </c>
      <c r="E834">
        <v>1707812</v>
      </c>
      <c r="F834">
        <v>1.7229000000000001E-2</v>
      </c>
      <c r="G834">
        <v>0.98277099999999995</v>
      </c>
      <c r="H834">
        <v>81112.822159999996</v>
      </c>
      <c r="I834">
        <v>1397.49</v>
      </c>
      <c r="J834">
        <v>80414.075750000004</v>
      </c>
      <c r="K834">
        <v>888303.55220000003</v>
      </c>
      <c r="L834">
        <v>10.951456609999999</v>
      </c>
      <c r="M834">
        <v>0.81112822200000001</v>
      </c>
      <c r="N834">
        <v>-4.0611612684318681</v>
      </c>
      <c r="O834">
        <v>1.7378674456030578E-2</v>
      </c>
    </row>
    <row r="835" spans="1:15" x14ac:dyDescent="0.3">
      <c r="A835">
        <v>2019</v>
      </c>
      <c r="B835">
        <v>73</v>
      </c>
      <c r="C835" t="s">
        <v>11</v>
      </c>
      <c r="D835">
        <v>25287</v>
      </c>
      <c r="E835">
        <v>1259662</v>
      </c>
      <c r="F835">
        <v>2.0074000000000002E-2</v>
      </c>
      <c r="G835">
        <v>0.97992599999999996</v>
      </c>
      <c r="H835">
        <v>79715.324259999994</v>
      </c>
      <c r="I835">
        <v>1600.21</v>
      </c>
      <c r="J835">
        <v>78915.221550000002</v>
      </c>
      <c r="K835">
        <v>807889.47649999999</v>
      </c>
      <c r="L835">
        <v>10.13468218</v>
      </c>
      <c r="M835">
        <v>0.79715324300000001</v>
      </c>
      <c r="N835">
        <v>-3.9083298335905283</v>
      </c>
      <c r="O835">
        <v>2.0277588000836285E-2</v>
      </c>
    </row>
    <row r="836" spans="1:15" x14ac:dyDescent="0.3">
      <c r="A836">
        <v>2019</v>
      </c>
      <c r="B836">
        <v>74</v>
      </c>
      <c r="C836" t="s">
        <v>11</v>
      </c>
      <c r="D836">
        <v>26098</v>
      </c>
      <c r="E836">
        <v>1238863</v>
      </c>
      <c r="F836">
        <v>2.1066000000000001E-2</v>
      </c>
      <c r="G836">
        <v>0.97893399999999997</v>
      </c>
      <c r="H836">
        <v>78115.084359999993</v>
      </c>
      <c r="I836">
        <v>1645.57</v>
      </c>
      <c r="J836">
        <v>77292.298179999998</v>
      </c>
      <c r="K836">
        <v>728974.25490000006</v>
      </c>
      <c r="L836">
        <v>9.3320548890000001</v>
      </c>
      <c r="M836">
        <v>0.78115084400000001</v>
      </c>
      <c r="N836">
        <v>-3.8600949125677868</v>
      </c>
      <c r="O836">
        <v>2.1290220553866063E-2</v>
      </c>
    </row>
    <row r="837" spans="1:15" x14ac:dyDescent="0.3">
      <c r="A837">
        <v>2019</v>
      </c>
      <c r="B837">
        <v>75</v>
      </c>
      <c r="C837" t="s">
        <v>11</v>
      </c>
      <c r="D837">
        <v>28571</v>
      </c>
      <c r="E837">
        <v>1199896</v>
      </c>
      <c r="F837">
        <v>2.3810999999999999E-2</v>
      </c>
      <c r="G837">
        <v>0.97618899999999997</v>
      </c>
      <c r="H837">
        <v>76469.504920000007</v>
      </c>
      <c r="I837">
        <v>1820.82</v>
      </c>
      <c r="J837">
        <v>75559.097229999999</v>
      </c>
      <c r="K837">
        <v>651681.95669999998</v>
      </c>
      <c r="L837">
        <v>8.5221155470000003</v>
      </c>
      <c r="M837">
        <v>0.76469504899999996</v>
      </c>
      <c r="N837">
        <v>-3.737607620205289</v>
      </c>
      <c r="O837">
        <v>2.4097961449168981E-2</v>
      </c>
    </row>
    <row r="838" spans="1:15" x14ac:dyDescent="0.3">
      <c r="A838">
        <v>2019</v>
      </c>
      <c r="B838">
        <v>76</v>
      </c>
      <c r="C838" t="s">
        <v>11</v>
      </c>
      <c r="D838">
        <v>31604</v>
      </c>
      <c r="E838">
        <v>1218702</v>
      </c>
      <c r="F838">
        <v>2.5933000000000001E-2</v>
      </c>
      <c r="G838">
        <v>0.97406700000000002</v>
      </c>
      <c r="H838">
        <v>74648.671929999997</v>
      </c>
      <c r="I838">
        <v>1935.86</v>
      </c>
      <c r="J838">
        <v>73680.739929999996</v>
      </c>
      <c r="K838">
        <v>576122.85950000002</v>
      </c>
      <c r="L838">
        <v>7.717791149</v>
      </c>
      <c r="M838">
        <v>0.74648671899999997</v>
      </c>
      <c r="N838">
        <v>-3.6522389900189443</v>
      </c>
      <c r="O838">
        <v>2.6273616687088421E-2</v>
      </c>
    </row>
    <row r="839" spans="1:15" x14ac:dyDescent="0.3">
      <c r="A839">
        <v>2019</v>
      </c>
      <c r="B839">
        <v>77</v>
      </c>
      <c r="C839" t="s">
        <v>11</v>
      </c>
      <c r="D839">
        <v>30493</v>
      </c>
      <c r="E839">
        <v>1056331</v>
      </c>
      <c r="F839">
        <v>2.8867E-2</v>
      </c>
      <c r="G839">
        <v>0.97113300000000002</v>
      </c>
      <c r="H839">
        <v>72712.84461</v>
      </c>
      <c r="I839">
        <v>2099</v>
      </c>
      <c r="J839">
        <v>71663.343770000007</v>
      </c>
      <c r="K839">
        <v>502442.11959999998</v>
      </c>
      <c r="L839">
        <v>6.909949986</v>
      </c>
      <c r="M839">
        <v>0.72712844600000004</v>
      </c>
      <c r="N839">
        <v>-3.5450562048044163</v>
      </c>
      <c r="O839">
        <v>2.9289728636587711E-2</v>
      </c>
    </row>
    <row r="840" spans="1:15" x14ac:dyDescent="0.3">
      <c r="A840">
        <v>2019</v>
      </c>
      <c r="B840">
        <v>78</v>
      </c>
      <c r="C840" t="s">
        <v>11</v>
      </c>
      <c r="D840">
        <v>30611</v>
      </c>
      <c r="E840">
        <v>960647</v>
      </c>
      <c r="F840">
        <v>3.1864999999999997E-2</v>
      </c>
      <c r="G840">
        <v>0.96813499999999997</v>
      </c>
      <c r="H840">
        <v>70613.850290000002</v>
      </c>
      <c r="I840">
        <v>2250.11</v>
      </c>
      <c r="J840">
        <v>69488.795119999995</v>
      </c>
      <c r="K840">
        <v>430778.7758</v>
      </c>
      <c r="L840">
        <v>6.1004855850000004</v>
      </c>
      <c r="M840">
        <v>0.70613850300000003</v>
      </c>
      <c r="N840">
        <v>-3.4462470502158795</v>
      </c>
      <c r="O840">
        <v>3.2380903660251134E-2</v>
      </c>
    </row>
    <row r="841" spans="1:15" x14ac:dyDescent="0.3">
      <c r="A841">
        <v>2019</v>
      </c>
      <c r="B841">
        <v>79</v>
      </c>
      <c r="C841" t="s">
        <v>11</v>
      </c>
      <c r="D841">
        <v>31718</v>
      </c>
      <c r="E841">
        <v>898590</v>
      </c>
      <c r="F841">
        <v>3.5298000000000003E-2</v>
      </c>
      <c r="G841">
        <v>0.96470199999999995</v>
      </c>
      <c r="H841">
        <v>68363.741169999994</v>
      </c>
      <c r="I841">
        <v>2413.1</v>
      </c>
      <c r="J841">
        <v>67157.189499999993</v>
      </c>
      <c r="K841">
        <v>361289.98070000001</v>
      </c>
      <c r="L841">
        <v>5.2848187429999998</v>
      </c>
      <c r="M841">
        <v>0.68363741200000006</v>
      </c>
      <c r="N841">
        <v>-3.3439289738717632</v>
      </c>
      <c r="O841">
        <v>3.5932108390723631E-2</v>
      </c>
    </row>
    <row r="842" spans="1:15" x14ac:dyDescent="0.3">
      <c r="A842">
        <v>2019</v>
      </c>
      <c r="B842">
        <v>80</v>
      </c>
      <c r="C842" t="s">
        <v>11</v>
      </c>
      <c r="D842">
        <v>33085</v>
      </c>
      <c r="E842">
        <v>831640</v>
      </c>
      <c r="F842">
        <v>3.9782999999999999E-2</v>
      </c>
      <c r="G842">
        <v>0.96021699999999999</v>
      </c>
      <c r="H842">
        <v>65950.670540000006</v>
      </c>
      <c r="I842">
        <v>2623.72</v>
      </c>
      <c r="J842">
        <v>64638.81278</v>
      </c>
      <c r="K842">
        <v>294132.79119999998</v>
      </c>
      <c r="L842">
        <v>4.4598908359999996</v>
      </c>
      <c r="M842">
        <v>0.65950670499999997</v>
      </c>
      <c r="N842">
        <v>-3.2243155936185657</v>
      </c>
      <c r="O842">
        <v>4.0590469896029116E-2</v>
      </c>
    </row>
    <row r="843" spans="1:15" x14ac:dyDescent="0.3">
      <c r="A843">
        <v>2019</v>
      </c>
      <c r="B843">
        <v>81</v>
      </c>
      <c r="C843" t="s">
        <v>11</v>
      </c>
      <c r="D843">
        <v>34649</v>
      </c>
      <c r="E843">
        <v>788013</v>
      </c>
      <c r="F843">
        <v>4.3970000000000002E-2</v>
      </c>
      <c r="G843">
        <v>0.95603000000000005</v>
      </c>
      <c r="H843">
        <v>63326.965649999998</v>
      </c>
      <c r="I843">
        <v>2784.49</v>
      </c>
      <c r="J843">
        <v>61934.722309999997</v>
      </c>
      <c r="K843">
        <v>229493.97839999999</v>
      </c>
      <c r="L843">
        <v>3.6239534940000002</v>
      </c>
      <c r="M843">
        <v>0.63326965700000004</v>
      </c>
      <c r="N843">
        <v>-3.1242476957894181</v>
      </c>
      <c r="O843">
        <v>4.4958466265476379E-2</v>
      </c>
    </row>
    <row r="844" spans="1:15" x14ac:dyDescent="0.3">
      <c r="A844">
        <v>2019</v>
      </c>
      <c r="B844">
        <v>82</v>
      </c>
      <c r="C844" t="s">
        <v>11</v>
      </c>
      <c r="D844">
        <v>35705</v>
      </c>
      <c r="E844">
        <v>715575</v>
      </c>
      <c r="F844">
        <v>4.9896999999999997E-2</v>
      </c>
      <c r="G844">
        <v>0.95010300000000003</v>
      </c>
      <c r="H844">
        <v>60542.473469999997</v>
      </c>
      <c r="I844">
        <v>3020.89</v>
      </c>
      <c r="J844">
        <v>59032.029569999999</v>
      </c>
      <c r="K844">
        <v>167559.2561</v>
      </c>
      <c r="L844">
        <v>2.7676314909999999</v>
      </c>
      <c r="M844">
        <v>0.60542473500000005</v>
      </c>
      <c r="N844">
        <v>-2.9977943982724393</v>
      </c>
      <c r="O844">
        <v>5.1173742843125133E-2</v>
      </c>
    </row>
    <row r="845" spans="1:15" x14ac:dyDescent="0.3">
      <c r="A845">
        <v>2019</v>
      </c>
      <c r="B845">
        <v>83</v>
      </c>
      <c r="C845" t="s">
        <v>11</v>
      </c>
      <c r="D845">
        <v>37703</v>
      </c>
      <c r="E845">
        <v>671025</v>
      </c>
      <c r="F845">
        <v>5.6187000000000001E-2</v>
      </c>
      <c r="G845">
        <v>0.94381300000000001</v>
      </c>
      <c r="H845">
        <v>57521.589549999997</v>
      </c>
      <c r="I845">
        <v>3231.97</v>
      </c>
      <c r="J845">
        <v>55905.606769999999</v>
      </c>
      <c r="K845">
        <v>108527.2265</v>
      </c>
      <c r="L845">
        <v>1.8867216179999999</v>
      </c>
      <c r="M845">
        <v>0.575215896</v>
      </c>
      <c r="N845">
        <v>-2.8790698655663105</v>
      </c>
      <c r="O845">
        <v>5.7811201413113487E-2</v>
      </c>
    </row>
    <row r="846" spans="1:15" x14ac:dyDescent="0.3">
      <c r="A846">
        <v>2019</v>
      </c>
      <c r="B846">
        <v>84</v>
      </c>
      <c r="C846" t="s">
        <v>11</v>
      </c>
      <c r="D846">
        <v>38788</v>
      </c>
      <c r="E846">
        <v>631230</v>
      </c>
      <c r="F846">
        <v>6.1448000000000003E-2</v>
      </c>
      <c r="G846">
        <v>0.93855200000000005</v>
      </c>
      <c r="H846">
        <v>54289.613850000002</v>
      </c>
      <c r="I846">
        <v>3335.99</v>
      </c>
      <c r="J846">
        <v>52621.619749999998</v>
      </c>
      <c r="K846">
        <v>52621.619749999998</v>
      </c>
      <c r="L846">
        <v>0.96927600000000003</v>
      </c>
      <c r="M846">
        <v>0.542896139</v>
      </c>
      <c r="N846">
        <v>-2.7895639902857563</v>
      </c>
      <c r="O846">
        <v>4.3243221844384699E-2</v>
      </c>
    </row>
    <row r="847" spans="1:15" x14ac:dyDescent="0.3">
      <c r="A847">
        <v>2019</v>
      </c>
      <c r="B847">
        <v>20</v>
      </c>
      <c r="C847" t="s">
        <v>12</v>
      </c>
      <c r="D847">
        <v>2452</v>
      </c>
      <c r="E847">
        <v>2183139</v>
      </c>
      <c r="F847">
        <v>1.1230000000000001E-3</v>
      </c>
      <c r="G847">
        <v>0.99887700000000001</v>
      </c>
      <c r="H847">
        <v>100000</v>
      </c>
      <c r="I847">
        <v>112.3</v>
      </c>
      <c r="J847">
        <v>99943.85</v>
      </c>
      <c r="K847">
        <v>5490469.4610000001</v>
      </c>
      <c r="L847">
        <v>54.90469461</v>
      </c>
      <c r="M847">
        <v>1</v>
      </c>
      <c r="N847">
        <v>-6.7917516032258307</v>
      </c>
      <c r="O847">
        <v>1.123631004991801E-3</v>
      </c>
    </row>
    <row r="848" spans="1:15" x14ac:dyDescent="0.3">
      <c r="A848">
        <v>2019</v>
      </c>
      <c r="B848">
        <v>21</v>
      </c>
      <c r="C848" t="s">
        <v>12</v>
      </c>
      <c r="D848">
        <v>2871</v>
      </c>
      <c r="E848">
        <v>2187086</v>
      </c>
      <c r="F848">
        <v>1.3129999999999999E-3</v>
      </c>
      <c r="G848">
        <v>0.99868699999999999</v>
      </c>
      <c r="H848">
        <v>99887.684659999999</v>
      </c>
      <c r="I848">
        <v>131.15</v>
      </c>
      <c r="J848">
        <v>99822.108399999997</v>
      </c>
      <c r="K848">
        <v>5390525.6109999996</v>
      </c>
      <c r="L848">
        <v>53.965868059999998</v>
      </c>
      <c r="M848">
        <v>0.99887684700000001</v>
      </c>
      <c r="N848">
        <v>-6.6354406836614777</v>
      </c>
      <c r="O848">
        <v>1.3138370125489749E-3</v>
      </c>
    </row>
    <row r="849" spans="1:15" x14ac:dyDescent="0.3">
      <c r="A849">
        <v>2019</v>
      </c>
      <c r="B849">
        <v>22</v>
      </c>
      <c r="C849" t="s">
        <v>12</v>
      </c>
      <c r="D849">
        <v>2909</v>
      </c>
      <c r="E849">
        <v>2195296</v>
      </c>
      <c r="F849">
        <v>1.325E-3</v>
      </c>
      <c r="G849">
        <v>0.99867499999999998</v>
      </c>
      <c r="H849">
        <v>99756.561539999995</v>
      </c>
      <c r="I849">
        <v>132.18</v>
      </c>
      <c r="J849">
        <v>99690.472819999995</v>
      </c>
      <c r="K849">
        <v>5290703.5029999996</v>
      </c>
      <c r="L849">
        <v>53.036145400000002</v>
      </c>
      <c r="M849">
        <v>0.99756561499999996</v>
      </c>
      <c r="N849">
        <v>-6.6263428195439511</v>
      </c>
      <c r="O849">
        <v>1.3259041037220825E-3</v>
      </c>
    </row>
    <row r="850" spans="1:15" x14ac:dyDescent="0.3">
      <c r="A850">
        <v>2019</v>
      </c>
      <c r="B850">
        <v>23</v>
      </c>
      <c r="C850" t="s">
        <v>12</v>
      </c>
      <c r="D850">
        <v>2979</v>
      </c>
      <c r="E850">
        <v>2221758</v>
      </c>
      <c r="F850">
        <v>1.341E-3</v>
      </c>
      <c r="G850">
        <v>0.99865899999999996</v>
      </c>
      <c r="H850">
        <v>99624.373519999994</v>
      </c>
      <c r="I850">
        <v>133.6</v>
      </c>
      <c r="J850">
        <v>99557.575379999995</v>
      </c>
      <c r="K850">
        <v>5191013.03</v>
      </c>
      <c r="L850">
        <v>52.105853680000003</v>
      </c>
      <c r="M850">
        <v>0.99624373499999996</v>
      </c>
      <c r="N850">
        <v>-6.6143396746825953</v>
      </c>
      <c r="O850">
        <v>1.341936945905697E-3</v>
      </c>
    </row>
    <row r="851" spans="1:15" x14ac:dyDescent="0.3">
      <c r="A851">
        <v>2019</v>
      </c>
      <c r="B851">
        <v>24</v>
      </c>
      <c r="C851" t="s">
        <v>12</v>
      </c>
      <c r="D851">
        <v>3176</v>
      </c>
      <c r="E851">
        <v>2277473</v>
      </c>
      <c r="F851">
        <v>1.395E-3</v>
      </c>
      <c r="G851">
        <v>0.99860499999999996</v>
      </c>
      <c r="H851">
        <v>99490.794160000005</v>
      </c>
      <c r="I851">
        <v>138.79</v>
      </c>
      <c r="J851">
        <v>99421.39933</v>
      </c>
      <c r="K851">
        <v>5091455.4539999999</v>
      </c>
      <c r="L851">
        <v>51.175141349999997</v>
      </c>
      <c r="M851">
        <v>0.99490794199999999</v>
      </c>
      <c r="N851">
        <v>-6.5748608637088077</v>
      </c>
      <c r="O851">
        <v>1.3959768034321482E-3</v>
      </c>
    </row>
    <row r="852" spans="1:15" x14ac:dyDescent="0.3">
      <c r="A852">
        <v>2019</v>
      </c>
      <c r="B852">
        <v>25</v>
      </c>
      <c r="C852" t="s">
        <v>12</v>
      </c>
      <c r="D852">
        <v>3481</v>
      </c>
      <c r="E852">
        <v>2325853</v>
      </c>
      <c r="F852">
        <v>1.4970000000000001E-3</v>
      </c>
      <c r="G852">
        <v>0.99850300000000003</v>
      </c>
      <c r="H852">
        <v>99352.051449999999</v>
      </c>
      <c r="I852">
        <v>148.72999999999999</v>
      </c>
      <c r="J852">
        <v>99277.686440000005</v>
      </c>
      <c r="K852">
        <v>4992034.0549999997</v>
      </c>
      <c r="L852">
        <v>50.245908180000001</v>
      </c>
      <c r="M852">
        <v>0.99352051500000005</v>
      </c>
      <c r="N852">
        <v>-6.5042921735446457</v>
      </c>
      <c r="O852">
        <v>1.4981208735870037E-3</v>
      </c>
    </row>
    <row r="853" spans="1:15" x14ac:dyDescent="0.3">
      <c r="A853">
        <v>2019</v>
      </c>
      <c r="B853">
        <v>26</v>
      </c>
      <c r="C853" t="s">
        <v>12</v>
      </c>
      <c r="D853">
        <v>3696</v>
      </c>
      <c r="E853">
        <v>2365886</v>
      </c>
      <c r="F853">
        <v>1.562E-3</v>
      </c>
      <c r="G853">
        <v>0.99843800000000005</v>
      </c>
      <c r="H853">
        <v>99203.355689999997</v>
      </c>
      <c r="I853">
        <v>154.96</v>
      </c>
      <c r="J853">
        <v>99125.877869999997</v>
      </c>
      <c r="K853">
        <v>4892756.3689999999</v>
      </c>
      <c r="L853">
        <v>49.320472420000002</v>
      </c>
      <c r="M853">
        <v>0.99203355699999995</v>
      </c>
      <c r="N853">
        <v>-6.461788227564643</v>
      </c>
      <c r="O853">
        <v>1.5632650046529207E-3</v>
      </c>
    </row>
    <row r="854" spans="1:15" x14ac:dyDescent="0.3">
      <c r="A854">
        <v>2019</v>
      </c>
      <c r="B854">
        <v>27</v>
      </c>
      <c r="C854" t="s">
        <v>12</v>
      </c>
      <c r="D854">
        <v>3864</v>
      </c>
      <c r="E854">
        <v>2421270</v>
      </c>
      <c r="F854">
        <v>1.596E-3</v>
      </c>
      <c r="G854">
        <v>0.99840399999999996</v>
      </c>
      <c r="H854">
        <v>99048.379669999995</v>
      </c>
      <c r="I854">
        <v>158.08000000000001</v>
      </c>
      <c r="J854">
        <v>98969.339059999998</v>
      </c>
      <c r="K854">
        <v>4793630.4910000004</v>
      </c>
      <c r="L854">
        <v>48.396859259999999</v>
      </c>
      <c r="M854">
        <v>0.990483797</v>
      </c>
      <c r="N854">
        <v>-6.44025477995452</v>
      </c>
      <c r="O854">
        <v>1.5972622447401478E-3</v>
      </c>
    </row>
    <row r="855" spans="1:15" x14ac:dyDescent="0.3">
      <c r="A855">
        <v>2019</v>
      </c>
      <c r="B855">
        <v>28</v>
      </c>
      <c r="C855" t="s">
        <v>12</v>
      </c>
      <c r="D855">
        <v>4129</v>
      </c>
      <c r="E855">
        <v>2451756</v>
      </c>
      <c r="F855">
        <v>1.684E-3</v>
      </c>
      <c r="G855">
        <v>0.99831599999999998</v>
      </c>
      <c r="H855">
        <v>98890.312640000004</v>
      </c>
      <c r="I855">
        <v>166.53</v>
      </c>
      <c r="J855">
        <v>98807.047000000006</v>
      </c>
      <c r="K855">
        <v>4694661.1519999998</v>
      </c>
      <c r="L855">
        <v>47.473418039999999</v>
      </c>
      <c r="M855">
        <v>0.98890312599999997</v>
      </c>
      <c r="N855">
        <v>-6.3865833631620017</v>
      </c>
      <c r="O855">
        <v>1.6854061862459095E-3</v>
      </c>
    </row>
    <row r="856" spans="1:15" x14ac:dyDescent="0.3">
      <c r="A856">
        <v>2019</v>
      </c>
      <c r="B856">
        <v>29</v>
      </c>
      <c r="C856" t="s">
        <v>12</v>
      </c>
      <c r="D856">
        <v>4272</v>
      </c>
      <c r="E856">
        <v>2439805</v>
      </c>
      <c r="F856">
        <v>1.751E-3</v>
      </c>
      <c r="G856">
        <v>0.99824900000000005</v>
      </c>
      <c r="H856">
        <v>98723.771559999994</v>
      </c>
      <c r="I856">
        <v>172.87</v>
      </c>
      <c r="J856">
        <v>98637.338900000002</v>
      </c>
      <c r="K856">
        <v>4595854.1050000004</v>
      </c>
      <c r="L856">
        <v>46.552659319999997</v>
      </c>
      <c r="M856">
        <v>0.98723771599999999</v>
      </c>
      <c r="N856">
        <v>-6.3475682256784225</v>
      </c>
      <c r="O856">
        <v>1.752581714391348E-3</v>
      </c>
    </row>
    <row r="857" spans="1:15" x14ac:dyDescent="0.3">
      <c r="A857">
        <v>2019</v>
      </c>
      <c r="B857">
        <v>30</v>
      </c>
      <c r="C857" t="s">
        <v>12</v>
      </c>
      <c r="D857">
        <v>4301</v>
      </c>
      <c r="E857">
        <v>2340865</v>
      </c>
      <c r="F857">
        <v>1.8370000000000001E-3</v>
      </c>
      <c r="G857">
        <v>0.99816300000000002</v>
      </c>
      <c r="H857">
        <v>98550.910220000005</v>
      </c>
      <c r="I857">
        <v>181.04</v>
      </c>
      <c r="J857">
        <v>98460.391210000002</v>
      </c>
      <c r="K857">
        <v>4497216.7659999998</v>
      </c>
      <c r="L857">
        <v>45.633437129999997</v>
      </c>
      <c r="M857">
        <v>0.98550910199999997</v>
      </c>
      <c r="N857">
        <v>-6.2996214727491484</v>
      </c>
      <c r="O857">
        <v>1.8387092508387038E-3</v>
      </c>
    </row>
    <row r="858" spans="1:15" x14ac:dyDescent="0.3">
      <c r="A858">
        <v>2019</v>
      </c>
      <c r="B858">
        <v>31</v>
      </c>
      <c r="C858" t="s">
        <v>12</v>
      </c>
      <c r="D858">
        <v>4282</v>
      </c>
      <c r="E858">
        <v>2281327</v>
      </c>
      <c r="F858">
        <v>1.877E-3</v>
      </c>
      <c r="G858">
        <v>0.99812299999999998</v>
      </c>
      <c r="H858">
        <v>98369.837220000001</v>
      </c>
      <c r="I858">
        <v>184.64</v>
      </c>
      <c r="J858">
        <v>98277.517129999993</v>
      </c>
      <c r="K858">
        <v>4398756.375</v>
      </c>
      <c r="L858">
        <v>44.716515739999998</v>
      </c>
      <c r="M858">
        <v>0.98369837199999999</v>
      </c>
      <c r="N858">
        <v>-6.2780805213777651</v>
      </c>
      <c r="O858">
        <v>1.8787613214516926E-3</v>
      </c>
    </row>
    <row r="859" spans="1:15" x14ac:dyDescent="0.3">
      <c r="A859">
        <v>2019</v>
      </c>
      <c r="B859">
        <v>32</v>
      </c>
      <c r="C859" t="s">
        <v>12</v>
      </c>
      <c r="D859">
        <v>4269</v>
      </c>
      <c r="E859">
        <v>2239886</v>
      </c>
      <c r="F859">
        <v>1.9059999999999999E-3</v>
      </c>
      <c r="G859">
        <v>0.99809400000000004</v>
      </c>
      <c r="H859">
        <v>98185.199219999995</v>
      </c>
      <c r="I859">
        <v>187.14</v>
      </c>
      <c r="J859">
        <v>98091.628729999997</v>
      </c>
      <c r="K859">
        <v>4300478.8569999998</v>
      </c>
      <c r="L859">
        <v>43.799665240000003</v>
      </c>
      <c r="M859">
        <v>0.98185199199999995</v>
      </c>
      <c r="N859">
        <v>-6.2627484737501264</v>
      </c>
      <c r="O859">
        <v>1.9078079661063057E-3</v>
      </c>
    </row>
    <row r="860" spans="1:15" x14ac:dyDescent="0.3">
      <c r="A860">
        <v>2019</v>
      </c>
      <c r="B860">
        <v>33</v>
      </c>
      <c r="C860" t="s">
        <v>12</v>
      </c>
      <c r="D860">
        <v>4410</v>
      </c>
      <c r="E860">
        <v>2243280</v>
      </c>
      <c r="F860">
        <v>1.9659999999999999E-3</v>
      </c>
      <c r="G860">
        <v>0.99803399999999998</v>
      </c>
      <c r="H860">
        <v>97998.067989999996</v>
      </c>
      <c r="I860">
        <v>192.66</v>
      </c>
      <c r="J860">
        <v>97901.735889999996</v>
      </c>
      <c r="K860">
        <v>4202387.2290000003</v>
      </c>
      <c r="L860">
        <v>42.882347729999999</v>
      </c>
      <c r="M860">
        <v>0.97998068000000005</v>
      </c>
      <c r="N860">
        <v>-6.2317542572571627</v>
      </c>
      <c r="O860">
        <v>1.9678914357427945E-3</v>
      </c>
    </row>
    <row r="861" spans="1:15" x14ac:dyDescent="0.3">
      <c r="A861">
        <v>2019</v>
      </c>
      <c r="B861">
        <v>34</v>
      </c>
      <c r="C861" t="s">
        <v>12</v>
      </c>
      <c r="D861">
        <v>4647</v>
      </c>
      <c r="E861">
        <v>2249252</v>
      </c>
      <c r="F861">
        <v>2.0660000000000001E-3</v>
      </c>
      <c r="G861">
        <v>0.99793399999999999</v>
      </c>
      <c r="H861">
        <v>97805.416389999999</v>
      </c>
      <c r="I861">
        <v>202.07</v>
      </c>
      <c r="J861">
        <v>97704.383390000003</v>
      </c>
      <c r="K861">
        <v>4104485.4929999998</v>
      </c>
      <c r="L861">
        <v>41.965830160000003</v>
      </c>
      <c r="M861">
        <v>0.978054164</v>
      </c>
      <c r="N861">
        <v>-6.1821409082846905</v>
      </c>
      <c r="O861">
        <v>2.068177445224998E-3</v>
      </c>
    </row>
    <row r="862" spans="1:15" x14ac:dyDescent="0.3">
      <c r="A862">
        <v>2019</v>
      </c>
      <c r="B862">
        <v>35</v>
      </c>
      <c r="C862" t="s">
        <v>12</v>
      </c>
      <c r="D862">
        <v>4671</v>
      </c>
      <c r="E862">
        <v>2167622</v>
      </c>
      <c r="F862">
        <v>2.1549999999999998E-3</v>
      </c>
      <c r="G862">
        <v>0.99784499999999998</v>
      </c>
      <c r="H862">
        <v>97603.348429999998</v>
      </c>
      <c r="I862">
        <v>210.34</v>
      </c>
      <c r="J862">
        <v>97498.180819999994</v>
      </c>
      <c r="K862">
        <v>4006781.1090000002</v>
      </c>
      <c r="L862">
        <v>41.051676749999999</v>
      </c>
      <c r="M862">
        <v>0.97603348400000001</v>
      </c>
      <c r="N862">
        <v>-6.1399645554264257</v>
      </c>
      <c r="O862">
        <v>2.1573734737560897E-3</v>
      </c>
    </row>
    <row r="863" spans="1:15" x14ac:dyDescent="0.3">
      <c r="A863">
        <v>2019</v>
      </c>
      <c r="B863">
        <v>36</v>
      </c>
      <c r="C863" t="s">
        <v>12</v>
      </c>
      <c r="D863">
        <v>4854</v>
      </c>
      <c r="E863">
        <v>2191368</v>
      </c>
      <c r="F863">
        <v>2.215E-3</v>
      </c>
      <c r="G863">
        <v>0.99778500000000003</v>
      </c>
      <c r="H863">
        <v>97393.023369999995</v>
      </c>
      <c r="I863">
        <v>215.73</v>
      </c>
      <c r="J863">
        <v>97285.160600000003</v>
      </c>
      <c r="K863">
        <v>3909282.929</v>
      </c>
      <c r="L863">
        <v>40.139250160000003</v>
      </c>
      <c r="M863">
        <v>0.97393023400000001</v>
      </c>
      <c r="N863">
        <v>-6.1125028754850383</v>
      </c>
      <c r="O863">
        <v>2.217501668191001E-3</v>
      </c>
    </row>
    <row r="864" spans="1:15" x14ac:dyDescent="0.3">
      <c r="A864">
        <v>2019</v>
      </c>
      <c r="B864">
        <v>37</v>
      </c>
      <c r="C864" t="s">
        <v>12</v>
      </c>
      <c r="D864">
        <v>5066</v>
      </c>
      <c r="E864">
        <v>2181162</v>
      </c>
      <c r="F864">
        <v>2.323E-3</v>
      </c>
      <c r="G864">
        <v>0.99767700000000004</v>
      </c>
      <c r="H864">
        <v>97177.292490000007</v>
      </c>
      <c r="I864">
        <v>225.74</v>
      </c>
      <c r="J864">
        <v>97064.421059999993</v>
      </c>
      <c r="K864">
        <v>3811997.7680000002</v>
      </c>
      <c r="L864">
        <v>39.227248160000002</v>
      </c>
      <c r="M864">
        <v>0.97177292500000001</v>
      </c>
      <c r="N864">
        <v>-6.0648958251938652</v>
      </c>
      <c r="O864">
        <v>2.3256714873802682E-3</v>
      </c>
    </row>
    <row r="865" spans="1:15" x14ac:dyDescent="0.3">
      <c r="A865">
        <v>2019</v>
      </c>
      <c r="B865">
        <v>38</v>
      </c>
      <c r="C865" t="s">
        <v>12</v>
      </c>
      <c r="D865">
        <v>5281</v>
      </c>
      <c r="E865">
        <v>2149359</v>
      </c>
      <c r="F865">
        <v>2.457E-3</v>
      </c>
      <c r="G865">
        <v>0.99754299999999996</v>
      </c>
      <c r="H865">
        <v>96951.587039999999</v>
      </c>
      <c r="I865">
        <v>238.21</v>
      </c>
      <c r="J865">
        <v>96832.482019999996</v>
      </c>
      <c r="K865">
        <v>3714933.3470000001</v>
      </c>
      <c r="L865">
        <v>38.317406249999998</v>
      </c>
      <c r="M865">
        <v>0.96951586999999995</v>
      </c>
      <c r="N865">
        <v>-6.0088141854430948</v>
      </c>
      <c r="O865">
        <v>2.4600216418392737E-3</v>
      </c>
    </row>
    <row r="866" spans="1:15" x14ac:dyDescent="0.3">
      <c r="A866">
        <v>2019</v>
      </c>
      <c r="B866">
        <v>39</v>
      </c>
      <c r="C866" t="s">
        <v>12</v>
      </c>
      <c r="D866">
        <v>5369</v>
      </c>
      <c r="E866">
        <v>2195430</v>
      </c>
      <c r="F866">
        <v>2.4459999999999998E-3</v>
      </c>
      <c r="G866">
        <v>0.99755400000000005</v>
      </c>
      <c r="H866">
        <v>96713.37586</v>
      </c>
      <c r="I866">
        <v>236.56</v>
      </c>
      <c r="J866">
        <v>96595.095400000006</v>
      </c>
      <c r="K866">
        <v>3618100.8650000002</v>
      </c>
      <c r="L866">
        <v>37.41055291</v>
      </c>
      <c r="M866">
        <v>0.96713375899999998</v>
      </c>
      <c r="N866">
        <v>-6.0133012417171567</v>
      </c>
      <c r="O866">
        <v>2.4489850534724607E-3</v>
      </c>
    </row>
    <row r="867" spans="1:15" x14ac:dyDescent="0.3">
      <c r="A867">
        <v>2019</v>
      </c>
      <c r="B867">
        <v>40</v>
      </c>
      <c r="C867" t="s">
        <v>12</v>
      </c>
      <c r="D867">
        <v>5628</v>
      </c>
      <c r="E867">
        <v>2046663</v>
      </c>
      <c r="F867">
        <v>2.7499999999999998E-3</v>
      </c>
      <c r="G867">
        <v>0.99724999999999997</v>
      </c>
      <c r="H867">
        <v>96476.859960000002</v>
      </c>
      <c r="I867">
        <v>265.31</v>
      </c>
      <c r="J867">
        <v>96344.204280000005</v>
      </c>
      <c r="K867">
        <v>3521505.77</v>
      </c>
      <c r="L867">
        <v>36.50104047</v>
      </c>
      <c r="M867">
        <v>0.96476859999999998</v>
      </c>
      <c r="N867">
        <v>-5.8961543673036569</v>
      </c>
      <c r="O867">
        <v>2.7537720718411821E-3</v>
      </c>
    </row>
    <row r="868" spans="1:15" x14ac:dyDescent="0.3">
      <c r="A868">
        <v>2019</v>
      </c>
      <c r="B868">
        <v>41</v>
      </c>
      <c r="C868" t="s">
        <v>12</v>
      </c>
      <c r="D868">
        <v>5385</v>
      </c>
      <c r="E868">
        <v>2001502</v>
      </c>
      <c r="F868">
        <v>2.6900000000000001E-3</v>
      </c>
      <c r="G868">
        <v>0.99731000000000003</v>
      </c>
      <c r="H868">
        <v>96211.563829999999</v>
      </c>
      <c r="I868">
        <v>258.81</v>
      </c>
      <c r="J868">
        <v>96082.159280000007</v>
      </c>
      <c r="K868">
        <v>3425161.5649999999</v>
      </c>
      <c r="L868">
        <v>35.600310700000001</v>
      </c>
      <c r="M868">
        <v>0.962115638</v>
      </c>
      <c r="N868">
        <v>-5.9182140853683896</v>
      </c>
      <c r="O868">
        <v>2.6936328667207928E-3</v>
      </c>
    </row>
    <row r="869" spans="1:15" x14ac:dyDescent="0.3">
      <c r="A869">
        <v>2019</v>
      </c>
      <c r="B869">
        <v>42</v>
      </c>
      <c r="C869" t="s">
        <v>12</v>
      </c>
      <c r="D869">
        <v>5655</v>
      </c>
      <c r="E869">
        <v>1972584</v>
      </c>
      <c r="F869">
        <v>2.8670000000000002E-3</v>
      </c>
      <c r="G869">
        <v>0.99713300000000005</v>
      </c>
      <c r="H869">
        <v>95952.708589999995</v>
      </c>
      <c r="I869">
        <v>275.10000000000002</v>
      </c>
      <c r="J869">
        <v>95815.160380000001</v>
      </c>
      <c r="K869">
        <v>3329079.406</v>
      </c>
      <c r="L869">
        <v>34.69500189</v>
      </c>
      <c r="M869">
        <v>0.95952708600000003</v>
      </c>
      <c r="N869">
        <v>-5.8544890920809038</v>
      </c>
      <c r="O869">
        <v>2.8711528644057025E-3</v>
      </c>
    </row>
    <row r="870" spans="1:15" x14ac:dyDescent="0.3">
      <c r="A870">
        <v>2019</v>
      </c>
      <c r="B870">
        <v>43</v>
      </c>
      <c r="C870" t="s">
        <v>12</v>
      </c>
      <c r="D870">
        <v>5558</v>
      </c>
      <c r="E870">
        <v>1913289</v>
      </c>
      <c r="F870">
        <v>2.905E-3</v>
      </c>
      <c r="G870">
        <v>0.99709499999999995</v>
      </c>
      <c r="H870">
        <v>95677.631550000006</v>
      </c>
      <c r="I870">
        <v>277.94</v>
      </c>
      <c r="J870">
        <v>95538.659790000005</v>
      </c>
      <c r="K870">
        <v>3233264.2459999998</v>
      </c>
      <c r="L870">
        <v>33.793314000000002</v>
      </c>
      <c r="M870">
        <v>0.95677631600000002</v>
      </c>
      <c r="N870">
        <v>-5.8413218886782623</v>
      </c>
      <c r="O870">
        <v>2.9091887305453213E-3</v>
      </c>
    </row>
    <row r="871" spans="1:15" x14ac:dyDescent="0.3">
      <c r="A871">
        <v>2019</v>
      </c>
      <c r="B871">
        <v>44</v>
      </c>
      <c r="C871" t="s">
        <v>12</v>
      </c>
      <c r="D871">
        <v>5969</v>
      </c>
      <c r="E871">
        <v>1973101</v>
      </c>
      <c r="F871">
        <v>3.0249999999999999E-3</v>
      </c>
      <c r="G871">
        <v>0.99697499999999994</v>
      </c>
      <c r="H871">
        <v>95399.69326</v>
      </c>
      <c r="I871">
        <v>288.58</v>
      </c>
      <c r="J871">
        <v>95255.40122</v>
      </c>
      <c r="K871">
        <v>3137725.5860000001</v>
      </c>
      <c r="L871">
        <v>32.890311050000001</v>
      </c>
      <c r="M871">
        <v>0.95399693299999999</v>
      </c>
      <c r="N871">
        <v>-5.8008441874993322</v>
      </c>
      <c r="O871">
        <v>3.0295397778787518E-3</v>
      </c>
    </row>
    <row r="872" spans="1:15" x14ac:dyDescent="0.3">
      <c r="A872">
        <v>2019</v>
      </c>
      <c r="B872">
        <v>45</v>
      </c>
      <c r="C872" t="s">
        <v>12</v>
      </c>
      <c r="D872">
        <v>6309</v>
      </c>
      <c r="E872">
        <v>1900492</v>
      </c>
      <c r="F872">
        <v>3.32E-3</v>
      </c>
      <c r="G872">
        <v>0.99668000000000001</v>
      </c>
      <c r="H872">
        <v>95111.091320000007</v>
      </c>
      <c r="I872">
        <v>315.77</v>
      </c>
      <c r="J872">
        <v>94953.206909999994</v>
      </c>
      <c r="K872">
        <v>3042470.1850000001</v>
      </c>
      <c r="L872">
        <v>31.988595050000001</v>
      </c>
      <c r="M872">
        <v>0.95111091299999995</v>
      </c>
      <c r="N872">
        <v>-5.7077904960537396</v>
      </c>
      <c r="O872">
        <v>3.3255322022942568E-3</v>
      </c>
    </row>
    <row r="873" spans="1:15" x14ac:dyDescent="0.3">
      <c r="A873">
        <v>2019</v>
      </c>
      <c r="B873">
        <v>46</v>
      </c>
      <c r="C873" t="s">
        <v>12</v>
      </c>
      <c r="D873">
        <v>6937</v>
      </c>
      <c r="E873">
        <v>1919298</v>
      </c>
      <c r="F873">
        <v>3.614E-3</v>
      </c>
      <c r="G873">
        <v>0.99638599999999999</v>
      </c>
      <c r="H873">
        <v>94795.354200000002</v>
      </c>
      <c r="I873">
        <v>342.59</v>
      </c>
      <c r="J873">
        <v>94624.058990000005</v>
      </c>
      <c r="K873">
        <v>2947516.9780000001</v>
      </c>
      <c r="L873">
        <v>31.09347502</v>
      </c>
      <c r="M873">
        <v>0.94795354200000004</v>
      </c>
      <c r="N873">
        <v>-5.6229400868121004</v>
      </c>
      <c r="O873">
        <v>3.6205386070084097E-3</v>
      </c>
    </row>
    <row r="874" spans="1:15" x14ac:dyDescent="0.3">
      <c r="A874">
        <v>2019</v>
      </c>
      <c r="B874">
        <v>47</v>
      </c>
      <c r="C874" t="s">
        <v>12</v>
      </c>
      <c r="D874">
        <v>7793</v>
      </c>
      <c r="E874">
        <v>2005221</v>
      </c>
      <c r="F874">
        <v>3.8860000000000001E-3</v>
      </c>
      <c r="G874">
        <v>0.99611400000000005</v>
      </c>
      <c r="H874">
        <v>94452.731339999998</v>
      </c>
      <c r="I874">
        <v>367.04</v>
      </c>
      <c r="J874">
        <v>94269.20968</v>
      </c>
      <c r="K874">
        <v>2852892.9190000002</v>
      </c>
      <c r="L874">
        <v>30.204451240000001</v>
      </c>
      <c r="M874">
        <v>0.94452731300000004</v>
      </c>
      <c r="N874">
        <v>-5.5503749280268888</v>
      </c>
      <c r="O874">
        <v>3.8935307344052424E-3</v>
      </c>
    </row>
    <row r="875" spans="1:15" x14ac:dyDescent="0.3">
      <c r="A875">
        <v>2019</v>
      </c>
      <c r="B875">
        <v>48</v>
      </c>
      <c r="C875" t="s">
        <v>12</v>
      </c>
      <c r="D875">
        <v>8843</v>
      </c>
      <c r="E875">
        <v>2114614</v>
      </c>
      <c r="F875">
        <v>4.182E-3</v>
      </c>
      <c r="G875">
        <v>0.99581799999999998</v>
      </c>
      <c r="H875">
        <v>94085.65453</v>
      </c>
      <c r="I875">
        <v>393.47</v>
      </c>
      <c r="J875">
        <v>93888.921430000002</v>
      </c>
      <c r="K875">
        <v>2758623.7089999998</v>
      </c>
      <c r="L875">
        <v>29.3203435</v>
      </c>
      <c r="M875">
        <v>0.94085654500000004</v>
      </c>
      <c r="N875">
        <v>-5.476965677975695</v>
      </c>
      <c r="O875">
        <v>4.1908029678871042E-3</v>
      </c>
    </row>
    <row r="876" spans="1:15" x14ac:dyDescent="0.3">
      <c r="A876">
        <v>2019</v>
      </c>
      <c r="B876">
        <v>49</v>
      </c>
      <c r="C876" t="s">
        <v>12</v>
      </c>
      <c r="D876">
        <v>9476</v>
      </c>
      <c r="E876">
        <v>2145730</v>
      </c>
      <c r="F876">
        <v>4.4159999999999998E-3</v>
      </c>
      <c r="G876">
        <v>0.99558400000000002</v>
      </c>
      <c r="H876">
        <v>93692.202369999999</v>
      </c>
      <c r="I876">
        <v>413.74</v>
      </c>
      <c r="J876">
        <v>93485.329989999998</v>
      </c>
      <c r="K876">
        <v>2664734.7880000002</v>
      </c>
      <c r="L876">
        <v>28.44137207</v>
      </c>
      <c r="M876">
        <v>0.93692202400000002</v>
      </c>
      <c r="N876">
        <v>-5.4225209700073433</v>
      </c>
      <c r="O876">
        <v>4.42572159874253E-3</v>
      </c>
    </row>
    <row r="877" spans="1:15" x14ac:dyDescent="0.3">
      <c r="A877">
        <v>2019</v>
      </c>
      <c r="B877">
        <v>50</v>
      </c>
      <c r="C877" t="s">
        <v>12</v>
      </c>
      <c r="D877">
        <v>9940</v>
      </c>
      <c r="E877">
        <v>2025376</v>
      </c>
      <c r="F877">
        <v>4.908E-3</v>
      </c>
      <c r="G877">
        <v>0.99509199999999998</v>
      </c>
      <c r="H877">
        <v>93278.437680000003</v>
      </c>
      <c r="I877">
        <v>457.81</v>
      </c>
      <c r="J877">
        <v>93049.532389999993</v>
      </c>
      <c r="K877">
        <v>2571249.4580000001</v>
      </c>
      <c r="L877">
        <v>27.565314359999999</v>
      </c>
      <c r="M877">
        <v>0.93278437700000005</v>
      </c>
      <c r="N877">
        <v>-5.3168887521334725</v>
      </c>
      <c r="O877">
        <v>4.9200670483816227E-3</v>
      </c>
    </row>
    <row r="878" spans="1:15" x14ac:dyDescent="0.3">
      <c r="A878">
        <v>2019</v>
      </c>
      <c r="B878">
        <v>51</v>
      </c>
      <c r="C878" t="s">
        <v>12</v>
      </c>
      <c r="D878">
        <v>10653</v>
      </c>
      <c r="E878">
        <v>1976883</v>
      </c>
      <c r="F878">
        <v>5.3889999999999997E-3</v>
      </c>
      <c r="G878">
        <v>0.99461100000000002</v>
      </c>
      <c r="H878">
        <v>92820.652230000007</v>
      </c>
      <c r="I878">
        <v>500.21</v>
      </c>
      <c r="J878">
        <v>92570.546979999999</v>
      </c>
      <c r="K878">
        <v>2478199.9249999998</v>
      </c>
      <c r="L878">
        <v>26.698798870000001</v>
      </c>
      <c r="M878">
        <v>0.92820652199999998</v>
      </c>
      <c r="N878">
        <v>-5.2233954400307772</v>
      </c>
      <c r="O878">
        <v>5.4035539673846344E-3</v>
      </c>
    </row>
    <row r="879" spans="1:15" x14ac:dyDescent="0.3">
      <c r="A879">
        <v>2019</v>
      </c>
      <c r="B879">
        <v>52</v>
      </c>
      <c r="C879" t="s">
        <v>12</v>
      </c>
      <c r="D879">
        <v>11605</v>
      </c>
      <c r="E879">
        <v>1968619</v>
      </c>
      <c r="F879">
        <v>5.8950000000000001E-3</v>
      </c>
      <c r="G879">
        <v>0.99410500000000002</v>
      </c>
      <c r="H879">
        <v>92320.461569999999</v>
      </c>
      <c r="I879">
        <v>544.23</v>
      </c>
      <c r="J879">
        <v>92048.347009999998</v>
      </c>
      <c r="K879">
        <v>2385629.378</v>
      </c>
      <c r="L879">
        <v>25.840743620000001</v>
      </c>
      <c r="M879">
        <v>0.92320461600000003</v>
      </c>
      <c r="N879">
        <v>-5.1336507449928028</v>
      </c>
      <c r="O879">
        <v>5.9124364145209914E-3</v>
      </c>
    </row>
    <row r="880" spans="1:15" x14ac:dyDescent="0.3">
      <c r="A880">
        <v>2019</v>
      </c>
      <c r="B880">
        <v>53</v>
      </c>
      <c r="C880" t="s">
        <v>12</v>
      </c>
      <c r="D880">
        <v>12550</v>
      </c>
      <c r="E880">
        <v>2001325</v>
      </c>
      <c r="F880">
        <v>6.2709999999999997E-3</v>
      </c>
      <c r="G880">
        <v>0.99372899999999997</v>
      </c>
      <c r="H880">
        <v>91776.232870000007</v>
      </c>
      <c r="I880">
        <v>575.53</v>
      </c>
      <c r="J880">
        <v>91488.468489999999</v>
      </c>
      <c r="K880">
        <v>2293581.031</v>
      </c>
      <c r="L880">
        <v>24.991013030000001</v>
      </c>
      <c r="M880">
        <v>0.91776232899999999</v>
      </c>
      <c r="N880">
        <v>-5.0718194474212535</v>
      </c>
      <c r="O880">
        <v>6.2907376732574474E-3</v>
      </c>
    </row>
    <row r="881" spans="1:15" x14ac:dyDescent="0.3">
      <c r="A881">
        <v>2019</v>
      </c>
      <c r="B881">
        <v>54</v>
      </c>
      <c r="C881" t="s">
        <v>12</v>
      </c>
      <c r="D881">
        <v>14741</v>
      </c>
      <c r="E881">
        <v>2114408</v>
      </c>
      <c r="F881">
        <v>6.9719999999999999E-3</v>
      </c>
      <c r="G881">
        <v>0.99302800000000002</v>
      </c>
      <c r="H881">
        <v>91200.718290000004</v>
      </c>
      <c r="I881">
        <v>635.85</v>
      </c>
      <c r="J881">
        <v>90882.792589999997</v>
      </c>
      <c r="K881">
        <v>2202092.5630000001</v>
      </c>
      <c r="L881">
        <v>24.145561610000001</v>
      </c>
      <c r="M881">
        <v>0.91200718300000005</v>
      </c>
      <c r="N881">
        <v>-4.9658531513243629</v>
      </c>
      <c r="O881">
        <v>6.9963728384706114E-3</v>
      </c>
    </row>
    <row r="882" spans="1:15" x14ac:dyDescent="0.3">
      <c r="A882">
        <v>2019</v>
      </c>
      <c r="B882">
        <v>55</v>
      </c>
      <c r="C882" t="s">
        <v>12</v>
      </c>
      <c r="D882">
        <v>16534</v>
      </c>
      <c r="E882">
        <v>2137586</v>
      </c>
      <c r="F882">
        <v>7.7349999999999997E-3</v>
      </c>
      <c r="G882">
        <v>0.99226499999999995</v>
      </c>
      <c r="H882">
        <v>90564.89503</v>
      </c>
      <c r="I882">
        <v>700.52</v>
      </c>
      <c r="J882">
        <v>90214.635299999994</v>
      </c>
      <c r="K882">
        <v>2111209.77</v>
      </c>
      <c r="L882">
        <v>23.311568680000001</v>
      </c>
      <c r="M882">
        <v>0.90564895000000001</v>
      </c>
      <c r="N882">
        <v>-4.8619997949571072</v>
      </c>
      <c r="O882">
        <v>7.7650367952274216E-3</v>
      </c>
    </row>
    <row r="883" spans="1:15" x14ac:dyDescent="0.3">
      <c r="A883">
        <v>2019</v>
      </c>
      <c r="B883">
        <v>56</v>
      </c>
      <c r="C883" t="s">
        <v>12</v>
      </c>
      <c r="D883">
        <v>17793</v>
      </c>
      <c r="E883">
        <v>2125123</v>
      </c>
      <c r="F883">
        <v>8.3730000000000002E-3</v>
      </c>
      <c r="G883">
        <v>0.99162700000000004</v>
      </c>
      <c r="H883">
        <v>89864.385209999993</v>
      </c>
      <c r="I883">
        <v>752.43</v>
      </c>
      <c r="J883">
        <v>89488.167960000006</v>
      </c>
      <c r="K883">
        <v>2020995.135</v>
      </c>
      <c r="L883">
        <v>22.489389209999999</v>
      </c>
      <c r="M883">
        <v>0.89864385199999997</v>
      </c>
      <c r="N883">
        <v>-4.7827430357598422</v>
      </c>
      <c r="O883">
        <v>8.4081493754957319E-3</v>
      </c>
    </row>
    <row r="884" spans="1:15" x14ac:dyDescent="0.3">
      <c r="A884">
        <v>2019</v>
      </c>
      <c r="B884">
        <v>57</v>
      </c>
      <c r="C884" t="s">
        <v>12</v>
      </c>
      <c r="D884">
        <v>19341</v>
      </c>
      <c r="E884">
        <v>2111795</v>
      </c>
      <c r="F884">
        <v>9.1590000000000005E-3</v>
      </c>
      <c r="G884">
        <v>0.99084099999999997</v>
      </c>
      <c r="H884">
        <v>89111.978409999996</v>
      </c>
      <c r="I884">
        <v>816.18</v>
      </c>
      <c r="J884">
        <v>88703.890100000004</v>
      </c>
      <c r="K884">
        <v>1931506.9669999999</v>
      </c>
      <c r="L884">
        <v>21.67505426</v>
      </c>
      <c r="M884">
        <v>0.89111978400000003</v>
      </c>
      <c r="N884">
        <v>-4.6930182765612862</v>
      </c>
      <c r="O884">
        <v>9.2011727830070937E-3</v>
      </c>
    </row>
    <row r="885" spans="1:15" x14ac:dyDescent="0.3">
      <c r="A885">
        <v>2019</v>
      </c>
      <c r="B885">
        <v>58</v>
      </c>
      <c r="C885" t="s">
        <v>12</v>
      </c>
      <c r="D885">
        <v>20908</v>
      </c>
      <c r="E885">
        <v>2125774</v>
      </c>
      <c r="F885">
        <v>9.835E-3</v>
      </c>
      <c r="G885">
        <v>0.99016499999999996</v>
      </c>
      <c r="H885">
        <v>88295.841060000006</v>
      </c>
      <c r="I885">
        <v>868.39</v>
      </c>
      <c r="J885">
        <v>87861.646259999994</v>
      </c>
      <c r="K885">
        <v>1842803.077</v>
      </c>
      <c r="L885">
        <v>20.870780029999999</v>
      </c>
      <c r="M885">
        <v>0.88295841100000005</v>
      </c>
      <c r="N885">
        <v>-4.6218078271411143</v>
      </c>
      <c r="O885">
        <v>9.8836095704668541E-3</v>
      </c>
    </row>
    <row r="886" spans="1:15" x14ac:dyDescent="0.3">
      <c r="A886">
        <v>2019</v>
      </c>
      <c r="B886">
        <v>59</v>
      </c>
      <c r="C886" t="s">
        <v>12</v>
      </c>
      <c r="D886">
        <v>22479</v>
      </c>
      <c r="E886">
        <v>2142211</v>
      </c>
      <c r="F886">
        <v>1.0493000000000001E-2</v>
      </c>
      <c r="G886">
        <v>0.98950700000000003</v>
      </c>
      <c r="H886">
        <v>87427.409400000004</v>
      </c>
      <c r="I886">
        <v>917.38</v>
      </c>
      <c r="J886">
        <v>86968.7215</v>
      </c>
      <c r="K886">
        <v>1754941.43</v>
      </c>
      <c r="L886">
        <v>20.073126290000001</v>
      </c>
      <c r="M886">
        <v>0.874274094</v>
      </c>
      <c r="N886">
        <v>-4.5570469108063634</v>
      </c>
      <c r="O886">
        <v>1.0548392020807169E-2</v>
      </c>
    </row>
    <row r="887" spans="1:15" x14ac:dyDescent="0.3">
      <c r="A887">
        <v>2019</v>
      </c>
      <c r="B887">
        <v>60</v>
      </c>
      <c r="C887" t="s">
        <v>12</v>
      </c>
      <c r="D887">
        <v>23299</v>
      </c>
      <c r="E887">
        <v>2052677</v>
      </c>
      <c r="F887">
        <v>1.1351E-2</v>
      </c>
      <c r="G887">
        <v>0.988649</v>
      </c>
      <c r="H887">
        <v>86510.001759999999</v>
      </c>
      <c r="I887">
        <v>981.98</v>
      </c>
      <c r="J887">
        <v>86019.014249999993</v>
      </c>
      <c r="K887">
        <v>1667972.709</v>
      </c>
      <c r="L887">
        <v>19.280692120000001</v>
      </c>
      <c r="M887">
        <v>0.86510001800000003</v>
      </c>
      <c r="N887">
        <v>-4.4784494332089348</v>
      </c>
      <c r="O887">
        <v>1.1415845477040778E-2</v>
      </c>
    </row>
    <row r="888" spans="1:15" x14ac:dyDescent="0.3">
      <c r="A888">
        <v>2019</v>
      </c>
      <c r="B888">
        <v>61</v>
      </c>
      <c r="C888" t="s">
        <v>12</v>
      </c>
      <c r="D888">
        <v>25181</v>
      </c>
      <c r="E888">
        <v>2027951</v>
      </c>
      <c r="F888">
        <v>1.2416999999999999E-2</v>
      </c>
      <c r="G888">
        <v>0.98758299999999999</v>
      </c>
      <c r="H888">
        <v>85528.066200000001</v>
      </c>
      <c r="I888">
        <v>1062</v>
      </c>
      <c r="J888">
        <v>84997.065199999997</v>
      </c>
      <c r="K888">
        <v>1581953.6950000001</v>
      </c>
      <c r="L888">
        <v>18.4963108</v>
      </c>
      <c r="M888">
        <v>0.85528066199999997</v>
      </c>
      <c r="N888">
        <v>-4.3886887775474319</v>
      </c>
      <c r="O888">
        <v>1.2494548837614076E-2</v>
      </c>
    </row>
    <row r="889" spans="1:15" x14ac:dyDescent="0.3">
      <c r="A889">
        <v>2019</v>
      </c>
      <c r="B889">
        <v>62</v>
      </c>
      <c r="C889" t="s">
        <v>12</v>
      </c>
      <c r="D889">
        <v>26654</v>
      </c>
      <c r="E889">
        <v>1991220</v>
      </c>
      <c r="F889">
        <v>1.3386E-2</v>
      </c>
      <c r="G889">
        <v>0.98661399999999999</v>
      </c>
      <c r="H889">
        <v>84466.067049999998</v>
      </c>
      <c r="I889">
        <v>1130.6600000000001</v>
      </c>
      <c r="J889">
        <v>83900.735660000006</v>
      </c>
      <c r="K889">
        <v>1496956.63</v>
      </c>
      <c r="L889">
        <v>17.72257999</v>
      </c>
      <c r="M889">
        <v>0.84466067099999997</v>
      </c>
      <c r="N889">
        <v>-4.3135458943036866</v>
      </c>
      <c r="O889">
        <v>1.3476161519668212E-2</v>
      </c>
    </row>
    <row r="890" spans="1:15" x14ac:dyDescent="0.3">
      <c r="A890">
        <v>2019</v>
      </c>
      <c r="B890">
        <v>63</v>
      </c>
      <c r="C890" t="s">
        <v>12</v>
      </c>
      <c r="D890">
        <v>27524</v>
      </c>
      <c r="E890">
        <v>1905842</v>
      </c>
      <c r="F890">
        <v>1.4442E-2</v>
      </c>
      <c r="G890">
        <v>0.98555800000000005</v>
      </c>
      <c r="H890">
        <v>83335.424249999996</v>
      </c>
      <c r="I890">
        <v>1203.53</v>
      </c>
      <c r="J890">
        <v>82733.659150000007</v>
      </c>
      <c r="K890">
        <v>1413055.8940000001</v>
      </c>
      <c r="L890">
        <v>16.956245280000001</v>
      </c>
      <c r="M890">
        <v>0.83335424300000005</v>
      </c>
      <c r="N890">
        <v>-4.2376146509531472</v>
      </c>
      <c r="O890">
        <v>1.4547041170150776E-2</v>
      </c>
    </row>
    <row r="891" spans="1:15" x14ac:dyDescent="0.3">
      <c r="A891">
        <v>2019</v>
      </c>
      <c r="B891">
        <v>64</v>
      </c>
      <c r="C891" t="s">
        <v>12</v>
      </c>
      <c r="D891">
        <v>28212</v>
      </c>
      <c r="E891">
        <v>1879040</v>
      </c>
      <c r="F891">
        <v>1.5014E-2</v>
      </c>
      <c r="G891">
        <v>0.98498600000000003</v>
      </c>
      <c r="H891">
        <v>82131.901500000007</v>
      </c>
      <c r="I891">
        <v>1233.1300000000001</v>
      </c>
      <c r="J891">
        <v>81515.337320000006</v>
      </c>
      <c r="K891">
        <v>1330322.2350000001</v>
      </c>
      <c r="L891">
        <v>16.197387500000001</v>
      </c>
      <c r="M891">
        <v>0.82131901500000004</v>
      </c>
      <c r="N891">
        <v>-4.1987721798313267</v>
      </c>
      <c r="O891">
        <v>1.5127582999144303E-2</v>
      </c>
    </row>
    <row r="892" spans="1:15" x14ac:dyDescent="0.3">
      <c r="A892">
        <v>2019</v>
      </c>
      <c r="B892">
        <v>65</v>
      </c>
      <c r="C892" t="s">
        <v>12</v>
      </c>
      <c r="D892">
        <v>29113</v>
      </c>
      <c r="E892">
        <v>1783428</v>
      </c>
      <c r="F892">
        <v>1.6324000000000002E-2</v>
      </c>
      <c r="G892">
        <v>0.98367599999999999</v>
      </c>
      <c r="H892">
        <v>80898.769039999999</v>
      </c>
      <c r="I892">
        <v>1320.59</v>
      </c>
      <c r="J892">
        <v>80238.473289999994</v>
      </c>
      <c r="K892">
        <v>1248806.8970000001</v>
      </c>
      <c r="L892">
        <v>15.436661300000001</v>
      </c>
      <c r="M892">
        <v>0.80898769000000004</v>
      </c>
      <c r="N892">
        <v>-4.1151188614385781</v>
      </c>
      <c r="O892">
        <v>1.6458315641278583E-2</v>
      </c>
    </row>
    <row r="893" spans="1:15" x14ac:dyDescent="0.3">
      <c r="A893">
        <v>2019</v>
      </c>
      <c r="B893">
        <v>66</v>
      </c>
      <c r="C893" t="s">
        <v>12</v>
      </c>
      <c r="D893">
        <v>29767</v>
      </c>
      <c r="E893">
        <v>1703888</v>
      </c>
      <c r="F893">
        <v>1.7469999999999999E-2</v>
      </c>
      <c r="G893">
        <v>0.98253000000000001</v>
      </c>
      <c r="H893">
        <v>79578.162960000001</v>
      </c>
      <c r="I893">
        <v>1390.23</v>
      </c>
      <c r="J893">
        <v>78883.047709999999</v>
      </c>
      <c r="K893">
        <v>1168568.4240000001</v>
      </c>
      <c r="L893">
        <v>14.684536319999999</v>
      </c>
      <c r="M893">
        <v>0.79578163000000002</v>
      </c>
      <c r="N893">
        <v>-4.0472701548361716</v>
      </c>
      <c r="O893">
        <v>1.7623939134017656E-2</v>
      </c>
    </row>
    <row r="894" spans="1:15" x14ac:dyDescent="0.3">
      <c r="A894">
        <v>2019</v>
      </c>
      <c r="B894">
        <v>67</v>
      </c>
      <c r="C894" t="s">
        <v>12</v>
      </c>
      <c r="D894">
        <v>30240</v>
      </c>
      <c r="E894">
        <v>1627863</v>
      </c>
      <c r="F894">
        <v>1.8577E-2</v>
      </c>
      <c r="G894">
        <v>0.98142300000000005</v>
      </c>
      <c r="H894">
        <v>78187.928880000007</v>
      </c>
      <c r="I894">
        <v>1452.5</v>
      </c>
      <c r="J894">
        <v>77461.680300000007</v>
      </c>
      <c r="K894">
        <v>1089685.3759999999</v>
      </c>
      <c r="L894">
        <v>13.93674691</v>
      </c>
      <c r="M894">
        <v>0.78187928900000003</v>
      </c>
      <c r="N894">
        <v>-3.9858310225728699</v>
      </c>
      <c r="O894">
        <v>1.8751202261492073E-2</v>
      </c>
    </row>
    <row r="895" spans="1:15" x14ac:dyDescent="0.3">
      <c r="A895">
        <v>2019</v>
      </c>
      <c r="B895">
        <v>68</v>
      </c>
      <c r="C895" t="s">
        <v>12</v>
      </c>
      <c r="D895">
        <v>30695</v>
      </c>
      <c r="E895">
        <v>1564129</v>
      </c>
      <c r="F895">
        <v>1.9623999999999999E-2</v>
      </c>
      <c r="G895">
        <v>0.98037600000000003</v>
      </c>
      <c r="H895">
        <v>76735.470669999995</v>
      </c>
      <c r="I895">
        <v>1505.86</v>
      </c>
      <c r="J895">
        <v>75982.542230000006</v>
      </c>
      <c r="K895">
        <v>1012223.696</v>
      </c>
      <c r="L895">
        <v>13.19107953</v>
      </c>
      <c r="M895">
        <v>0.76735470699999997</v>
      </c>
      <c r="N895">
        <v>-3.9310019720259488</v>
      </c>
      <c r="O895">
        <v>1.9818503232905745E-2</v>
      </c>
    </row>
    <row r="896" spans="1:15" x14ac:dyDescent="0.3">
      <c r="A896">
        <v>2019</v>
      </c>
      <c r="B896">
        <v>69</v>
      </c>
      <c r="C896" t="s">
        <v>12</v>
      </c>
      <c r="D896">
        <v>31123</v>
      </c>
      <c r="E896">
        <v>1520465</v>
      </c>
      <c r="F896">
        <v>2.0469000000000001E-2</v>
      </c>
      <c r="G896">
        <v>0.97953100000000004</v>
      </c>
      <c r="H896">
        <v>75229.587669999994</v>
      </c>
      <c r="I896">
        <v>1539.87</v>
      </c>
      <c r="J896">
        <v>74459.650450000001</v>
      </c>
      <c r="K896">
        <v>936241.15390000003</v>
      </c>
      <c r="L896">
        <v>12.445118770000001</v>
      </c>
      <c r="M896">
        <v>0.752295877</v>
      </c>
      <c r="N896">
        <v>-3.8888437324807406</v>
      </c>
      <c r="O896">
        <v>2.0680600815669595E-2</v>
      </c>
    </row>
    <row r="897" spans="1:15" x14ac:dyDescent="0.3">
      <c r="A897">
        <v>2019</v>
      </c>
      <c r="B897">
        <v>70</v>
      </c>
      <c r="C897" t="s">
        <v>12</v>
      </c>
      <c r="D897">
        <v>32921</v>
      </c>
      <c r="E897">
        <v>1462120</v>
      </c>
      <c r="F897">
        <v>2.2516000000000001E-2</v>
      </c>
      <c r="G897">
        <v>0.97748400000000002</v>
      </c>
      <c r="H897">
        <v>73689.68346</v>
      </c>
      <c r="I897">
        <v>1659.2</v>
      </c>
      <c r="J897">
        <v>72860.085000000006</v>
      </c>
      <c r="K897">
        <v>861781.50340000005</v>
      </c>
      <c r="L897">
        <v>11.69473749</v>
      </c>
      <c r="M897">
        <v>0.73689683500000003</v>
      </c>
      <c r="N897">
        <v>-3.7935291113803569</v>
      </c>
      <c r="O897">
        <v>2.2772412988941497E-2</v>
      </c>
    </row>
    <row r="898" spans="1:15" x14ac:dyDescent="0.3">
      <c r="A898">
        <v>2019</v>
      </c>
      <c r="B898">
        <v>71</v>
      </c>
      <c r="C898" t="s">
        <v>12</v>
      </c>
      <c r="D898">
        <v>34789</v>
      </c>
      <c r="E898">
        <v>1435378</v>
      </c>
      <c r="F898">
        <v>2.4237000000000002E-2</v>
      </c>
      <c r="G898">
        <v>0.97576300000000005</v>
      </c>
      <c r="H898">
        <v>72030.491280000002</v>
      </c>
      <c r="I898">
        <v>1745.8</v>
      </c>
      <c r="J898">
        <v>71157.589770000006</v>
      </c>
      <c r="K898">
        <v>788921.41839999997</v>
      </c>
      <c r="L898">
        <v>10.9526036</v>
      </c>
      <c r="M898">
        <v>0.72030491299999999</v>
      </c>
      <c r="N898">
        <v>-3.7198748878164558</v>
      </c>
      <c r="O898">
        <v>2.4534274525629032E-2</v>
      </c>
    </row>
    <row r="899" spans="1:15" x14ac:dyDescent="0.3">
      <c r="A899">
        <v>2019</v>
      </c>
      <c r="B899">
        <v>72</v>
      </c>
      <c r="C899" t="s">
        <v>12</v>
      </c>
      <c r="D899">
        <v>37706</v>
      </c>
      <c r="E899">
        <v>1483236</v>
      </c>
      <c r="F899">
        <v>2.5420999999999999E-2</v>
      </c>
      <c r="G899">
        <v>0.97457899999999997</v>
      </c>
      <c r="H899">
        <v>70284.701140000005</v>
      </c>
      <c r="I899">
        <v>1786.71</v>
      </c>
      <c r="J899">
        <v>69391.347450000001</v>
      </c>
      <c r="K899">
        <v>717763.82869999995</v>
      </c>
      <c r="L899">
        <v>10.212234199999999</v>
      </c>
      <c r="M899">
        <v>0.70284701100000002</v>
      </c>
      <c r="N899">
        <v>-3.672179674891523</v>
      </c>
      <c r="O899">
        <v>2.5748316857154764E-2</v>
      </c>
    </row>
    <row r="900" spans="1:15" x14ac:dyDescent="0.3">
      <c r="A900">
        <v>2019</v>
      </c>
      <c r="B900">
        <v>73</v>
      </c>
      <c r="C900" t="s">
        <v>12</v>
      </c>
      <c r="D900">
        <v>31566</v>
      </c>
      <c r="E900">
        <v>1074771</v>
      </c>
      <c r="F900">
        <v>2.937E-2</v>
      </c>
      <c r="G900">
        <v>0.97062999999999999</v>
      </c>
      <c r="H900">
        <v>68497.962589999996</v>
      </c>
      <c r="I900">
        <v>2011.79</v>
      </c>
      <c r="J900">
        <v>67492.070009999996</v>
      </c>
      <c r="K900">
        <v>648372.48120000004</v>
      </c>
      <c r="L900">
        <v>9.4655732330000006</v>
      </c>
      <c r="M900">
        <v>0.68497962599999995</v>
      </c>
      <c r="N900">
        <v>-3.5277815337716083</v>
      </c>
      <c r="O900">
        <v>2.980779781609777E-2</v>
      </c>
    </row>
    <row r="901" spans="1:15" x14ac:dyDescent="0.3">
      <c r="A901">
        <v>2019</v>
      </c>
      <c r="B901">
        <v>74</v>
      </c>
      <c r="C901" t="s">
        <v>12</v>
      </c>
      <c r="D901">
        <v>32327</v>
      </c>
      <c r="E901">
        <v>1044301</v>
      </c>
      <c r="F901">
        <v>3.0956000000000001E-2</v>
      </c>
      <c r="G901">
        <v>0.96904400000000002</v>
      </c>
      <c r="H901">
        <v>66486.178969999994</v>
      </c>
      <c r="I901">
        <v>2058.15</v>
      </c>
      <c r="J901">
        <v>65457.105889999999</v>
      </c>
      <c r="K901">
        <v>580880.41119999997</v>
      </c>
      <c r="L901">
        <v>8.7368596029999992</v>
      </c>
      <c r="M901">
        <v>0.66486179000000001</v>
      </c>
      <c r="N901">
        <v>-3.4751884375739244</v>
      </c>
      <c r="O901">
        <v>3.1442722525380322E-2</v>
      </c>
    </row>
    <row r="902" spans="1:15" x14ac:dyDescent="0.3">
      <c r="A902">
        <v>2019</v>
      </c>
      <c r="B902">
        <v>75</v>
      </c>
      <c r="C902" t="s">
        <v>12</v>
      </c>
      <c r="D902">
        <v>34576</v>
      </c>
      <c r="E902">
        <v>998390</v>
      </c>
      <c r="F902">
        <v>3.4632000000000003E-2</v>
      </c>
      <c r="G902">
        <v>0.965368</v>
      </c>
      <c r="H902">
        <v>64428.057119999998</v>
      </c>
      <c r="I902">
        <v>2231.27</v>
      </c>
      <c r="J902">
        <v>63312.420879999998</v>
      </c>
      <c r="K902">
        <v>515423.30530000001</v>
      </c>
      <c r="L902">
        <v>7.9999821249999998</v>
      </c>
      <c r="M902">
        <v>0.64428057100000002</v>
      </c>
      <c r="N902">
        <v>-3.3629771688424577</v>
      </c>
      <c r="O902">
        <v>3.5242211449828302E-2</v>
      </c>
    </row>
    <row r="903" spans="1:15" x14ac:dyDescent="0.3">
      <c r="A903">
        <v>2019</v>
      </c>
      <c r="B903">
        <v>76</v>
      </c>
      <c r="C903" t="s">
        <v>12</v>
      </c>
      <c r="D903">
        <v>37415</v>
      </c>
      <c r="E903">
        <v>1003690</v>
      </c>
      <c r="F903">
        <v>3.7276999999999998E-2</v>
      </c>
      <c r="G903">
        <v>0.962723</v>
      </c>
      <c r="H903">
        <v>62196.800300000003</v>
      </c>
      <c r="I903">
        <v>2318.5100000000002</v>
      </c>
      <c r="J903">
        <v>61037.545239999999</v>
      </c>
      <c r="K903">
        <v>452110.88439999998</v>
      </c>
      <c r="L903">
        <v>7.2690376710000004</v>
      </c>
      <c r="M903">
        <v>0.62196800299999999</v>
      </c>
      <c r="N903">
        <v>-3.2893787645058046</v>
      </c>
      <c r="O903">
        <v>3.7984989699622745E-2</v>
      </c>
    </row>
    <row r="904" spans="1:15" x14ac:dyDescent="0.3">
      <c r="A904">
        <v>2019</v>
      </c>
      <c r="B904">
        <v>77</v>
      </c>
      <c r="C904" t="s">
        <v>12</v>
      </c>
      <c r="D904">
        <v>35401</v>
      </c>
      <c r="E904">
        <v>854930</v>
      </c>
      <c r="F904">
        <v>4.1408E-2</v>
      </c>
      <c r="G904">
        <v>0.958592</v>
      </c>
      <c r="H904">
        <v>59878.262419999999</v>
      </c>
      <c r="I904">
        <v>2479.44</v>
      </c>
      <c r="J904">
        <v>58638.542869999997</v>
      </c>
      <c r="K904">
        <v>391073.33919999999</v>
      </c>
      <c r="L904">
        <v>6.5311404069999996</v>
      </c>
      <c r="M904">
        <v>0.59878262400000004</v>
      </c>
      <c r="N904">
        <v>-3.1842811801037016</v>
      </c>
      <c r="O904">
        <v>4.2283453256444496E-2</v>
      </c>
    </row>
    <row r="905" spans="1:15" x14ac:dyDescent="0.3">
      <c r="A905">
        <v>2019</v>
      </c>
      <c r="B905">
        <v>78</v>
      </c>
      <c r="C905" t="s">
        <v>12</v>
      </c>
      <c r="D905">
        <v>34513</v>
      </c>
      <c r="E905">
        <v>760170</v>
      </c>
      <c r="F905">
        <v>4.5401999999999998E-2</v>
      </c>
      <c r="G905">
        <v>0.95459799999999995</v>
      </c>
      <c r="H905">
        <v>57398.819230000001</v>
      </c>
      <c r="I905">
        <v>2606.02</v>
      </c>
      <c r="J905">
        <v>56095.80863</v>
      </c>
      <c r="K905">
        <v>332434.79629999999</v>
      </c>
      <c r="L905">
        <v>5.7916661139999999</v>
      </c>
      <c r="M905">
        <v>0.57398819199999995</v>
      </c>
      <c r="N905">
        <v>-3.0921991220416976</v>
      </c>
      <c r="O905">
        <v>4.645658286307431E-2</v>
      </c>
    </row>
    <row r="906" spans="1:15" x14ac:dyDescent="0.3">
      <c r="A906">
        <v>2019</v>
      </c>
      <c r="B906">
        <v>79</v>
      </c>
      <c r="C906" t="s">
        <v>12</v>
      </c>
      <c r="D906">
        <v>34591</v>
      </c>
      <c r="E906">
        <v>701319</v>
      </c>
      <c r="F906">
        <v>4.9322999999999999E-2</v>
      </c>
      <c r="G906">
        <v>0.95067699999999999</v>
      </c>
      <c r="H906">
        <v>54792.816030000002</v>
      </c>
      <c r="I906">
        <v>2702.55</v>
      </c>
      <c r="J906">
        <v>53441.542999999998</v>
      </c>
      <c r="K906">
        <v>276338.9877</v>
      </c>
      <c r="L906">
        <v>5.0433434110000004</v>
      </c>
      <c r="M906">
        <v>0.54792816</v>
      </c>
      <c r="N906">
        <v>-3.0093647752852872</v>
      </c>
      <c r="O906">
        <v>5.0570203217220049E-2</v>
      </c>
    </row>
    <row r="907" spans="1:15" x14ac:dyDescent="0.3">
      <c r="A907">
        <v>2019</v>
      </c>
      <c r="B907">
        <v>80</v>
      </c>
      <c r="C907" t="s">
        <v>12</v>
      </c>
      <c r="D907">
        <v>35264</v>
      </c>
      <c r="E907">
        <v>643638</v>
      </c>
      <c r="F907">
        <v>5.4788999999999997E-2</v>
      </c>
      <c r="G907">
        <v>0.94521100000000002</v>
      </c>
      <c r="H907">
        <v>52090.28224</v>
      </c>
      <c r="I907">
        <v>2853.97</v>
      </c>
      <c r="J907">
        <v>50663.294999999998</v>
      </c>
      <c r="K907">
        <v>222897.44469999999</v>
      </c>
      <c r="L907">
        <v>4.2790600300000001</v>
      </c>
      <c r="M907">
        <v>0.52090282200000004</v>
      </c>
      <c r="N907">
        <v>-2.9042658351041228</v>
      </c>
      <c r="O907">
        <v>5.6332091233390905E-2</v>
      </c>
    </row>
    <row r="908" spans="1:15" x14ac:dyDescent="0.3">
      <c r="A908">
        <v>2019</v>
      </c>
      <c r="B908">
        <v>81</v>
      </c>
      <c r="C908" t="s">
        <v>12</v>
      </c>
      <c r="D908">
        <v>35972</v>
      </c>
      <c r="E908">
        <v>593628</v>
      </c>
      <c r="F908">
        <v>6.0596999999999998E-2</v>
      </c>
      <c r="G908">
        <v>0.93940299999999999</v>
      </c>
      <c r="H908">
        <v>49236.330620000001</v>
      </c>
      <c r="I908">
        <v>2983.57</v>
      </c>
      <c r="J908">
        <v>47744.543660000003</v>
      </c>
      <c r="K908">
        <v>172234.14970000001</v>
      </c>
      <c r="L908">
        <v>3.4981109990000001</v>
      </c>
      <c r="M908">
        <v>0.492363306</v>
      </c>
      <c r="N908">
        <v>-2.8035098920827739</v>
      </c>
      <c r="O908">
        <v>6.2490277940758426E-2</v>
      </c>
    </row>
    <row r="909" spans="1:15" x14ac:dyDescent="0.3">
      <c r="A909">
        <v>2019</v>
      </c>
      <c r="B909">
        <v>82</v>
      </c>
      <c r="C909" t="s">
        <v>12</v>
      </c>
      <c r="D909">
        <v>35419</v>
      </c>
      <c r="E909">
        <v>525766</v>
      </c>
      <c r="F909">
        <v>6.7365999999999995E-2</v>
      </c>
      <c r="G909">
        <v>0.93263399999999996</v>
      </c>
      <c r="H909">
        <v>46252.762990000003</v>
      </c>
      <c r="I909">
        <v>3115.86</v>
      </c>
      <c r="J909">
        <v>44694.831169999998</v>
      </c>
      <c r="K909">
        <v>124489.606</v>
      </c>
      <c r="L909">
        <v>2.691506366</v>
      </c>
      <c r="M909">
        <v>0.46252763000000002</v>
      </c>
      <c r="N909">
        <v>-2.697614839380682</v>
      </c>
      <c r="O909">
        <v>6.9714118559601468E-2</v>
      </c>
    </row>
    <row r="910" spans="1:15" x14ac:dyDescent="0.3">
      <c r="A910">
        <v>2019</v>
      </c>
      <c r="B910">
        <v>83</v>
      </c>
      <c r="C910" t="s">
        <v>12</v>
      </c>
      <c r="D910">
        <v>35821</v>
      </c>
      <c r="E910">
        <v>480165</v>
      </c>
      <c r="F910">
        <v>7.4601000000000001E-2</v>
      </c>
      <c r="G910">
        <v>0.92539899999999997</v>
      </c>
      <c r="H910">
        <v>43136.877569999997</v>
      </c>
      <c r="I910">
        <v>3218.05</v>
      </c>
      <c r="J910">
        <v>41527.850469999998</v>
      </c>
      <c r="K910">
        <v>79794.774839999998</v>
      </c>
      <c r="L910">
        <v>1.8498041430000001</v>
      </c>
      <c r="M910">
        <v>0.43136877600000001</v>
      </c>
      <c r="N910">
        <v>-2.5956013670365286</v>
      </c>
      <c r="O910">
        <v>7.7491387052542826E-2</v>
      </c>
    </row>
    <row r="911" spans="1:15" x14ac:dyDescent="0.3">
      <c r="A911">
        <v>2019</v>
      </c>
      <c r="B911">
        <v>84</v>
      </c>
      <c r="C911" t="s">
        <v>12</v>
      </c>
      <c r="D911">
        <v>36128</v>
      </c>
      <c r="E911">
        <v>436527</v>
      </c>
      <c r="F911">
        <v>8.2762000000000002E-2</v>
      </c>
      <c r="G911">
        <v>0.917238</v>
      </c>
      <c r="H911">
        <v>39918.80442</v>
      </c>
      <c r="I911">
        <v>3303.76</v>
      </c>
      <c r="J911">
        <v>38266.924370000001</v>
      </c>
      <c r="K911">
        <v>38266.924370000001</v>
      </c>
      <c r="L911">
        <v>0.958619</v>
      </c>
      <c r="M911">
        <v>0.39918804400000002</v>
      </c>
      <c r="N911">
        <v>-2.4917862601328986</v>
      </c>
      <c r="O911">
        <v>4.7223959834347476E-2</v>
      </c>
    </row>
    <row r="912" spans="1:15" x14ac:dyDescent="0.3">
      <c r="A912">
        <v>2019</v>
      </c>
      <c r="B912">
        <v>20</v>
      </c>
      <c r="C912" t="s">
        <v>13</v>
      </c>
      <c r="D912">
        <v>3313</v>
      </c>
      <c r="E912">
        <v>4269683</v>
      </c>
      <c r="F912">
        <v>7.76E-4</v>
      </c>
      <c r="G912">
        <v>0.999224</v>
      </c>
      <c r="H912">
        <v>100000</v>
      </c>
      <c r="I912">
        <v>77.599999999999994</v>
      </c>
      <c r="J912">
        <v>99961.2</v>
      </c>
      <c r="K912">
        <v>5666872.1629999997</v>
      </c>
      <c r="L912">
        <v>56.66872163</v>
      </c>
      <c r="M912">
        <v>1</v>
      </c>
      <c r="N912">
        <v>-7.1613580377810555</v>
      </c>
      <c r="O912">
        <v>7.7630117993854819E-4</v>
      </c>
    </row>
    <row r="913" spans="1:15" x14ac:dyDescent="0.3">
      <c r="A913">
        <v>2019</v>
      </c>
      <c r="B913">
        <v>21</v>
      </c>
      <c r="C913" t="s">
        <v>13</v>
      </c>
      <c r="D913">
        <v>3821</v>
      </c>
      <c r="E913">
        <v>4278323</v>
      </c>
      <c r="F913">
        <v>8.9300000000000002E-4</v>
      </c>
      <c r="G913">
        <v>0.99910699999999997</v>
      </c>
      <c r="H913">
        <v>99922.406419999999</v>
      </c>
      <c r="I913">
        <v>89.23</v>
      </c>
      <c r="J913">
        <v>99877.791070000007</v>
      </c>
      <c r="K913">
        <v>5566910.9630000005</v>
      </c>
      <c r="L913">
        <v>55.71233883</v>
      </c>
      <c r="M913">
        <v>0.99922406399999997</v>
      </c>
      <c r="N913">
        <v>-7.0209239770877749</v>
      </c>
      <c r="O913">
        <v>8.9339185242001381E-4</v>
      </c>
    </row>
    <row r="914" spans="1:15" x14ac:dyDescent="0.3">
      <c r="A914">
        <v>2019</v>
      </c>
      <c r="B914">
        <v>22</v>
      </c>
      <c r="C914" t="s">
        <v>13</v>
      </c>
      <c r="D914">
        <v>3882</v>
      </c>
      <c r="E914">
        <v>4298772</v>
      </c>
      <c r="F914">
        <v>9.0300000000000005E-4</v>
      </c>
      <c r="G914">
        <v>0.99909700000000001</v>
      </c>
      <c r="H914">
        <v>99833.16502</v>
      </c>
      <c r="I914">
        <v>90.15</v>
      </c>
      <c r="J914">
        <v>99788.090349999999</v>
      </c>
      <c r="K914">
        <v>5467033.1720000003</v>
      </c>
      <c r="L914">
        <v>54.761693379999997</v>
      </c>
      <c r="M914">
        <v>0.99833165000000001</v>
      </c>
      <c r="N914">
        <v>-7.0097880045472882</v>
      </c>
      <c r="O914">
        <v>9.0341444434002154E-4</v>
      </c>
    </row>
    <row r="915" spans="1:15" x14ac:dyDescent="0.3">
      <c r="A915">
        <v>2019</v>
      </c>
      <c r="B915">
        <v>23</v>
      </c>
      <c r="C915" t="s">
        <v>13</v>
      </c>
      <c r="D915">
        <v>4146</v>
      </c>
      <c r="E915">
        <v>4341644</v>
      </c>
      <c r="F915">
        <v>9.5500000000000001E-4</v>
      </c>
      <c r="G915">
        <v>0.99904499999999996</v>
      </c>
      <c r="H915">
        <v>99743.010819999996</v>
      </c>
      <c r="I915">
        <v>95.25</v>
      </c>
      <c r="J915">
        <v>99695.383530000006</v>
      </c>
      <c r="K915">
        <v>5367245.0820000004</v>
      </c>
      <c r="L915">
        <v>53.81073859</v>
      </c>
      <c r="M915">
        <v>0.99743010799999998</v>
      </c>
      <c r="N915">
        <v>-6.9537992174835441</v>
      </c>
      <c r="O915">
        <v>9.5541030748719355E-4</v>
      </c>
    </row>
    <row r="916" spans="1:15" x14ac:dyDescent="0.3">
      <c r="A916">
        <v>2019</v>
      </c>
      <c r="B916">
        <v>24</v>
      </c>
      <c r="C916" t="s">
        <v>13</v>
      </c>
      <c r="D916">
        <v>4351</v>
      </c>
      <c r="E916">
        <v>4444518</v>
      </c>
      <c r="F916">
        <v>9.7900000000000005E-4</v>
      </c>
      <c r="G916">
        <v>0.99902100000000005</v>
      </c>
      <c r="H916">
        <v>99647.762449999995</v>
      </c>
      <c r="I916">
        <v>97.56</v>
      </c>
      <c r="J916">
        <v>99598.98487</v>
      </c>
      <c r="K916">
        <v>5267549.6979999999</v>
      </c>
      <c r="L916">
        <v>52.86169572</v>
      </c>
      <c r="M916">
        <v>0.99647762500000003</v>
      </c>
      <c r="N916">
        <v>-6.9289789154337633</v>
      </c>
      <c r="O916">
        <v>9.7952803549562805E-4</v>
      </c>
    </row>
    <row r="917" spans="1:15" x14ac:dyDescent="0.3">
      <c r="A917">
        <v>2019</v>
      </c>
      <c r="B917">
        <v>25</v>
      </c>
      <c r="C917" t="s">
        <v>13</v>
      </c>
      <c r="D917">
        <v>4752</v>
      </c>
      <c r="E917">
        <v>4539058</v>
      </c>
      <c r="F917">
        <v>1.047E-3</v>
      </c>
      <c r="G917">
        <v>0.99895299999999998</v>
      </c>
      <c r="H917">
        <v>99550.2114</v>
      </c>
      <c r="I917">
        <v>104.23</v>
      </c>
      <c r="J917">
        <v>99498.096860000005</v>
      </c>
      <c r="K917">
        <v>5167950.7130000005</v>
      </c>
      <c r="L917">
        <v>51.913005910000003</v>
      </c>
      <c r="M917">
        <v>0.99550211399999999</v>
      </c>
      <c r="N917">
        <v>-6.8618263470937375</v>
      </c>
      <c r="O917">
        <v>1.047557679632897E-3</v>
      </c>
    </row>
    <row r="918" spans="1:15" x14ac:dyDescent="0.3">
      <c r="A918">
        <v>2019</v>
      </c>
      <c r="B918">
        <v>26</v>
      </c>
      <c r="C918" t="s">
        <v>13</v>
      </c>
      <c r="D918">
        <v>5086</v>
      </c>
      <c r="E918">
        <v>4611220</v>
      </c>
      <c r="F918">
        <v>1.103E-3</v>
      </c>
      <c r="G918">
        <v>0.99889700000000003</v>
      </c>
      <c r="H918">
        <v>99445.990959999996</v>
      </c>
      <c r="I918">
        <v>109.69</v>
      </c>
      <c r="J918">
        <v>99391.146500000003</v>
      </c>
      <c r="K918">
        <v>5068452.6160000004</v>
      </c>
      <c r="L918">
        <v>50.966887329999999</v>
      </c>
      <c r="M918">
        <v>0.99445991</v>
      </c>
      <c r="N918">
        <v>-6.8097215387107717</v>
      </c>
      <c r="O918">
        <v>1.1036194045126477E-3</v>
      </c>
    </row>
    <row r="919" spans="1:15" x14ac:dyDescent="0.3">
      <c r="A919">
        <v>2019</v>
      </c>
      <c r="B919">
        <v>27</v>
      </c>
      <c r="C919" t="s">
        <v>13</v>
      </c>
      <c r="D919">
        <v>5383</v>
      </c>
      <c r="E919">
        <v>4733869</v>
      </c>
      <c r="F919">
        <v>1.137E-3</v>
      </c>
      <c r="G919">
        <v>0.99886299999999995</v>
      </c>
      <c r="H919">
        <v>99336.305819999994</v>
      </c>
      <c r="I919">
        <v>112.95</v>
      </c>
      <c r="J919">
        <v>99279.833129999999</v>
      </c>
      <c r="K919">
        <v>4969061.47</v>
      </c>
      <c r="L919">
        <v>50.022611859999998</v>
      </c>
      <c r="M919">
        <v>0.99336305800000002</v>
      </c>
      <c r="N919">
        <v>-6.7793620642137382</v>
      </c>
      <c r="O919">
        <v>1.1376933612065878E-3</v>
      </c>
    </row>
    <row r="920" spans="1:15" x14ac:dyDescent="0.3">
      <c r="A920">
        <v>2019</v>
      </c>
      <c r="B920">
        <v>28</v>
      </c>
      <c r="C920" t="s">
        <v>13</v>
      </c>
      <c r="D920">
        <v>5757</v>
      </c>
      <c r="E920">
        <v>4818725</v>
      </c>
      <c r="F920">
        <v>1.1950000000000001E-3</v>
      </c>
      <c r="G920">
        <v>0.99880500000000005</v>
      </c>
      <c r="H920">
        <v>99223.348039999997</v>
      </c>
      <c r="I920">
        <v>118.57</v>
      </c>
      <c r="J920">
        <v>99164.062090000007</v>
      </c>
      <c r="K920">
        <v>4869781.6370000001</v>
      </c>
      <c r="L920">
        <v>49.078989300000003</v>
      </c>
      <c r="M920">
        <v>0.99223348</v>
      </c>
      <c r="N920">
        <v>-6.729609093598663</v>
      </c>
      <c r="O920">
        <v>1.1956950991921637E-3</v>
      </c>
    </row>
    <row r="921" spans="1:15" x14ac:dyDescent="0.3">
      <c r="A921">
        <v>2019</v>
      </c>
      <c r="B921">
        <v>29</v>
      </c>
      <c r="C921" t="s">
        <v>13</v>
      </c>
      <c r="D921">
        <v>5991</v>
      </c>
      <c r="E921">
        <v>4806144</v>
      </c>
      <c r="F921">
        <v>1.2470000000000001E-3</v>
      </c>
      <c r="G921">
        <v>0.998753</v>
      </c>
      <c r="H921">
        <v>99104.804480000006</v>
      </c>
      <c r="I921">
        <v>123.58</v>
      </c>
      <c r="J921">
        <v>99043.012629999997</v>
      </c>
      <c r="K921">
        <v>4770617.5750000002</v>
      </c>
      <c r="L921">
        <v>48.137096880000001</v>
      </c>
      <c r="M921">
        <v>0.99104804499999999</v>
      </c>
      <c r="N921">
        <v>-6.687014612284238</v>
      </c>
      <c r="O921">
        <v>1.2477404273268341E-3</v>
      </c>
    </row>
    <row r="922" spans="1:15" x14ac:dyDescent="0.3">
      <c r="A922">
        <v>2019</v>
      </c>
      <c r="B922">
        <v>30</v>
      </c>
      <c r="C922" t="s">
        <v>13</v>
      </c>
      <c r="D922">
        <v>6183</v>
      </c>
      <c r="E922">
        <v>4614384</v>
      </c>
      <c r="F922">
        <v>1.34E-3</v>
      </c>
      <c r="G922">
        <v>0.99865999999999999</v>
      </c>
      <c r="H922">
        <v>98981.267420000004</v>
      </c>
      <c r="I922">
        <v>132.63</v>
      </c>
      <c r="J922">
        <v>98914.949970000001</v>
      </c>
      <c r="K922">
        <v>4671574.5619999999</v>
      </c>
      <c r="L922">
        <v>47.196552269999998</v>
      </c>
      <c r="M922">
        <v>0.98981267399999995</v>
      </c>
      <c r="N922">
        <v>-6.6150856650193166</v>
      </c>
      <c r="O922">
        <v>1.3408488411986396E-3</v>
      </c>
    </row>
    <row r="923" spans="1:15" x14ac:dyDescent="0.3">
      <c r="A923">
        <v>2019</v>
      </c>
      <c r="B923">
        <v>31</v>
      </c>
      <c r="C923" t="s">
        <v>13</v>
      </c>
      <c r="D923">
        <v>6225</v>
      </c>
      <c r="E923">
        <v>4502311</v>
      </c>
      <c r="F923">
        <v>1.3829999999999999E-3</v>
      </c>
      <c r="G923">
        <v>0.99861699999999998</v>
      </c>
      <c r="H923">
        <v>98848.638420000003</v>
      </c>
      <c r="I923">
        <v>136.71</v>
      </c>
      <c r="J923">
        <v>98780.284589999996</v>
      </c>
      <c r="K923">
        <v>4572659.6119999997</v>
      </c>
      <c r="L923">
        <v>46.259206859999999</v>
      </c>
      <c r="M923">
        <v>0.988486384</v>
      </c>
      <c r="N923">
        <v>-6.5835002262995159</v>
      </c>
      <c r="O923">
        <v>1.3839803641449047E-3</v>
      </c>
    </row>
    <row r="924" spans="1:15" x14ac:dyDescent="0.3">
      <c r="A924">
        <v>2019</v>
      </c>
      <c r="B924">
        <v>32</v>
      </c>
      <c r="C924" t="s">
        <v>13</v>
      </c>
      <c r="D924">
        <v>6263</v>
      </c>
      <c r="E924">
        <v>4421505</v>
      </c>
      <c r="F924">
        <v>1.4159999999999999E-3</v>
      </c>
      <c r="G924">
        <v>0.99858400000000003</v>
      </c>
      <c r="H924">
        <v>98711.967990000005</v>
      </c>
      <c r="I924">
        <v>139.78</v>
      </c>
      <c r="J924">
        <v>98642.079920000004</v>
      </c>
      <c r="K924">
        <v>4473879.3269999996</v>
      </c>
      <c r="L924">
        <v>45.322562390000002</v>
      </c>
      <c r="M924">
        <v>0.98711968000000005</v>
      </c>
      <c r="N924">
        <v>-6.5599192837106095</v>
      </c>
      <c r="O924">
        <v>1.4170426466605503E-3</v>
      </c>
    </row>
    <row r="925" spans="1:15" x14ac:dyDescent="0.3">
      <c r="A925">
        <v>2019</v>
      </c>
      <c r="B925">
        <v>33</v>
      </c>
      <c r="C925" t="s">
        <v>13</v>
      </c>
      <c r="D925">
        <v>6683</v>
      </c>
      <c r="E925">
        <v>4432973</v>
      </c>
      <c r="F925">
        <v>1.508E-3</v>
      </c>
      <c r="G925">
        <v>0.99849200000000005</v>
      </c>
      <c r="H925">
        <v>98572.143859999996</v>
      </c>
      <c r="I925">
        <v>148.65</v>
      </c>
      <c r="J925">
        <v>98497.820460000003</v>
      </c>
      <c r="K925">
        <v>4375237.2479999997</v>
      </c>
      <c r="L925">
        <v>44.386142739999997</v>
      </c>
      <c r="M925">
        <v>0.98572143899999998</v>
      </c>
      <c r="N925">
        <v>-6.4969710093963728</v>
      </c>
      <c r="O925">
        <v>1.5091701219847591E-3</v>
      </c>
    </row>
    <row r="926" spans="1:15" x14ac:dyDescent="0.3">
      <c r="A926">
        <v>2019</v>
      </c>
      <c r="B926">
        <v>34</v>
      </c>
      <c r="C926" t="s">
        <v>13</v>
      </c>
      <c r="D926">
        <v>6855</v>
      </c>
      <c r="E926">
        <v>4460132</v>
      </c>
      <c r="F926">
        <v>1.537E-3</v>
      </c>
      <c r="G926">
        <v>0.99846299999999999</v>
      </c>
      <c r="H926">
        <v>98423.539839999998</v>
      </c>
      <c r="I926">
        <v>151.28</v>
      </c>
      <c r="J926">
        <v>98347.90135</v>
      </c>
      <c r="K926">
        <v>4276739.4270000001</v>
      </c>
      <c r="L926">
        <v>43.452404110000003</v>
      </c>
      <c r="M926">
        <v>0.98423539800000004</v>
      </c>
      <c r="N926">
        <v>-6.4779228144256784</v>
      </c>
      <c r="O926">
        <v>1.538212754308017E-3</v>
      </c>
    </row>
    <row r="927" spans="1:15" x14ac:dyDescent="0.3">
      <c r="A927">
        <v>2019</v>
      </c>
      <c r="B927">
        <v>35</v>
      </c>
      <c r="C927" t="s">
        <v>13</v>
      </c>
      <c r="D927">
        <v>6998</v>
      </c>
      <c r="E927">
        <v>4315866</v>
      </c>
      <c r="F927">
        <v>1.621E-3</v>
      </c>
      <c r="G927">
        <v>0.99837900000000002</v>
      </c>
      <c r="H927">
        <v>98272.267779999995</v>
      </c>
      <c r="I927">
        <v>159.30000000000001</v>
      </c>
      <c r="J927">
        <v>98192.618109999996</v>
      </c>
      <c r="K927">
        <v>4178391.5260000001</v>
      </c>
      <c r="L927">
        <v>42.518521450000001</v>
      </c>
      <c r="M927">
        <v>0.98272267800000002</v>
      </c>
      <c r="N927">
        <v>-6.4247120362285983</v>
      </c>
      <c r="O927">
        <v>1.6223219185491835E-3</v>
      </c>
    </row>
    <row r="928" spans="1:15" x14ac:dyDescent="0.3">
      <c r="A928">
        <v>2019</v>
      </c>
      <c r="B928">
        <v>36</v>
      </c>
      <c r="C928" t="s">
        <v>13</v>
      </c>
      <c r="D928">
        <v>7326</v>
      </c>
      <c r="E928">
        <v>4372444</v>
      </c>
      <c r="F928">
        <v>1.6750000000000001E-3</v>
      </c>
      <c r="G928">
        <v>0.99832500000000002</v>
      </c>
      <c r="H928">
        <v>98112.923320000002</v>
      </c>
      <c r="I928">
        <v>164.34</v>
      </c>
      <c r="J928">
        <v>98030.753750000003</v>
      </c>
      <c r="K928">
        <v>4080198.9079999998</v>
      </c>
      <c r="L928">
        <v>41.586763189999999</v>
      </c>
      <c r="M928">
        <v>0.98112923299999999</v>
      </c>
      <c r="N928">
        <v>-6.3919421137051069</v>
      </c>
      <c r="O928">
        <v>1.6764131078693778E-3</v>
      </c>
    </row>
    <row r="929" spans="1:15" x14ac:dyDescent="0.3">
      <c r="A929">
        <v>2019</v>
      </c>
      <c r="B929">
        <v>37</v>
      </c>
      <c r="C929" t="s">
        <v>13</v>
      </c>
      <c r="D929">
        <v>7692</v>
      </c>
      <c r="E929">
        <v>4361286</v>
      </c>
      <c r="F929">
        <v>1.7639999999999999E-3</v>
      </c>
      <c r="G929">
        <v>0.99823600000000001</v>
      </c>
      <c r="H929">
        <v>97948.535789999994</v>
      </c>
      <c r="I929">
        <v>172.78</v>
      </c>
      <c r="J929">
        <v>97862.145180000007</v>
      </c>
      <c r="K929">
        <v>3982168.1540000001</v>
      </c>
      <c r="L929">
        <v>40.655719060000003</v>
      </c>
      <c r="M929">
        <v>0.97948535800000003</v>
      </c>
      <c r="N929">
        <v>-6.3401713213975377</v>
      </c>
      <c r="O929">
        <v>1.7655445191552392E-3</v>
      </c>
    </row>
    <row r="930" spans="1:15" x14ac:dyDescent="0.3">
      <c r="A930">
        <v>2019</v>
      </c>
      <c r="B930">
        <v>38</v>
      </c>
      <c r="C930" t="s">
        <v>13</v>
      </c>
      <c r="D930">
        <v>8177</v>
      </c>
      <c r="E930">
        <v>4305576</v>
      </c>
      <c r="F930">
        <v>1.8990000000000001E-3</v>
      </c>
      <c r="G930">
        <v>0.99810100000000002</v>
      </c>
      <c r="H930">
        <v>97775.783960000001</v>
      </c>
      <c r="I930">
        <v>185.68</v>
      </c>
      <c r="J930">
        <v>97682.945850000004</v>
      </c>
      <c r="K930">
        <v>3884306.0090000001</v>
      </c>
      <c r="L930">
        <v>39.726666989999998</v>
      </c>
      <c r="M930">
        <v>0.97775783999999999</v>
      </c>
      <c r="N930">
        <v>-6.2664278471519879</v>
      </c>
      <c r="O930">
        <v>1.9008437320721236E-3</v>
      </c>
    </row>
    <row r="931" spans="1:15" x14ac:dyDescent="0.3">
      <c r="A931">
        <v>2019</v>
      </c>
      <c r="B931">
        <v>39</v>
      </c>
      <c r="C931" t="s">
        <v>13</v>
      </c>
      <c r="D931">
        <v>8445</v>
      </c>
      <c r="E931">
        <v>4382349</v>
      </c>
      <c r="F931">
        <v>1.9269999999999999E-3</v>
      </c>
      <c r="G931">
        <v>0.99807299999999999</v>
      </c>
      <c r="H931">
        <v>97590.091589999996</v>
      </c>
      <c r="I931">
        <v>188.06</v>
      </c>
      <c r="J931">
        <v>97496.063540000003</v>
      </c>
      <c r="K931">
        <v>3786623.0630000001</v>
      </c>
      <c r="L931">
        <v>38.801306580000002</v>
      </c>
      <c r="M931">
        <v>0.97590091599999995</v>
      </c>
      <c r="N931">
        <v>-6.2517908895499081</v>
      </c>
      <c r="O931">
        <v>1.928898437152002E-3</v>
      </c>
    </row>
    <row r="932" spans="1:15" x14ac:dyDescent="0.3">
      <c r="A932">
        <v>2019</v>
      </c>
      <c r="B932">
        <v>40</v>
      </c>
      <c r="C932" t="s">
        <v>13</v>
      </c>
      <c r="D932">
        <v>8639</v>
      </c>
      <c r="E932">
        <v>4105313</v>
      </c>
      <c r="F932">
        <v>2.104E-3</v>
      </c>
      <c r="G932">
        <v>0.99789600000000001</v>
      </c>
      <c r="H932">
        <v>97402.030729999999</v>
      </c>
      <c r="I932">
        <v>204.93</v>
      </c>
      <c r="J932">
        <v>97299.56379</v>
      </c>
      <c r="K932">
        <v>3689126.9989999998</v>
      </c>
      <c r="L932">
        <v>37.875257550000001</v>
      </c>
      <c r="M932">
        <v>0.97402030699999997</v>
      </c>
      <c r="N932">
        <v>-6.1639149841066736</v>
      </c>
      <c r="O932">
        <v>2.1061763026238175E-3</v>
      </c>
    </row>
    <row r="933" spans="1:15" x14ac:dyDescent="0.3">
      <c r="A933">
        <v>2019</v>
      </c>
      <c r="B933">
        <v>41</v>
      </c>
      <c r="C933" t="s">
        <v>13</v>
      </c>
      <c r="D933">
        <v>8456</v>
      </c>
      <c r="E933">
        <v>4020254</v>
      </c>
      <c r="F933">
        <v>2.1029999999999998E-3</v>
      </c>
      <c r="G933">
        <v>0.99789700000000003</v>
      </c>
      <c r="H933">
        <v>97197.063129999995</v>
      </c>
      <c r="I933">
        <v>204.41</v>
      </c>
      <c r="J933">
        <v>97094.860419999997</v>
      </c>
      <c r="K933">
        <v>3591827.4360000002</v>
      </c>
      <c r="L933">
        <v>36.954073710000003</v>
      </c>
      <c r="M933">
        <v>0.97197063100000003</v>
      </c>
      <c r="N933">
        <v>-6.1643903822615744</v>
      </c>
      <c r="O933">
        <v>2.1052611322031184E-3</v>
      </c>
    </row>
    <row r="934" spans="1:15" x14ac:dyDescent="0.3">
      <c r="A934">
        <v>2019</v>
      </c>
      <c r="B934">
        <v>42</v>
      </c>
      <c r="C934" t="s">
        <v>13</v>
      </c>
      <c r="D934">
        <v>8791</v>
      </c>
      <c r="E934">
        <v>3974741</v>
      </c>
      <c r="F934">
        <v>2.212E-3</v>
      </c>
      <c r="G934">
        <v>0.99778800000000001</v>
      </c>
      <c r="H934">
        <v>96992.623720000003</v>
      </c>
      <c r="I934">
        <v>214.55</v>
      </c>
      <c r="J934">
        <v>96885.349879999994</v>
      </c>
      <c r="K934">
        <v>3494732.5750000002</v>
      </c>
      <c r="L934">
        <v>36.030910820000003</v>
      </c>
      <c r="M934">
        <v>0.96992623700000002</v>
      </c>
      <c r="N934">
        <v>-6.1138581953220488</v>
      </c>
      <c r="O934">
        <v>2.2144727744363422E-3</v>
      </c>
    </row>
    <row r="935" spans="1:15" x14ac:dyDescent="0.3">
      <c r="A935">
        <v>2019</v>
      </c>
      <c r="B935">
        <v>43</v>
      </c>
      <c r="C935" t="s">
        <v>13</v>
      </c>
      <c r="D935">
        <v>8928</v>
      </c>
      <c r="E935">
        <v>3854040</v>
      </c>
      <c r="F935">
        <v>2.317E-3</v>
      </c>
      <c r="G935">
        <v>0.99768299999999999</v>
      </c>
      <c r="H935">
        <v>96778.103539999996</v>
      </c>
      <c r="I935">
        <v>224.23</v>
      </c>
      <c r="J935">
        <v>96665.986109999998</v>
      </c>
      <c r="K935">
        <v>3397847.2250000001</v>
      </c>
      <c r="L935">
        <v>35.109669449999998</v>
      </c>
      <c r="M935">
        <v>0.96778103500000001</v>
      </c>
      <c r="N935">
        <v>-6.0674820335318982</v>
      </c>
      <c r="O935">
        <v>2.3196364750213473E-3</v>
      </c>
    </row>
    <row r="936" spans="1:15" x14ac:dyDescent="0.3">
      <c r="A936">
        <v>2019</v>
      </c>
      <c r="B936">
        <v>44</v>
      </c>
      <c r="C936" t="s">
        <v>13</v>
      </c>
      <c r="D936">
        <v>9534</v>
      </c>
      <c r="E936">
        <v>3967275</v>
      </c>
      <c r="F936">
        <v>2.4030000000000002E-3</v>
      </c>
      <c r="G936">
        <v>0.99759699999999996</v>
      </c>
      <c r="H936">
        <v>96553.914139999993</v>
      </c>
      <c r="I936">
        <v>232.02</v>
      </c>
      <c r="J936">
        <v>96437.904609999998</v>
      </c>
      <c r="K936">
        <v>3301181.2390000001</v>
      </c>
      <c r="L936">
        <v>34.190030190000002</v>
      </c>
      <c r="M936">
        <v>0.96553914100000005</v>
      </c>
      <c r="N936">
        <v>-6.0310373222278049</v>
      </c>
      <c r="O936">
        <v>2.405900663313771E-3</v>
      </c>
    </row>
    <row r="937" spans="1:15" x14ac:dyDescent="0.3">
      <c r="A937">
        <v>2019</v>
      </c>
      <c r="B937">
        <v>45</v>
      </c>
      <c r="C937" t="s">
        <v>13</v>
      </c>
      <c r="D937">
        <v>10170</v>
      </c>
      <c r="E937">
        <v>3837909</v>
      </c>
      <c r="F937">
        <v>2.65E-3</v>
      </c>
      <c r="G937">
        <v>0.99734999999999996</v>
      </c>
      <c r="H937">
        <v>96321.879560000001</v>
      </c>
      <c r="I937">
        <v>255.25</v>
      </c>
      <c r="J937">
        <v>96194.253070000006</v>
      </c>
      <c r="K937">
        <v>3204743.335</v>
      </c>
      <c r="L937">
        <v>33.271187699999999</v>
      </c>
      <c r="M937">
        <v>0.96321879600000004</v>
      </c>
      <c r="N937">
        <v>-5.9331956389840066</v>
      </c>
      <c r="O937">
        <v>2.6534847621661065E-3</v>
      </c>
    </row>
    <row r="938" spans="1:15" x14ac:dyDescent="0.3">
      <c r="A938">
        <v>2019</v>
      </c>
      <c r="B938">
        <v>46</v>
      </c>
      <c r="C938" t="s">
        <v>13</v>
      </c>
      <c r="D938">
        <v>11198</v>
      </c>
      <c r="E938">
        <v>3889372</v>
      </c>
      <c r="F938">
        <v>2.879E-3</v>
      </c>
      <c r="G938">
        <v>0.99712100000000004</v>
      </c>
      <c r="H938">
        <v>96066.638089999993</v>
      </c>
      <c r="I938">
        <v>276.58</v>
      </c>
      <c r="J938">
        <v>95928.350160000002</v>
      </c>
      <c r="K938">
        <v>3108549.0809999998</v>
      </c>
      <c r="L938">
        <v>32.358258220000003</v>
      </c>
      <c r="M938">
        <v>0.96066638100000001</v>
      </c>
      <c r="N938">
        <v>-5.8503122673520984</v>
      </c>
      <c r="O938">
        <v>2.8831937300695205E-3</v>
      </c>
    </row>
    <row r="939" spans="1:15" x14ac:dyDescent="0.3">
      <c r="A939">
        <v>2019</v>
      </c>
      <c r="B939">
        <v>47</v>
      </c>
      <c r="C939" t="s">
        <v>13</v>
      </c>
      <c r="D939">
        <v>12579</v>
      </c>
      <c r="E939">
        <v>4058038</v>
      </c>
      <c r="F939">
        <v>3.0999999999999999E-3</v>
      </c>
      <c r="G939">
        <v>0.99690000000000001</v>
      </c>
      <c r="H939">
        <v>95790.049939999997</v>
      </c>
      <c r="I939">
        <v>296.95</v>
      </c>
      <c r="J939">
        <v>95641.575360000003</v>
      </c>
      <c r="K939">
        <v>3012620.7310000001</v>
      </c>
      <c r="L939">
        <v>31.450247009999998</v>
      </c>
      <c r="M939">
        <v>0.95790049899999996</v>
      </c>
      <c r="N939">
        <v>-5.7763531674910364</v>
      </c>
      <c r="O939">
        <v>3.1048209446731668E-3</v>
      </c>
    </row>
    <row r="940" spans="1:15" x14ac:dyDescent="0.3">
      <c r="A940">
        <v>2019</v>
      </c>
      <c r="B940">
        <v>48</v>
      </c>
      <c r="C940" t="s">
        <v>13</v>
      </c>
      <c r="D940">
        <v>14385</v>
      </c>
      <c r="E940">
        <v>4282657</v>
      </c>
      <c r="F940">
        <v>3.359E-3</v>
      </c>
      <c r="G940">
        <v>0.996641</v>
      </c>
      <c r="H940">
        <v>95493.122449999995</v>
      </c>
      <c r="I940">
        <v>320.76</v>
      </c>
      <c r="J940">
        <v>95332.741750000001</v>
      </c>
      <c r="K940">
        <v>2916979.156</v>
      </c>
      <c r="L940">
        <v>30.546484199999998</v>
      </c>
      <c r="M940">
        <v>0.95493122500000005</v>
      </c>
      <c r="N940">
        <v>-5.696111968351981</v>
      </c>
      <c r="O940">
        <v>3.3646360885388566E-3</v>
      </c>
    </row>
    <row r="941" spans="1:15" x14ac:dyDescent="0.3">
      <c r="A941">
        <v>2019</v>
      </c>
      <c r="B941">
        <v>49</v>
      </c>
      <c r="C941" t="s">
        <v>13</v>
      </c>
      <c r="D941">
        <v>15407</v>
      </c>
      <c r="E941">
        <v>4329775</v>
      </c>
      <c r="F941">
        <v>3.558E-3</v>
      </c>
      <c r="G941">
        <v>0.99644200000000005</v>
      </c>
      <c r="H941">
        <v>95172.370970000004</v>
      </c>
      <c r="I941">
        <v>338.62</v>
      </c>
      <c r="J941">
        <v>95003.05932</v>
      </c>
      <c r="K941">
        <v>2821646.4139999999</v>
      </c>
      <c r="L941">
        <v>29.6477474</v>
      </c>
      <c r="M941">
        <v>0.95172371</v>
      </c>
      <c r="N941">
        <v>-5.6385566897384933</v>
      </c>
      <c r="O941">
        <v>3.5643069546636777E-3</v>
      </c>
    </row>
    <row r="942" spans="1:15" x14ac:dyDescent="0.3">
      <c r="A942">
        <v>2019</v>
      </c>
      <c r="B942">
        <v>50</v>
      </c>
      <c r="C942" t="s">
        <v>13</v>
      </c>
      <c r="D942">
        <v>16151</v>
      </c>
      <c r="E942">
        <v>4096572</v>
      </c>
      <c r="F942">
        <v>3.9430000000000003E-3</v>
      </c>
      <c r="G942">
        <v>0.99605699999999997</v>
      </c>
      <c r="H942">
        <v>94833.711169999995</v>
      </c>
      <c r="I942">
        <v>373.93</v>
      </c>
      <c r="J942">
        <v>94646.746509999997</v>
      </c>
      <c r="K942">
        <v>2726643.355</v>
      </c>
      <c r="L942">
        <v>28.75183646</v>
      </c>
      <c r="M942">
        <v>0.94833711200000004</v>
      </c>
      <c r="N942">
        <v>-5.5358134240866468</v>
      </c>
      <c r="O942">
        <v>3.9507952700341764E-3</v>
      </c>
    </row>
    <row r="943" spans="1:15" x14ac:dyDescent="0.3">
      <c r="A943">
        <v>2019</v>
      </c>
      <c r="B943">
        <v>51</v>
      </c>
      <c r="C943" t="s">
        <v>13</v>
      </c>
      <c r="D943">
        <v>17198</v>
      </c>
      <c r="E943">
        <v>4004343</v>
      </c>
      <c r="F943">
        <v>4.2950000000000002E-3</v>
      </c>
      <c r="G943">
        <v>0.99570499999999995</v>
      </c>
      <c r="H943">
        <v>94459.823139999993</v>
      </c>
      <c r="I943">
        <v>405.7</v>
      </c>
      <c r="J943">
        <v>94256.970669999995</v>
      </c>
      <c r="K943">
        <v>2631996.608</v>
      </c>
      <c r="L943">
        <v>27.863662250000001</v>
      </c>
      <c r="M943">
        <v>0.94459823099999995</v>
      </c>
      <c r="N943">
        <v>-5.4503037235459182</v>
      </c>
      <c r="O943">
        <v>4.3041905969810473E-3</v>
      </c>
    </row>
    <row r="944" spans="1:15" x14ac:dyDescent="0.3">
      <c r="A944">
        <v>2019</v>
      </c>
      <c r="B944">
        <v>52</v>
      </c>
      <c r="C944" t="s">
        <v>13</v>
      </c>
      <c r="D944">
        <v>18788</v>
      </c>
      <c r="E944">
        <v>4001782</v>
      </c>
      <c r="F944">
        <v>4.6950000000000004E-3</v>
      </c>
      <c r="G944">
        <v>0.995305</v>
      </c>
      <c r="H944">
        <v>94054.133600000001</v>
      </c>
      <c r="I944">
        <v>441.58</v>
      </c>
      <c r="J944">
        <v>93833.341520000002</v>
      </c>
      <c r="K944">
        <v>2537739.6379999998</v>
      </c>
      <c r="L944">
        <v>26.981691720000001</v>
      </c>
      <c r="M944">
        <v>0.94054133600000001</v>
      </c>
      <c r="N944">
        <v>-5.3612571663219111</v>
      </c>
      <c r="O944">
        <v>4.7060029256552408E-3</v>
      </c>
    </row>
    <row r="945" spans="1:15" x14ac:dyDescent="0.3">
      <c r="A945">
        <v>2019</v>
      </c>
      <c r="B945">
        <v>53</v>
      </c>
      <c r="C945" t="s">
        <v>13</v>
      </c>
      <c r="D945">
        <v>20593</v>
      </c>
      <c r="E945">
        <v>4068851</v>
      </c>
      <c r="F945">
        <v>5.0610000000000004E-3</v>
      </c>
      <c r="G945">
        <v>0.99493900000000002</v>
      </c>
      <c r="H945">
        <v>93612.558059999996</v>
      </c>
      <c r="I945">
        <v>473.77</v>
      </c>
      <c r="J945">
        <v>93375.671480000005</v>
      </c>
      <c r="K945">
        <v>2443906.2960000001</v>
      </c>
      <c r="L945">
        <v>26.106607350000001</v>
      </c>
      <c r="M945">
        <v>0.93612558099999998</v>
      </c>
      <c r="N945">
        <v>-5.2861911867501963</v>
      </c>
      <c r="O945">
        <v>5.0738058886595425E-3</v>
      </c>
    </row>
    <row r="946" spans="1:15" x14ac:dyDescent="0.3">
      <c r="A946">
        <v>2019</v>
      </c>
      <c r="B946">
        <v>54</v>
      </c>
      <c r="C946" t="s">
        <v>13</v>
      </c>
      <c r="D946">
        <v>23924</v>
      </c>
      <c r="E946">
        <v>4305603</v>
      </c>
      <c r="F946">
        <v>5.5560000000000002E-3</v>
      </c>
      <c r="G946">
        <v>0.99444399999999999</v>
      </c>
      <c r="H946">
        <v>93138.772360000003</v>
      </c>
      <c r="I946">
        <v>517.48</v>
      </c>
      <c r="J946">
        <v>92880.032850000003</v>
      </c>
      <c r="K946">
        <v>2350530.625</v>
      </c>
      <c r="L946">
        <v>25.236865000000002</v>
      </c>
      <c r="M946">
        <v>0.93138772400000003</v>
      </c>
      <c r="N946">
        <v>-5.1928768540900396</v>
      </c>
      <c r="O946">
        <v>5.5714894669935695E-3</v>
      </c>
    </row>
    <row r="947" spans="1:15" x14ac:dyDescent="0.3">
      <c r="A947">
        <v>2019</v>
      </c>
      <c r="B947">
        <v>55</v>
      </c>
      <c r="C947" t="s">
        <v>13</v>
      </c>
      <c r="D947">
        <v>26793</v>
      </c>
      <c r="E947">
        <v>4374565</v>
      </c>
      <c r="F947">
        <v>6.1250000000000002E-3</v>
      </c>
      <c r="G947">
        <v>0.99387499999999995</v>
      </c>
      <c r="H947">
        <v>92621.248569999996</v>
      </c>
      <c r="I947">
        <v>567.30999999999995</v>
      </c>
      <c r="J947">
        <v>92337.596000000005</v>
      </c>
      <c r="K947">
        <v>2257650.5920000002</v>
      </c>
      <c r="L947">
        <v>24.375082679999998</v>
      </c>
      <c r="M947">
        <v>0.92621248599999995</v>
      </c>
      <c r="N947">
        <v>-5.0953765225513461</v>
      </c>
      <c r="O947">
        <v>6.1438671336683124E-3</v>
      </c>
    </row>
    <row r="948" spans="1:15" x14ac:dyDescent="0.3">
      <c r="A948">
        <v>2019</v>
      </c>
      <c r="B948">
        <v>56</v>
      </c>
      <c r="C948" t="s">
        <v>13</v>
      </c>
      <c r="D948">
        <v>28966</v>
      </c>
      <c r="E948">
        <v>4361016</v>
      </c>
      <c r="F948">
        <v>6.6420000000000003E-3</v>
      </c>
      <c r="G948">
        <v>0.99335799999999996</v>
      </c>
      <c r="H948">
        <v>92053.969060000003</v>
      </c>
      <c r="I948">
        <v>611.41999999999996</v>
      </c>
      <c r="J948">
        <v>91748.257830000002</v>
      </c>
      <c r="K948">
        <v>2165312.9959999998</v>
      </c>
      <c r="L948">
        <v>23.52221222</v>
      </c>
      <c r="M948">
        <v>0.92053969099999999</v>
      </c>
      <c r="N948">
        <v>-5.014342156027582</v>
      </c>
      <c r="O948">
        <v>6.6641048425063725E-3</v>
      </c>
    </row>
    <row r="949" spans="1:15" x14ac:dyDescent="0.3">
      <c r="A949">
        <v>2019</v>
      </c>
      <c r="B949">
        <v>57</v>
      </c>
      <c r="C949" t="s">
        <v>13</v>
      </c>
      <c r="D949">
        <v>31658</v>
      </c>
      <c r="E949">
        <v>4342385</v>
      </c>
      <c r="F949">
        <v>7.2899999999999996E-3</v>
      </c>
      <c r="G949">
        <v>0.99270999999999998</v>
      </c>
      <c r="H949">
        <v>91442.543810000003</v>
      </c>
      <c r="I949">
        <v>666.62</v>
      </c>
      <c r="J949">
        <v>91109.235740000004</v>
      </c>
      <c r="K949">
        <v>2073564.7379999999</v>
      </c>
      <c r="L949">
        <v>22.67614889</v>
      </c>
      <c r="M949">
        <v>0.91442543799999998</v>
      </c>
      <c r="N949">
        <v>-4.9212517329615704</v>
      </c>
      <c r="O949">
        <v>7.3167132804918596E-3</v>
      </c>
    </row>
    <row r="950" spans="1:15" x14ac:dyDescent="0.3">
      <c r="A950">
        <v>2019</v>
      </c>
      <c r="B950">
        <v>58</v>
      </c>
      <c r="C950" t="s">
        <v>13</v>
      </c>
      <c r="D950">
        <v>34347</v>
      </c>
      <c r="E950">
        <v>4385570</v>
      </c>
      <c r="F950">
        <v>7.8320000000000004E-3</v>
      </c>
      <c r="G950">
        <v>0.99216800000000005</v>
      </c>
      <c r="H950">
        <v>90775.885269999999</v>
      </c>
      <c r="I950">
        <v>710.96</v>
      </c>
      <c r="J950">
        <v>90420.406900000002</v>
      </c>
      <c r="K950">
        <v>1982455.5020000001</v>
      </c>
      <c r="L950">
        <v>21.839010399999999</v>
      </c>
      <c r="M950">
        <v>0.90775885300000003</v>
      </c>
      <c r="N950">
        <v>-4.849537373753928</v>
      </c>
      <c r="O950">
        <v>7.8628261089350622E-3</v>
      </c>
    </row>
    <row r="951" spans="1:15" x14ac:dyDescent="0.3">
      <c r="A951">
        <v>2019</v>
      </c>
      <c r="B951">
        <v>59</v>
      </c>
      <c r="C951" t="s">
        <v>13</v>
      </c>
      <c r="D951">
        <v>36689</v>
      </c>
      <c r="E951">
        <v>4413855</v>
      </c>
      <c r="F951">
        <v>8.3119999999999999E-3</v>
      </c>
      <c r="G951">
        <v>0.99168800000000001</v>
      </c>
      <c r="H951">
        <v>90064.944770000002</v>
      </c>
      <c r="I951">
        <v>748.62</v>
      </c>
      <c r="J951">
        <v>89690.634860000006</v>
      </c>
      <c r="K951">
        <v>1892035.095</v>
      </c>
      <c r="L951">
        <v>21.007453009999999</v>
      </c>
      <c r="M951">
        <v>0.90064944800000002</v>
      </c>
      <c r="N951">
        <v>-4.790055025185211</v>
      </c>
      <c r="O951">
        <v>8.3466918203697598E-3</v>
      </c>
    </row>
    <row r="952" spans="1:15" x14ac:dyDescent="0.3">
      <c r="A952">
        <v>2019</v>
      </c>
      <c r="B952">
        <v>60</v>
      </c>
      <c r="C952" t="s">
        <v>13</v>
      </c>
      <c r="D952">
        <v>38690</v>
      </c>
      <c r="E952">
        <v>4252663</v>
      </c>
      <c r="F952">
        <v>9.0980000000000002E-3</v>
      </c>
      <c r="G952">
        <v>0.99090199999999995</v>
      </c>
      <c r="H952">
        <v>89316.303780000002</v>
      </c>
      <c r="I952">
        <v>812.6</v>
      </c>
      <c r="J952">
        <v>88910.003909999999</v>
      </c>
      <c r="K952">
        <v>1802344.46</v>
      </c>
      <c r="L952">
        <v>20.17934447</v>
      </c>
      <c r="M952">
        <v>0.89316303799999996</v>
      </c>
      <c r="N952">
        <v>-4.6997006698343249</v>
      </c>
      <c r="O952">
        <v>9.1395781615844843E-3</v>
      </c>
    </row>
    <row r="953" spans="1:15" x14ac:dyDescent="0.3">
      <c r="A953">
        <v>2019</v>
      </c>
      <c r="B953">
        <v>61</v>
      </c>
      <c r="C953" t="s">
        <v>13</v>
      </c>
      <c r="D953">
        <v>41522</v>
      </c>
      <c r="E953">
        <v>4215172</v>
      </c>
      <c r="F953">
        <v>9.8510000000000004E-3</v>
      </c>
      <c r="G953">
        <v>0.99014899999999995</v>
      </c>
      <c r="H953">
        <v>88503.719339999996</v>
      </c>
      <c r="I953">
        <v>871.85</v>
      </c>
      <c r="J953">
        <v>88067.794269999999</v>
      </c>
      <c r="K953">
        <v>1713434.4569999999</v>
      </c>
      <c r="L953">
        <v>19.360027680000002</v>
      </c>
      <c r="M953">
        <v>0.88503719300000006</v>
      </c>
      <c r="N953">
        <v>-4.6201823061085951</v>
      </c>
      <c r="O953">
        <v>9.8997577351975646E-3</v>
      </c>
    </row>
    <row r="954" spans="1:15" x14ac:dyDescent="0.3">
      <c r="A954">
        <v>2019</v>
      </c>
      <c r="B954">
        <v>62</v>
      </c>
      <c r="C954" t="s">
        <v>13</v>
      </c>
      <c r="D954">
        <v>43975</v>
      </c>
      <c r="E954">
        <v>4156645</v>
      </c>
      <c r="F954">
        <v>1.0579E-2</v>
      </c>
      <c r="G954">
        <v>0.98942099999999999</v>
      </c>
      <c r="H954">
        <v>87631.904039999994</v>
      </c>
      <c r="I954">
        <v>927.06</v>
      </c>
      <c r="J954">
        <v>87168.375079999998</v>
      </c>
      <c r="K954">
        <v>1625366.662</v>
      </c>
      <c r="L954">
        <v>18.547658869999999</v>
      </c>
      <c r="M954">
        <v>0.87631904000000005</v>
      </c>
      <c r="N954">
        <v>-4.5488843749774999</v>
      </c>
      <c r="O954">
        <v>1.063528150895378E-2</v>
      </c>
    </row>
    <row r="955" spans="1:15" x14ac:dyDescent="0.3">
      <c r="A955">
        <v>2019</v>
      </c>
      <c r="B955">
        <v>63</v>
      </c>
      <c r="C955" t="s">
        <v>13</v>
      </c>
      <c r="D955">
        <v>45361</v>
      </c>
      <c r="E955">
        <v>3996088</v>
      </c>
      <c r="F955">
        <v>1.1351E-2</v>
      </c>
      <c r="G955">
        <v>0.988649</v>
      </c>
      <c r="H955">
        <v>86704.807069999995</v>
      </c>
      <c r="I955">
        <v>984.19</v>
      </c>
      <c r="J955">
        <v>86212.713940000001</v>
      </c>
      <c r="K955">
        <v>1538198.287</v>
      </c>
      <c r="L955">
        <v>17.740634450000002</v>
      </c>
      <c r="M955">
        <v>0.86704807100000003</v>
      </c>
      <c r="N955">
        <v>-4.4784494332089348</v>
      </c>
      <c r="O955">
        <v>1.1415835658756373E-2</v>
      </c>
    </row>
    <row r="956" spans="1:15" x14ac:dyDescent="0.3">
      <c r="A956">
        <v>2019</v>
      </c>
      <c r="B956">
        <v>64</v>
      </c>
      <c r="C956" t="s">
        <v>13</v>
      </c>
      <c r="D956">
        <v>46936</v>
      </c>
      <c r="E956">
        <v>3950578</v>
      </c>
      <c r="F956">
        <v>1.1880999999999999E-2</v>
      </c>
      <c r="G956">
        <v>0.98811899999999997</v>
      </c>
      <c r="H956">
        <v>85720.590320000003</v>
      </c>
      <c r="I956">
        <v>1018.45</v>
      </c>
      <c r="J956">
        <v>85211.367150000005</v>
      </c>
      <c r="K956">
        <v>1451985.5730000001</v>
      </c>
      <c r="L956">
        <v>16.938585790000001</v>
      </c>
      <c r="M956">
        <v>0.85720590299999999</v>
      </c>
      <c r="N956">
        <v>-4.4328147935059867</v>
      </c>
      <c r="O956">
        <v>1.1952042644645937E-2</v>
      </c>
    </row>
    <row r="957" spans="1:15" x14ac:dyDescent="0.3">
      <c r="A957">
        <v>2019</v>
      </c>
      <c r="B957">
        <v>65</v>
      </c>
      <c r="C957" t="s">
        <v>13</v>
      </c>
      <c r="D957">
        <v>48159</v>
      </c>
      <c r="E957">
        <v>3774597</v>
      </c>
      <c r="F957">
        <v>1.2759E-2</v>
      </c>
      <c r="G957">
        <v>0.98724100000000004</v>
      </c>
      <c r="H957">
        <v>84702.161720000004</v>
      </c>
      <c r="I957">
        <v>1080.71</v>
      </c>
      <c r="J957">
        <v>84161.804279999997</v>
      </c>
      <c r="K957">
        <v>1366774.206</v>
      </c>
      <c r="L957">
        <v>16.13623759</v>
      </c>
      <c r="M957">
        <v>0.847021617</v>
      </c>
      <c r="N957">
        <v>-4.3615183740425305</v>
      </c>
      <c r="O957">
        <v>1.2840858786583581E-2</v>
      </c>
    </row>
    <row r="958" spans="1:15" x14ac:dyDescent="0.3">
      <c r="A958">
        <v>2019</v>
      </c>
      <c r="B958">
        <v>66</v>
      </c>
      <c r="C958" t="s">
        <v>13</v>
      </c>
      <c r="D958">
        <v>49560</v>
      </c>
      <c r="E958">
        <v>3618069</v>
      </c>
      <c r="F958">
        <v>1.3698E-2</v>
      </c>
      <c r="G958">
        <v>0.98630200000000001</v>
      </c>
      <c r="H958">
        <v>83621.471139999994</v>
      </c>
      <c r="I958">
        <v>1145.45</v>
      </c>
      <c r="J958">
        <v>83048.74768</v>
      </c>
      <c r="K958">
        <v>1282612.402</v>
      </c>
      <c r="L958">
        <v>15.338314240000001</v>
      </c>
      <c r="M958">
        <v>0.836214711</v>
      </c>
      <c r="N958">
        <v>-4.2905054422064239</v>
      </c>
      <c r="O958">
        <v>1.3792501182997321E-2</v>
      </c>
    </row>
    <row r="959" spans="1:15" x14ac:dyDescent="0.3">
      <c r="A959">
        <v>2019</v>
      </c>
      <c r="B959">
        <v>67</v>
      </c>
      <c r="C959" t="s">
        <v>13</v>
      </c>
      <c r="D959">
        <v>50719</v>
      </c>
      <c r="E959">
        <v>3464437</v>
      </c>
      <c r="F959">
        <v>1.464E-2</v>
      </c>
      <c r="G959">
        <v>0.98536000000000001</v>
      </c>
      <c r="H959">
        <v>82476.03138</v>
      </c>
      <c r="I959">
        <v>1207.45</v>
      </c>
      <c r="J959">
        <v>81872.306830000001</v>
      </c>
      <c r="K959">
        <v>1199563.6540000001</v>
      </c>
      <c r="L959">
        <v>14.54439107</v>
      </c>
      <c r="M959">
        <v>0.82476031400000005</v>
      </c>
      <c r="N959">
        <v>-4.223997770448972</v>
      </c>
      <c r="O959">
        <v>1.4747965264427714E-2</v>
      </c>
    </row>
    <row r="960" spans="1:15" x14ac:dyDescent="0.3">
      <c r="A960">
        <v>2019</v>
      </c>
      <c r="B960">
        <v>68</v>
      </c>
      <c r="C960" t="s">
        <v>13</v>
      </c>
      <c r="D960">
        <v>52212</v>
      </c>
      <c r="E960">
        <v>3345475</v>
      </c>
      <c r="F960">
        <v>1.5606999999999999E-2</v>
      </c>
      <c r="G960">
        <v>0.98439299999999996</v>
      </c>
      <c r="H960">
        <v>81268.590790000002</v>
      </c>
      <c r="I960">
        <v>1268.3599999999999</v>
      </c>
      <c r="J960">
        <v>80634.411340000006</v>
      </c>
      <c r="K960">
        <v>1117691.3470000001</v>
      </c>
      <c r="L960">
        <v>13.753054369999999</v>
      </c>
      <c r="M960">
        <v>0.81268590799999996</v>
      </c>
      <c r="N960">
        <v>-4.1600357474217207</v>
      </c>
      <c r="O960">
        <v>1.5729758803990763E-2</v>
      </c>
    </row>
    <row r="961" spans="1:15" x14ac:dyDescent="0.3">
      <c r="A961">
        <v>2019</v>
      </c>
      <c r="B961">
        <v>69</v>
      </c>
      <c r="C961" t="s">
        <v>13</v>
      </c>
      <c r="D961">
        <v>53762</v>
      </c>
      <c r="E961">
        <v>3252423</v>
      </c>
      <c r="F961">
        <v>1.653E-2</v>
      </c>
      <c r="G961">
        <v>0.98346999999999996</v>
      </c>
      <c r="H961">
        <v>80000.25202</v>
      </c>
      <c r="I961">
        <v>1322.4</v>
      </c>
      <c r="J961">
        <v>79339.049939999997</v>
      </c>
      <c r="K961">
        <v>1037056.936</v>
      </c>
      <c r="L961">
        <v>12.96317086</v>
      </c>
      <c r="M961">
        <v>0.80000252000000005</v>
      </c>
      <c r="N961">
        <v>-4.1025783671492047</v>
      </c>
      <c r="O961">
        <v>1.6667705093851577E-2</v>
      </c>
    </row>
    <row r="962" spans="1:15" x14ac:dyDescent="0.3">
      <c r="A962">
        <v>2019</v>
      </c>
      <c r="B962">
        <v>70</v>
      </c>
      <c r="C962" t="s">
        <v>13</v>
      </c>
      <c r="D962">
        <v>57343</v>
      </c>
      <c r="E962">
        <v>3136704</v>
      </c>
      <c r="F962">
        <v>1.8280999999999999E-2</v>
      </c>
      <c r="G962">
        <v>0.98171900000000001</v>
      </c>
      <c r="H962">
        <v>78677.861439999993</v>
      </c>
      <c r="I962">
        <v>1438.31</v>
      </c>
      <c r="J962">
        <v>77958.706449999998</v>
      </c>
      <c r="K962">
        <v>957717.88600000006</v>
      </c>
      <c r="L962">
        <v>12.172647660000001</v>
      </c>
      <c r="M962">
        <v>0.78677861400000004</v>
      </c>
      <c r="N962">
        <v>-4.0018930098571888</v>
      </c>
      <c r="O962">
        <v>1.8449641831087511E-2</v>
      </c>
    </row>
    <row r="963" spans="1:15" x14ac:dyDescent="0.3">
      <c r="A963">
        <v>2019</v>
      </c>
      <c r="B963">
        <v>71</v>
      </c>
      <c r="C963" t="s">
        <v>13</v>
      </c>
      <c r="D963">
        <v>61396</v>
      </c>
      <c r="E963">
        <v>3083083</v>
      </c>
      <c r="F963">
        <v>1.9914000000000001E-2</v>
      </c>
      <c r="G963">
        <v>0.98008600000000001</v>
      </c>
      <c r="H963">
        <v>77239.528520000007</v>
      </c>
      <c r="I963">
        <v>1538.15</v>
      </c>
      <c r="J963">
        <v>76470.454530000003</v>
      </c>
      <c r="K963">
        <v>879759.17960000003</v>
      </c>
      <c r="L963">
        <v>11.3900123</v>
      </c>
      <c r="M963">
        <v>0.77239528499999999</v>
      </c>
      <c r="N963">
        <v>-3.9163322770162443</v>
      </c>
      <c r="O963">
        <v>2.0114302701819915E-2</v>
      </c>
    </row>
    <row r="964" spans="1:15" x14ac:dyDescent="0.3">
      <c r="A964">
        <v>2019</v>
      </c>
      <c r="B964">
        <v>72</v>
      </c>
      <c r="C964" t="s">
        <v>13</v>
      </c>
      <c r="D964">
        <v>67130</v>
      </c>
      <c r="E964">
        <v>3191048</v>
      </c>
      <c r="F964">
        <v>2.1037E-2</v>
      </c>
      <c r="G964">
        <v>0.97896300000000003</v>
      </c>
      <c r="H964">
        <v>75701.393450000003</v>
      </c>
      <c r="I964">
        <v>1592.53</v>
      </c>
      <c r="J964">
        <v>74905.128339999996</v>
      </c>
      <c r="K964">
        <v>803288.72510000004</v>
      </c>
      <c r="L964">
        <v>10.61128057</v>
      </c>
      <c r="M964">
        <v>0.75701393500000003</v>
      </c>
      <c r="N964">
        <v>-3.861472486830245</v>
      </c>
      <c r="O964">
        <v>2.1260626820074496E-2</v>
      </c>
    </row>
    <row r="965" spans="1:15" x14ac:dyDescent="0.3">
      <c r="A965">
        <v>2019</v>
      </c>
      <c r="B965">
        <v>73</v>
      </c>
      <c r="C965" t="s">
        <v>13</v>
      </c>
      <c r="D965">
        <v>56853</v>
      </c>
      <c r="E965">
        <v>2334433</v>
      </c>
      <c r="F965">
        <v>2.4354000000000001E-2</v>
      </c>
      <c r="G965">
        <v>0.97564600000000001</v>
      </c>
      <c r="H965">
        <v>74108.865059999996</v>
      </c>
      <c r="I965">
        <v>1804.85</v>
      </c>
      <c r="J965">
        <v>73206.441409999999</v>
      </c>
      <c r="K965">
        <v>728383.59669999999</v>
      </c>
      <c r="L965">
        <v>9.8285622929999992</v>
      </c>
      <c r="M965">
        <v>0.74108865099999999</v>
      </c>
      <c r="N965">
        <v>-3.7150591718973214</v>
      </c>
      <c r="O965">
        <v>2.4654252425210559E-2</v>
      </c>
    </row>
    <row r="966" spans="1:15" x14ac:dyDescent="0.3">
      <c r="A966">
        <v>2019</v>
      </c>
      <c r="B966">
        <v>74</v>
      </c>
      <c r="C966" t="s">
        <v>13</v>
      </c>
      <c r="D966">
        <v>58425</v>
      </c>
      <c r="E966">
        <v>2283164</v>
      </c>
      <c r="F966">
        <v>2.5589000000000001E-2</v>
      </c>
      <c r="G966">
        <v>0.97441100000000003</v>
      </c>
      <c r="H966">
        <v>72304.010810000007</v>
      </c>
      <c r="I966">
        <v>1850.19</v>
      </c>
      <c r="J966">
        <v>71378.917140000005</v>
      </c>
      <c r="K966">
        <v>655177.15529999998</v>
      </c>
      <c r="L966">
        <v>9.0614220149999998</v>
      </c>
      <c r="M966">
        <v>0.72304010799999996</v>
      </c>
      <c r="N966">
        <v>-3.6655927073387473</v>
      </c>
      <c r="O966">
        <v>2.5920685436984364E-2</v>
      </c>
    </row>
    <row r="967" spans="1:15" x14ac:dyDescent="0.3">
      <c r="A967">
        <v>2019</v>
      </c>
      <c r="B967">
        <v>75</v>
      </c>
      <c r="C967" t="s">
        <v>13</v>
      </c>
      <c r="D967">
        <v>63147</v>
      </c>
      <c r="E967">
        <v>2198286</v>
      </c>
      <c r="F967">
        <v>2.8726000000000002E-2</v>
      </c>
      <c r="G967">
        <v>0.97127399999999997</v>
      </c>
      <c r="H967">
        <v>70453.788130000001</v>
      </c>
      <c r="I967">
        <v>2023.86</v>
      </c>
      <c r="J967">
        <v>69441.860369999995</v>
      </c>
      <c r="K967">
        <v>583798.23820000002</v>
      </c>
      <c r="L967">
        <v>8.286257612</v>
      </c>
      <c r="M967">
        <v>0.70453788100000003</v>
      </c>
      <c r="N967">
        <v>-3.5499526429725061</v>
      </c>
      <c r="O967">
        <v>2.9144662012551125E-2</v>
      </c>
    </row>
    <row r="968" spans="1:15" x14ac:dyDescent="0.3">
      <c r="A968">
        <v>2019</v>
      </c>
      <c r="B968">
        <v>76</v>
      </c>
      <c r="C968" t="s">
        <v>13</v>
      </c>
      <c r="D968">
        <v>69019</v>
      </c>
      <c r="E968">
        <v>2222392</v>
      </c>
      <c r="F968">
        <v>3.1056E-2</v>
      </c>
      <c r="G968">
        <v>0.96894400000000003</v>
      </c>
      <c r="H968">
        <v>68429.963489999995</v>
      </c>
      <c r="I968">
        <v>2125.16</v>
      </c>
      <c r="J968">
        <v>67367.383019999994</v>
      </c>
      <c r="K968">
        <v>514356.37780000002</v>
      </c>
      <c r="L968">
        <v>7.51653737</v>
      </c>
      <c r="M968">
        <v>0.68429963500000002</v>
      </c>
      <c r="N968">
        <v>-3.4719632525554824</v>
      </c>
      <c r="O968">
        <v>3.1545832659883602E-2</v>
      </c>
    </row>
    <row r="969" spans="1:15" x14ac:dyDescent="0.3">
      <c r="A969">
        <v>2019</v>
      </c>
      <c r="B969">
        <v>77</v>
      </c>
      <c r="C969" t="s">
        <v>13</v>
      </c>
      <c r="D969">
        <v>65894</v>
      </c>
      <c r="E969">
        <v>1911261</v>
      </c>
      <c r="F969">
        <v>3.4477000000000001E-2</v>
      </c>
      <c r="G969">
        <v>0.96552300000000002</v>
      </c>
      <c r="H969">
        <v>66304.790410000001</v>
      </c>
      <c r="I969">
        <v>2285.9899999999998</v>
      </c>
      <c r="J969">
        <v>65161.795279999998</v>
      </c>
      <c r="K969">
        <v>446988.99479999999</v>
      </c>
      <c r="L969">
        <v>6.741428365</v>
      </c>
      <c r="M969">
        <v>0.66304790400000002</v>
      </c>
      <c r="N969">
        <v>-3.3674628439325267</v>
      </c>
      <c r="O969">
        <v>3.5081747796056995E-2</v>
      </c>
    </row>
    <row r="970" spans="1:15" x14ac:dyDescent="0.3">
      <c r="A970">
        <v>2019</v>
      </c>
      <c r="B970">
        <v>78</v>
      </c>
      <c r="C970" t="s">
        <v>13</v>
      </c>
      <c r="D970">
        <v>65124</v>
      </c>
      <c r="E970">
        <v>1720817</v>
      </c>
      <c r="F970">
        <v>3.7844999999999997E-2</v>
      </c>
      <c r="G970">
        <v>0.96215499999999998</v>
      </c>
      <c r="H970">
        <v>64018.819080000001</v>
      </c>
      <c r="I970">
        <v>2422.79</v>
      </c>
      <c r="J970">
        <v>62807.422980000003</v>
      </c>
      <c r="K970">
        <v>381827.19949999999</v>
      </c>
      <c r="L970">
        <v>5.9642962019999999</v>
      </c>
      <c r="M970">
        <v>0.64018819100000002</v>
      </c>
      <c r="N970">
        <v>-3.2742564082210062</v>
      </c>
      <c r="O970">
        <v>3.8574895388232916E-2</v>
      </c>
    </row>
    <row r="971" spans="1:15" x14ac:dyDescent="0.3">
      <c r="A971">
        <v>2019</v>
      </c>
      <c r="B971">
        <v>79</v>
      </c>
      <c r="C971" t="s">
        <v>13</v>
      </c>
      <c r="D971">
        <v>66309</v>
      </c>
      <c r="E971">
        <v>1599909</v>
      </c>
      <c r="F971">
        <v>4.1445000000000003E-2</v>
      </c>
      <c r="G971">
        <v>0.95855500000000005</v>
      </c>
      <c r="H971">
        <v>61596.03875</v>
      </c>
      <c r="I971">
        <v>2552.85</v>
      </c>
      <c r="J971">
        <v>60319.614840000002</v>
      </c>
      <c r="K971">
        <v>319019.77649999998</v>
      </c>
      <c r="L971">
        <v>5.1792255310000002</v>
      </c>
      <c r="M971">
        <v>0.61596038799999997</v>
      </c>
      <c r="N971">
        <v>-3.1833880319386476</v>
      </c>
      <c r="O971">
        <v>4.2322064480447993E-2</v>
      </c>
    </row>
    <row r="972" spans="1:15" x14ac:dyDescent="0.3">
      <c r="A972">
        <v>2019</v>
      </c>
      <c r="B972">
        <v>80</v>
      </c>
      <c r="C972" t="s">
        <v>13</v>
      </c>
      <c r="D972">
        <v>68349</v>
      </c>
      <c r="E972">
        <v>1475278</v>
      </c>
      <c r="F972">
        <v>4.6330000000000003E-2</v>
      </c>
      <c r="G972">
        <v>0.95367000000000002</v>
      </c>
      <c r="H972">
        <v>59043.161220000002</v>
      </c>
      <c r="I972">
        <v>2735.47</v>
      </c>
      <c r="J972">
        <v>57675.426390000001</v>
      </c>
      <c r="K972">
        <v>258700.1617</v>
      </c>
      <c r="L972">
        <v>4.3815432019999996</v>
      </c>
      <c r="M972">
        <v>0.59043161200000005</v>
      </c>
      <c r="N972">
        <v>-3.0719655795535799</v>
      </c>
      <c r="O972">
        <v>4.7428681041112544E-2</v>
      </c>
    </row>
    <row r="973" spans="1:15" x14ac:dyDescent="0.3">
      <c r="A973">
        <v>2019</v>
      </c>
      <c r="B973">
        <v>81</v>
      </c>
      <c r="C973" t="s">
        <v>13</v>
      </c>
      <c r="D973">
        <v>70621</v>
      </c>
      <c r="E973">
        <v>1381641</v>
      </c>
      <c r="F973">
        <v>5.1114E-2</v>
      </c>
      <c r="G973">
        <v>0.94888600000000001</v>
      </c>
      <c r="H973">
        <v>56307.716769999999</v>
      </c>
      <c r="I973">
        <v>2878.11</v>
      </c>
      <c r="J973">
        <v>54868.660450000003</v>
      </c>
      <c r="K973">
        <v>201024.7353</v>
      </c>
      <c r="L973">
        <v>3.5701098679999999</v>
      </c>
      <c r="M973">
        <v>0.56307716799999996</v>
      </c>
      <c r="N973">
        <v>-2.9736968466933784</v>
      </c>
      <c r="O973">
        <v>5.2454529867167039E-2</v>
      </c>
    </row>
    <row r="974" spans="1:15" x14ac:dyDescent="0.3">
      <c r="A974">
        <v>2019</v>
      </c>
      <c r="B974">
        <v>82</v>
      </c>
      <c r="C974" t="s">
        <v>13</v>
      </c>
      <c r="D974">
        <v>71124</v>
      </c>
      <c r="E974">
        <v>1241341</v>
      </c>
      <c r="F974">
        <v>5.7296E-2</v>
      </c>
      <c r="G974">
        <v>0.94270399999999999</v>
      </c>
      <c r="H974">
        <v>53429.612200000003</v>
      </c>
      <c r="I974">
        <v>3061.3</v>
      </c>
      <c r="J974">
        <v>51898.96067</v>
      </c>
      <c r="K974">
        <v>146156.0748</v>
      </c>
      <c r="L974">
        <v>2.7354882210000002</v>
      </c>
      <c r="M974">
        <v>0.53429612199999998</v>
      </c>
      <c r="N974">
        <v>-2.8595244657260603</v>
      </c>
      <c r="O974">
        <v>5.8985770048782693E-2</v>
      </c>
    </row>
    <row r="975" spans="1:15" x14ac:dyDescent="0.3">
      <c r="A975">
        <v>2019</v>
      </c>
      <c r="B975">
        <v>83</v>
      </c>
      <c r="C975" t="s">
        <v>13</v>
      </c>
      <c r="D975">
        <v>73524</v>
      </c>
      <c r="E975">
        <v>1151190</v>
      </c>
      <c r="F975">
        <v>6.3867999999999994E-2</v>
      </c>
      <c r="G975">
        <v>0.93613199999999996</v>
      </c>
      <c r="H975">
        <v>50368.303720000004</v>
      </c>
      <c r="I975">
        <v>3216.92</v>
      </c>
      <c r="J975">
        <v>48759.84231</v>
      </c>
      <c r="K975">
        <v>94257.114170000001</v>
      </c>
      <c r="L975">
        <v>1.871357723</v>
      </c>
      <c r="M975">
        <v>0.50368303699999994</v>
      </c>
      <c r="N975">
        <v>-2.7509368255046822</v>
      </c>
      <c r="O975">
        <v>6.5974776680976219E-2</v>
      </c>
    </row>
    <row r="976" spans="1:15" x14ac:dyDescent="0.3">
      <c r="A976">
        <v>2019</v>
      </c>
      <c r="B976">
        <v>84</v>
      </c>
      <c r="C976" t="s">
        <v>13</v>
      </c>
      <c r="D976">
        <v>74916</v>
      </c>
      <c r="E976">
        <v>1067757</v>
      </c>
      <c r="F976">
        <v>7.0162000000000002E-2</v>
      </c>
      <c r="G976">
        <v>0.92983800000000005</v>
      </c>
      <c r="H976">
        <v>47151.389770000002</v>
      </c>
      <c r="I976">
        <v>3308.24</v>
      </c>
      <c r="J976">
        <v>45497.271869999997</v>
      </c>
      <c r="K976">
        <v>45497.271869999997</v>
      </c>
      <c r="L976">
        <v>0.96491899999999997</v>
      </c>
      <c r="M976">
        <v>0.47151389799999999</v>
      </c>
      <c r="N976">
        <v>-2.6569484250531259</v>
      </c>
      <c r="O976">
        <v>4.4963761540694001E-2</v>
      </c>
    </row>
    <row r="977" spans="1:15" x14ac:dyDescent="0.3">
      <c r="A977">
        <v>2020</v>
      </c>
      <c r="B977">
        <v>20</v>
      </c>
      <c r="C977" t="s">
        <v>11</v>
      </c>
      <c r="D977">
        <v>974</v>
      </c>
      <c r="E977">
        <v>2123140</v>
      </c>
      <c r="F977">
        <v>4.5899999999999999E-4</v>
      </c>
      <c r="G977">
        <v>0.99954100000000001</v>
      </c>
      <c r="H977">
        <v>100000</v>
      </c>
      <c r="I977">
        <v>45.9</v>
      </c>
      <c r="J977">
        <v>99977.05</v>
      </c>
      <c r="K977">
        <v>5752534.9649999999</v>
      </c>
      <c r="L977">
        <v>57.525349650000003</v>
      </c>
      <c r="M977">
        <v>1</v>
      </c>
      <c r="N977">
        <v>-7.6864603479037292</v>
      </c>
      <c r="O977">
        <v>4.5910530831308125E-4</v>
      </c>
    </row>
    <row r="978" spans="1:15" x14ac:dyDescent="0.3">
      <c r="A978">
        <v>2020</v>
      </c>
      <c r="B978">
        <v>21</v>
      </c>
      <c r="C978" t="s">
        <v>11</v>
      </c>
      <c r="D978">
        <v>1163</v>
      </c>
      <c r="E978">
        <v>2094326</v>
      </c>
      <c r="F978">
        <v>5.5500000000000005E-4</v>
      </c>
      <c r="G978">
        <v>0.99944500000000003</v>
      </c>
      <c r="H978">
        <v>99954.124549999993</v>
      </c>
      <c r="I978">
        <v>55.47</v>
      </c>
      <c r="J978">
        <v>99926.387279999995</v>
      </c>
      <c r="K978">
        <v>5652557.915</v>
      </c>
      <c r="L978">
        <v>56.551522409999997</v>
      </c>
      <c r="M978">
        <v>0.99954124600000005</v>
      </c>
      <c r="N978">
        <v>-7.4965424442178392</v>
      </c>
      <c r="O978">
        <v>5.5510871661159505E-4</v>
      </c>
    </row>
    <row r="979" spans="1:15" x14ac:dyDescent="0.3">
      <c r="A979">
        <v>2020</v>
      </c>
      <c r="B979">
        <v>22</v>
      </c>
      <c r="C979" t="s">
        <v>11</v>
      </c>
      <c r="D979">
        <v>1168</v>
      </c>
      <c r="E979">
        <v>2100049</v>
      </c>
      <c r="F979">
        <v>5.5599999999999996E-4</v>
      </c>
      <c r="G979">
        <v>0.999444</v>
      </c>
      <c r="H979">
        <v>99898.619030000002</v>
      </c>
      <c r="I979">
        <v>55.54</v>
      </c>
      <c r="J979">
        <v>99870.847210000007</v>
      </c>
      <c r="K979">
        <v>5552631.5269999998</v>
      </c>
      <c r="L979">
        <v>55.582665519999999</v>
      </c>
      <c r="M979">
        <v>0.99898619</v>
      </c>
      <c r="N979">
        <v>-7.4947422637136922</v>
      </c>
      <c r="O979">
        <v>5.5611829156133235E-4</v>
      </c>
    </row>
    <row r="980" spans="1:15" x14ac:dyDescent="0.3">
      <c r="A980">
        <v>2020</v>
      </c>
      <c r="B980">
        <v>23</v>
      </c>
      <c r="C980" t="s">
        <v>11</v>
      </c>
      <c r="D980">
        <v>1338</v>
      </c>
      <c r="E980">
        <v>2113597</v>
      </c>
      <c r="F980">
        <v>6.3299999999999999E-4</v>
      </c>
      <c r="G980">
        <v>0.99936700000000001</v>
      </c>
      <c r="H980">
        <v>99843.057669999995</v>
      </c>
      <c r="I980">
        <v>63.2</v>
      </c>
      <c r="J980">
        <v>99811.457339999994</v>
      </c>
      <c r="K980">
        <v>5452760.6799999997</v>
      </c>
      <c r="L980">
        <v>54.613318210000003</v>
      </c>
      <c r="M980">
        <v>0.99843057700000004</v>
      </c>
      <c r="N980">
        <v>-7.3650401358200979</v>
      </c>
      <c r="O980">
        <v>6.3319385443471286E-4</v>
      </c>
    </row>
    <row r="981" spans="1:15" x14ac:dyDescent="0.3">
      <c r="A981">
        <v>2020</v>
      </c>
      <c r="B981">
        <v>24</v>
      </c>
      <c r="C981" t="s">
        <v>11</v>
      </c>
      <c r="D981">
        <v>1362</v>
      </c>
      <c r="E981">
        <v>2130797</v>
      </c>
      <c r="F981">
        <v>6.3900000000000003E-4</v>
      </c>
      <c r="G981">
        <v>0.99936100000000005</v>
      </c>
      <c r="H981">
        <v>99779.852620000005</v>
      </c>
      <c r="I981">
        <v>63.76</v>
      </c>
      <c r="J981">
        <v>99747.972959999999</v>
      </c>
      <c r="K981">
        <v>5352949.2230000002</v>
      </c>
      <c r="L981">
        <v>53.647596</v>
      </c>
      <c r="M981">
        <v>0.99779852599999996</v>
      </c>
      <c r="N981">
        <v>-7.3556061035867391</v>
      </c>
      <c r="O981">
        <v>6.3921104767706216E-4</v>
      </c>
    </row>
    <row r="982" spans="1:15" x14ac:dyDescent="0.3">
      <c r="A982">
        <v>2020</v>
      </c>
      <c r="B982">
        <v>25</v>
      </c>
      <c r="C982" t="s">
        <v>11</v>
      </c>
      <c r="D982">
        <v>1563</v>
      </c>
      <c r="E982">
        <v>2177731</v>
      </c>
      <c r="F982">
        <v>7.18E-4</v>
      </c>
      <c r="G982">
        <v>0.999282</v>
      </c>
      <c r="H982">
        <v>99716.07359</v>
      </c>
      <c r="I982">
        <v>71.599999999999994</v>
      </c>
      <c r="J982">
        <v>99680.275519999996</v>
      </c>
      <c r="K982">
        <v>5253201.25</v>
      </c>
      <c r="L982">
        <v>52.681589440000003</v>
      </c>
      <c r="M982">
        <v>0.99716073599999999</v>
      </c>
      <c r="N982">
        <v>-7.2390409889160496</v>
      </c>
      <c r="O982">
        <v>7.1829646919723802E-4</v>
      </c>
    </row>
    <row r="983" spans="1:15" x14ac:dyDescent="0.3">
      <c r="A983">
        <v>2020</v>
      </c>
      <c r="B983">
        <v>26</v>
      </c>
      <c r="C983" t="s">
        <v>11</v>
      </c>
      <c r="D983">
        <v>1613</v>
      </c>
      <c r="E983">
        <v>2223511</v>
      </c>
      <c r="F983">
        <v>7.2499999999999995E-4</v>
      </c>
      <c r="G983">
        <v>0.99927500000000002</v>
      </c>
      <c r="H983">
        <v>99644.505420000001</v>
      </c>
      <c r="I983">
        <v>72.239999999999995</v>
      </c>
      <c r="J983">
        <v>99608.384290000002</v>
      </c>
      <c r="K983">
        <v>5153520.9740000004</v>
      </c>
      <c r="L983">
        <v>51.719068229999998</v>
      </c>
      <c r="M983">
        <v>0.99644505400000005</v>
      </c>
      <c r="N983">
        <v>-7.2293389031095998</v>
      </c>
      <c r="O983">
        <v>7.252403101185793E-4</v>
      </c>
    </row>
    <row r="984" spans="1:15" x14ac:dyDescent="0.3">
      <c r="A984">
        <v>2020</v>
      </c>
      <c r="B984">
        <v>27</v>
      </c>
      <c r="C984" t="s">
        <v>11</v>
      </c>
      <c r="D984">
        <v>1819</v>
      </c>
      <c r="E984">
        <v>2255755</v>
      </c>
      <c r="F984">
        <v>8.0599999999999997E-4</v>
      </c>
      <c r="G984">
        <v>0.99919400000000003</v>
      </c>
      <c r="H984">
        <v>99572.220379999999</v>
      </c>
      <c r="I984">
        <v>80.260000000000005</v>
      </c>
      <c r="J984">
        <v>99532.092780000006</v>
      </c>
      <c r="K984">
        <v>5053912.59</v>
      </c>
      <c r="L984">
        <v>50.756250799999997</v>
      </c>
      <c r="M984">
        <v>0.995722204</v>
      </c>
      <c r="N984">
        <v>-7.1234268154576457</v>
      </c>
      <c r="O984">
        <v>8.0637323194460489E-4</v>
      </c>
    </row>
    <row r="985" spans="1:15" x14ac:dyDescent="0.3">
      <c r="A985">
        <v>2020</v>
      </c>
      <c r="B985">
        <v>28</v>
      </c>
      <c r="C985" t="s">
        <v>11</v>
      </c>
      <c r="D985">
        <v>1951</v>
      </c>
      <c r="E985">
        <v>2322743</v>
      </c>
      <c r="F985">
        <v>8.4000000000000003E-4</v>
      </c>
      <c r="G985">
        <v>0.99916000000000005</v>
      </c>
      <c r="H985">
        <v>99491.92714</v>
      </c>
      <c r="I985">
        <v>83.57</v>
      </c>
      <c r="J985">
        <v>99450.140530000004</v>
      </c>
      <c r="K985">
        <v>4954380.4970000004</v>
      </c>
      <c r="L985">
        <v>49.796809039999999</v>
      </c>
      <c r="M985">
        <v>0.99491927099999999</v>
      </c>
      <c r="N985">
        <v>-7.0821086661269144</v>
      </c>
      <c r="O985">
        <v>8.4032056345737915E-4</v>
      </c>
    </row>
    <row r="986" spans="1:15" x14ac:dyDescent="0.3">
      <c r="A986">
        <v>2020</v>
      </c>
      <c r="B986">
        <v>29</v>
      </c>
      <c r="C986" t="s">
        <v>11</v>
      </c>
      <c r="D986">
        <v>2196</v>
      </c>
      <c r="E986">
        <v>2376377</v>
      </c>
      <c r="F986">
        <v>9.2400000000000002E-4</v>
      </c>
      <c r="G986">
        <v>0.99907599999999996</v>
      </c>
      <c r="H986">
        <v>99408.358380000005</v>
      </c>
      <c r="I986">
        <v>91.85</v>
      </c>
      <c r="J986">
        <v>99362.431719999993</v>
      </c>
      <c r="K986">
        <v>4854930.3569999998</v>
      </c>
      <c r="L986">
        <v>48.838250989999999</v>
      </c>
      <c r="M986">
        <v>0.99408358399999996</v>
      </c>
      <c r="N986">
        <v>-6.9867984863225896</v>
      </c>
      <c r="O986">
        <v>9.243936849185028E-4</v>
      </c>
    </row>
    <row r="987" spans="1:15" x14ac:dyDescent="0.3">
      <c r="A987">
        <v>2020</v>
      </c>
      <c r="B987">
        <v>30</v>
      </c>
      <c r="C987" t="s">
        <v>11</v>
      </c>
      <c r="D987">
        <v>2336</v>
      </c>
      <c r="E987">
        <v>2375032</v>
      </c>
      <c r="F987">
        <v>9.8400000000000007E-4</v>
      </c>
      <c r="G987">
        <v>0.99901600000000002</v>
      </c>
      <c r="H987">
        <v>99316.495540000004</v>
      </c>
      <c r="I987">
        <v>97.73</v>
      </c>
      <c r="J987">
        <v>99267.631819999995</v>
      </c>
      <c r="K987">
        <v>4755567.9249999998</v>
      </c>
      <c r="L987">
        <v>47.882961430000002</v>
      </c>
      <c r="M987">
        <v>0.99316495500000002</v>
      </c>
      <c r="N987">
        <v>-6.9238846609120204</v>
      </c>
      <c r="O987">
        <v>9.845100257990496E-4</v>
      </c>
    </row>
    <row r="988" spans="1:15" x14ac:dyDescent="0.3">
      <c r="A988">
        <v>2020</v>
      </c>
      <c r="B988">
        <v>31</v>
      </c>
      <c r="C988" t="s">
        <v>11</v>
      </c>
      <c r="D988">
        <v>2307</v>
      </c>
      <c r="E988">
        <v>2281303</v>
      </c>
      <c r="F988">
        <v>1.011E-3</v>
      </c>
      <c r="G988">
        <v>0.99898900000000002</v>
      </c>
      <c r="H988">
        <v>99218.811239999995</v>
      </c>
      <c r="I988">
        <v>100.31</v>
      </c>
      <c r="J988">
        <v>99168.656130000003</v>
      </c>
      <c r="K988">
        <v>4656300.2929999996</v>
      </c>
      <c r="L988">
        <v>46.929611780000002</v>
      </c>
      <c r="M988">
        <v>0.99218811200000001</v>
      </c>
      <c r="N988">
        <v>-6.8968153389438029</v>
      </c>
      <c r="O988">
        <v>1.0115092527253021E-3</v>
      </c>
    </row>
    <row r="989" spans="1:15" x14ac:dyDescent="0.3">
      <c r="A989">
        <v>2020</v>
      </c>
      <c r="B989">
        <v>32</v>
      </c>
      <c r="C989" t="s">
        <v>11</v>
      </c>
      <c r="D989">
        <v>2527</v>
      </c>
      <c r="E989">
        <v>2228352</v>
      </c>
      <c r="F989">
        <v>1.134E-3</v>
      </c>
      <c r="G989">
        <v>0.99886600000000003</v>
      </c>
      <c r="H989">
        <v>99118.47481</v>
      </c>
      <c r="I989">
        <v>112.4</v>
      </c>
      <c r="J989">
        <v>99062.27463</v>
      </c>
      <c r="K989">
        <v>4557131.6370000001</v>
      </c>
      <c r="L989">
        <v>45.976611779999999</v>
      </c>
      <c r="M989">
        <v>0.991184748</v>
      </c>
      <c r="N989">
        <v>-6.7820040736765765</v>
      </c>
      <c r="O989">
        <v>1.1346398176826421E-3</v>
      </c>
    </row>
    <row r="990" spans="1:15" x14ac:dyDescent="0.3">
      <c r="A990">
        <v>2020</v>
      </c>
      <c r="B990">
        <v>33</v>
      </c>
      <c r="C990" t="s">
        <v>11</v>
      </c>
      <c r="D990">
        <v>2653</v>
      </c>
      <c r="E990">
        <v>2188527</v>
      </c>
      <c r="F990">
        <v>1.212E-3</v>
      </c>
      <c r="G990">
        <v>0.99878800000000001</v>
      </c>
      <c r="H990">
        <v>99006.072289999996</v>
      </c>
      <c r="I990">
        <v>120</v>
      </c>
      <c r="J990">
        <v>98946.074609999996</v>
      </c>
      <c r="K990">
        <v>4458069.3619999997</v>
      </c>
      <c r="L990">
        <v>45.028241800000004</v>
      </c>
      <c r="M990">
        <v>0.99006072300000003</v>
      </c>
      <c r="N990">
        <v>-6.715483391335014</v>
      </c>
      <c r="O990">
        <v>1.212781955576133E-3</v>
      </c>
    </row>
    <row r="991" spans="1:15" x14ac:dyDescent="0.3">
      <c r="A991">
        <v>2020</v>
      </c>
      <c r="B991">
        <v>34</v>
      </c>
      <c r="C991" t="s">
        <v>11</v>
      </c>
      <c r="D991">
        <v>2689</v>
      </c>
      <c r="E991">
        <v>2195936</v>
      </c>
      <c r="F991">
        <v>1.225E-3</v>
      </c>
      <c r="G991">
        <v>0.99877499999999997</v>
      </c>
      <c r="H991">
        <v>98886.054069999998</v>
      </c>
      <c r="I991">
        <v>121.14</v>
      </c>
      <c r="J991">
        <v>98825.486359999995</v>
      </c>
      <c r="K991">
        <v>4359123.2879999997</v>
      </c>
      <c r="L991">
        <v>44.082285710000001</v>
      </c>
      <c r="M991">
        <v>0.98886054099999998</v>
      </c>
      <c r="N991">
        <v>-6.7048144349854466</v>
      </c>
      <c r="O991">
        <v>1.2257968694356447E-3</v>
      </c>
    </row>
    <row r="992" spans="1:15" x14ac:dyDescent="0.3">
      <c r="A992">
        <v>2020</v>
      </c>
      <c r="B992">
        <v>35</v>
      </c>
      <c r="C992" t="s">
        <v>11</v>
      </c>
      <c r="D992">
        <v>2860</v>
      </c>
      <c r="E992">
        <v>2215833</v>
      </c>
      <c r="F992">
        <v>1.291E-3</v>
      </c>
      <c r="G992">
        <v>0.99870899999999996</v>
      </c>
      <c r="H992">
        <v>98764.964659999998</v>
      </c>
      <c r="I992">
        <v>127.51</v>
      </c>
      <c r="J992">
        <v>98701.211880000003</v>
      </c>
      <c r="K992">
        <v>4260297.801</v>
      </c>
      <c r="L992">
        <v>43.135719389999998</v>
      </c>
      <c r="M992">
        <v>0.98764964700000002</v>
      </c>
      <c r="N992">
        <v>-6.6523381671176312</v>
      </c>
      <c r="O992">
        <v>1.2918785812516414E-3</v>
      </c>
    </row>
    <row r="993" spans="1:15" x14ac:dyDescent="0.3">
      <c r="A993">
        <v>2020</v>
      </c>
      <c r="B993">
        <v>36</v>
      </c>
      <c r="C993" t="s">
        <v>11</v>
      </c>
      <c r="D993">
        <v>2980</v>
      </c>
      <c r="E993">
        <v>2151567</v>
      </c>
      <c r="F993">
        <v>1.3849999999999999E-3</v>
      </c>
      <c r="G993">
        <v>0.99861500000000003</v>
      </c>
      <c r="H993">
        <v>98637.487630000003</v>
      </c>
      <c r="I993">
        <v>136.61000000000001</v>
      </c>
      <c r="J993">
        <v>98569.181169999996</v>
      </c>
      <c r="K993">
        <v>4161596.59</v>
      </c>
      <c r="L993">
        <v>42.190821049999997</v>
      </c>
      <c r="M993">
        <v>0.98637487599999996</v>
      </c>
      <c r="N993">
        <v>-6.5820551393428355</v>
      </c>
      <c r="O993">
        <v>1.3859301752107936E-3</v>
      </c>
    </row>
    <row r="994" spans="1:15" x14ac:dyDescent="0.3">
      <c r="A994">
        <v>2020</v>
      </c>
      <c r="B994">
        <v>37</v>
      </c>
      <c r="C994" t="s">
        <v>11</v>
      </c>
      <c r="D994">
        <v>3282</v>
      </c>
      <c r="E994">
        <v>2183495</v>
      </c>
      <c r="F994">
        <v>1.503E-3</v>
      </c>
      <c r="G994">
        <v>0.99849699999999997</v>
      </c>
      <c r="H994">
        <v>98500.871060000005</v>
      </c>
      <c r="I994">
        <v>148.05000000000001</v>
      </c>
      <c r="J994">
        <v>98426.847659999999</v>
      </c>
      <c r="K994">
        <v>4063027.4079999998</v>
      </c>
      <c r="L994">
        <v>41.24864445</v>
      </c>
      <c r="M994">
        <v>0.98500871099999998</v>
      </c>
      <c r="N994">
        <v>-6.5002921682113</v>
      </c>
      <c r="O994">
        <v>1.5041628432861801E-3</v>
      </c>
    </row>
    <row r="995" spans="1:15" x14ac:dyDescent="0.3">
      <c r="A995">
        <v>2020</v>
      </c>
      <c r="B995">
        <v>38</v>
      </c>
      <c r="C995" t="s">
        <v>11</v>
      </c>
      <c r="D995">
        <v>3342</v>
      </c>
      <c r="E995">
        <v>2182398</v>
      </c>
      <c r="F995">
        <v>1.531E-3</v>
      </c>
      <c r="G995">
        <v>0.99846900000000005</v>
      </c>
      <c r="H995">
        <v>98352.814910000001</v>
      </c>
      <c r="I995">
        <v>150.58000000000001</v>
      </c>
      <c r="J995">
        <v>98277.525829999999</v>
      </c>
      <c r="K995">
        <v>3964600.5610000002</v>
      </c>
      <c r="L995">
        <v>40.309985679999997</v>
      </c>
      <c r="M995">
        <v>0.98352814899999996</v>
      </c>
      <c r="N995">
        <v>-6.4818341623065905</v>
      </c>
      <c r="O995">
        <v>1.5321918676356324E-3</v>
      </c>
    </row>
    <row r="996" spans="1:15" x14ac:dyDescent="0.3">
      <c r="A996">
        <v>2020</v>
      </c>
      <c r="B996">
        <v>39</v>
      </c>
      <c r="C996" t="s">
        <v>11</v>
      </c>
      <c r="D996">
        <v>3551</v>
      </c>
      <c r="E996">
        <v>2157423</v>
      </c>
      <c r="F996">
        <v>1.6459999999999999E-3</v>
      </c>
      <c r="G996">
        <v>0.99835399999999996</v>
      </c>
      <c r="H996">
        <v>98202.203009999997</v>
      </c>
      <c r="I996">
        <v>161.63999999999999</v>
      </c>
      <c r="J996">
        <v>98121.382599999997</v>
      </c>
      <c r="K996">
        <v>3866323.0350000001</v>
      </c>
      <c r="L996">
        <v>39.371041750000003</v>
      </c>
      <c r="M996">
        <v>0.98202202999999999</v>
      </c>
      <c r="N996">
        <v>-6.4094071767272593</v>
      </c>
      <c r="O996">
        <v>1.6473473088692058E-3</v>
      </c>
    </row>
    <row r="997" spans="1:15" x14ac:dyDescent="0.3">
      <c r="A997">
        <v>2020</v>
      </c>
      <c r="B997">
        <v>40</v>
      </c>
      <c r="C997" t="s">
        <v>11</v>
      </c>
      <c r="D997">
        <v>3714</v>
      </c>
      <c r="E997">
        <v>2186513</v>
      </c>
      <c r="F997">
        <v>1.699E-3</v>
      </c>
      <c r="G997">
        <v>0.99830099999999999</v>
      </c>
      <c r="H997">
        <v>98040.567569999999</v>
      </c>
      <c r="I997">
        <v>166.57</v>
      </c>
      <c r="J997">
        <v>97957.28211</v>
      </c>
      <c r="K997">
        <v>3768201.6519999998</v>
      </c>
      <c r="L997">
        <v>38.435126859999997</v>
      </c>
      <c r="M997">
        <v>0.98040567599999995</v>
      </c>
      <c r="N997">
        <v>-6.3777154362923421</v>
      </c>
      <c r="O997">
        <v>1.7004347472536288E-3</v>
      </c>
    </row>
    <row r="998" spans="1:15" x14ac:dyDescent="0.3">
      <c r="A998">
        <v>2020</v>
      </c>
      <c r="B998">
        <v>41</v>
      </c>
      <c r="C998" t="s">
        <v>11</v>
      </c>
      <c r="D998">
        <v>3947</v>
      </c>
      <c r="E998">
        <v>2057329</v>
      </c>
      <c r="F998">
        <v>1.9189999999999999E-3</v>
      </c>
      <c r="G998">
        <v>0.998081</v>
      </c>
      <c r="H998">
        <v>97874.036349999995</v>
      </c>
      <c r="I998">
        <v>187.82</v>
      </c>
      <c r="J998">
        <v>97780.126210000002</v>
      </c>
      <c r="K998">
        <v>3670244.37</v>
      </c>
      <c r="L998">
        <v>37.499673119999997</v>
      </c>
      <c r="M998">
        <v>0.97874036399999997</v>
      </c>
      <c r="N998">
        <v>-6.2559510619565746</v>
      </c>
      <c r="O998">
        <v>1.9208397547653025E-3</v>
      </c>
    </row>
    <row r="999" spans="1:15" x14ac:dyDescent="0.3">
      <c r="A999">
        <v>2020</v>
      </c>
      <c r="B999">
        <v>42</v>
      </c>
      <c r="C999" t="s">
        <v>11</v>
      </c>
      <c r="D999">
        <v>3867</v>
      </c>
      <c r="E999">
        <v>2016979</v>
      </c>
      <c r="F999">
        <v>1.9170000000000001E-3</v>
      </c>
      <c r="G999">
        <v>0.99808300000000005</v>
      </c>
      <c r="H999">
        <v>97686.264330000005</v>
      </c>
      <c r="I999">
        <v>187.26</v>
      </c>
      <c r="J999">
        <v>97592.63205</v>
      </c>
      <c r="K999">
        <v>3572464.2439999999</v>
      </c>
      <c r="L999">
        <v>36.570793940000001</v>
      </c>
      <c r="M999">
        <v>0.97686264300000003</v>
      </c>
      <c r="N999">
        <v>-6.2569938149186299</v>
      </c>
      <c r="O999">
        <v>1.9187926079958944E-3</v>
      </c>
    </row>
    <row r="1000" spans="1:15" x14ac:dyDescent="0.3">
      <c r="A1000">
        <v>2020</v>
      </c>
      <c r="B1000">
        <v>43</v>
      </c>
      <c r="C1000" t="s">
        <v>11</v>
      </c>
      <c r="D1000">
        <v>4143</v>
      </c>
      <c r="E1000">
        <v>2000043</v>
      </c>
      <c r="F1000">
        <v>2.0709999999999999E-3</v>
      </c>
      <c r="G1000">
        <v>0.99792899999999995</v>
      </c>
      <c r="H1000">
        <v>97498.977910000001</v>
      </c>
      <c r="I1000">
        <v>201.92</v>
      </c>
      <c r="J1000">
        <v>97398.017720000003</v>
      </c>
      <c r="K1000">
        <v>3474871.6120000002</v>
      </c>
      <c r="L1000">
        <v>35.640082450000001</v>
      </c>
      <c r="M1000">
        <v>0.97498977899999995</v>
      </c>
      <c r="N1000">
        <v>-6.1797236965686899</v>
      </c>
      <c r="O1000">
        <v>2.0731432811561591E-3</v>
      </c>
    </row>
    <row r="1001" spans="1:15" x14ac:dyDescent="0.3">
      <c r="A1001">
        <v>2020</v>
      </c>
      <c r="B1001">
        <v>44</v>
      </c>
      <c r="C1001" t="s">
        <v>11</v>
      </c>
      <c r="D1001">
        <v>4310</v>
      </c>
      <c r="E1001">
        <v>1938744</v>
      </c>
      <c r="F1001">
        <v>2.2230000000000001E-3</v>
      </c>
      <c r="G1001">
        <v>0.99777700000000003</v>
      </c>
      <c r="H1001">
        <v>97297.013120000003</v>
      </c>
      <c r="I1001">
        <v>216.29</v>
      </c>
      <c r="J1001">
        <v>97188.867490000004</v>
      </c>
      <c r="K1001">
        <v>3377473.594</v>
      </c>
      <c r="L1001">
        <v>34.713024439999998</v>
      </c>
      <c r="M1001">
        <v>0.97297013099999996</v>
      </c>
      <c r="N1001">
        <v>-6.1088976440000771</v>
      </c>
      <c r="O1001">
        <v>2.2254607466873203E-3</v>
      </c>
    </row>
    <row r="1002" spans="1:15" x14ac:dyDescent="0.3">
      <c r="A1002">
        <v>2020</v>
      </c>
      <c r="B1002">
        <v>45</v>
      </c>
      <c r="C1002" t="s">
        <v>11</v>
      </c>
      <c r="D1002">
        <v>4725</v>
      </c>
      <c r="E1002">
        <v>1991382</v>
      </c>
      <c r="F1002">
        <v>2.3730000000000001E-3</v>
      </c>
      <c r="G1002">
        <v>0.99762700000000004</v>
      </c>
      <c r="H1002">
        <v>97080.713220000005</v>
      </c>
      <c r="I1002">
        <v>230.37</v>
      </c>
      <c r="J1002">
        <v>96965.526949999999</v>
      </c>
      <c r="K1002">
        <v>3280284.727</v>
      </c>
      <c r="L1002">
        <v>33.789252449999999</v>
      </c>
      <c r="M1002">
        <v>0.97080713200000002</v>
      </c>
      <c r="N1002">
        <v>-6.0436003015285102</v>
      </c>
      <c r="O1002">
        <v>2.3757924636780515E-3</v>
      </c>
    </row>
    <row r="1003" spans="1:15" x14ac:dyDescent="0.3">
      <c r="A1003">
        <v>2020</v>
      </c>
      <c r="B1003">
        <v>46</v>
      </c>
      <c r="C1003" t="s">
        <v>11</v>
      </c>
      <c r="D1003">
        <v>4986</v>
      </c>
      <c r="E1003">
        <v>1933297</v>
      </c>
      <c r="F1003">
        <v>2.5790000000000001E-3</v>
      </c>
      <c r="G1003">
        <v>0.997421</v>
      </c>
      <c r="H1003">
        <v>96850.367480000001</v>
      </c>
      <c r="I1003">
        <v>249.78</v>
      </c>
      <c r="J1003">
        <v>96725.478929999997</v>
      </c>
      <c r="K1003">
        <v>3183319.2</v>
      </c>
      <c r="L1003">
        <v>32.868426650000004</v>
      </c>
      <c r="M1003">
        <v>0.96850367500000001</v>
      </c>
      <c r="N1003">
        <v>-5.9603535520829292</v>
      </c>
      <c r="O1003">
        <v>2.5823599378274461E-3</v>
      </c>
    </row>
    <row r="1004" spans="1:15" x14ac:dyDescent="0.3">
      <c r="A1004">
        <v>2020</v>
      </c>
      <c r="B1004">
        <v>47</v>
      </c>
      <c r="C1004" t="s">
        <v>11</v>
      </c>
      <c r="D1004">
        <v>5510</v>
      </c>
      <c r="E1004">
        <v>1964957</v>
      </c>
      <c r="F1004">
        <v>2.8040000000000001E-3</v>
      </c>
      <c r="G1004">
        <v>0.99719599999999997</v>
      </c>
      <c r="H1004">
        <v>96600.589019999999</v>
      </c>
      <c r="I1004">
        <v>270.87</v>
      </c>
      <c r="J1004">
        <v>96465.154989999995</v>
      </c>
      <c r="K1004">
        <v>3086593.7209999999</v>
      </c>
      <c r="L1004">
        <v>31.952121120000001</v>
      </c>
      <c r="M1004">
        <v>0.96600589000000003</v>
      </c>
      <c r="N1004">
        <v>-5.8767083098097936</v>
      </c>
      <c r="O1004">
        <v>2.8079571115498139E-3</v>
      </c>
    </row>
    <row r="1005" spans="1:15" x14ac:dyDescent="0.3">
      <c r="A1005">
        <v>2020</v>
      </c>
      <c r="B1005">
        <v>48</v>
      </c>
      <c r="C1005" t="s">
        <v>11</v>
      </c>
      <c r="D1005">
        <v>6121</v>
      </c>
      <c r="E1005">
        <v>2046809</v>
      </c>
      <c r="F1005">
        <v>2.9910000000000002E-3</v>
      </c>
      <c r="G1005">
        <v>0.99700900000000003</v>
      </c>
      <c r="H1005">
        <v>96329.708159999995</v>
      </c>
      <c r="I1005">
        <v>288.12</v>
      </c>
      <c r="J1005">
        <v>96185.647079999995</v>
      </c>
      <c r="K1005">
        <v>2990128.5660000001</v>
      </c>
      <c r="L1005">
        <v>31.040564979999999</v>
      </c>
      <c r="M1005">
        <v>0.96329708199999997</v>
      </c>
      <c r="N1005">
        <v>-5.8121474993343263</v>
      </c>
      <c r="O1005">
        <v>2.9954565763632732E-3</v>
      </c>
    </row>
    <row r="1006" spans="1:15" x14ac:dyDescent="0.3">
      <c r="A1006">
        <v>2020</v>
      </c>
      <c r="B1006">
        <v>49</v>
      </c>
      <c r="C1006" t="s">
        <v>11</v>
      </c>
      <c r="D1006">
        <v>6935</v>
      </c>
      <c r="E1006">
        <v>2161257</v>
      </c>
      <c r="F1006">
        <v>3.209E-3</v>
      </c>
      <c r="G1006">
        <v>0.99679099999999998</v>
      </c>
      <c r="H1006">
        <v>96041.63334</v>
      </c>
      <c r="I1006">
        <v>308.2</v>
      </c>
      <c r="J1006">
        <v>95887.534539999993</v>
      </c>
      <c r="K1006">
        <v>2893942.9190000002</v>
      </c>
      <c r="L1006">
        <v>30.132171</v>
      </c>
      <c r="M1006">
        <v>0.96041633299999996</v>
      </c>
      <c r="N1006">
        <v>-5.741795916854417</v>
      </c>
      <c r="O1006">
        <v>3.2141817771127435E-3</v>
      </c>
    </row>
    <row r="1007" spans="1:15" x14ac:dyDescent="0.3">
      <c r="A1007">
        <v>2020</v>
      </c>
      <c r="B1007">
        <v>50</v>
      </c>
      <c r="C1007" t="s">
        <v>11</v>
      </c>
      <c r="D1007">
        <v>7503</v>
      </c>
      <c r="E1007">
        <v>2176827</v>
      </c>
      <c r="F1007">
        <v>3.447E-3</v>
      </c>
      <c r="G1007">
        <v>0.99655300000000002</v>
      </c>
      <c r="H1007">
        <v>95733.456789999997</v>
      </c>
      <c r="I1007">
        <v>329.99</v>
      </c>
      <c r="J1007">
        <v>95568.460179999995</v>
      </c>
      <c r="K1007">
        <v>2798055.3840000001</v>
      </c>
      <c r="L1007">
        <v>29.227560329999999</v>
      </c>
      <c r="M1007">
        <v>0.95733456800000005</v>
      </c>
      <c r="N1007">
        <v>-5.6702509914474089</v>
      </c>
      <c r="O1007">
        <v>3.4529169948376136E-3</v>
      </c>
    </row>
    <row r="1008" spans="1:15" x14ac:dyDescent="0.3">
      <c r="A1008">
        <v>2020</v>
      </c>
      <c r="B1008">
        <v>51</v>
      </c>
      <c r="C1008" t="s">
        <v>11</v>
      </c>
      <c r="D1008">
        <v>7879</v>
      </c>
      <c r="E1008">
        <v>2063731</v>
      </c>
      <c r="F1008">
        <v>3.8180000000000002E-3</v>
      </c>
      <c r="G1008">
        <v>0.99618200000000001</v>
      </c>
      <c r="H1008">
        <v>95403.486550000001</v>
      </c>
      <c r="I1008">
        <v>364.25</v>
      </c>
      <c r="J1008">
        <v>95221.361290000001</v>
      </c>
      <c r="K1008">
        <v>2702486.9240000001</v>
      </c>
      <c r="L1008">
        <v>28.326919920000002</v>
      </c>
      <c r="M1008">
        <v>0.95403486599999998</v>
      </c>
      <c r="N1008">
        <v>-5.5680285536785812</v>
      </c>
      <c r="O1008">
        <v>3.8252968275002733E-3</v>
      </c>
    </row>
    <row r="1009" spans="1:15" x14ac:dyDescent="0.3">
      <c r="A1009">
        <v>2020</v>
      </c>
      <c r="B1009">
        <v>52</v>
      </c>
      <c r="C1009" t="s">
        <v>11</v>
      </c>
      <c r="D1009">
        <v>8378</v>
      </c>
      <c r="E1009">
        <v>2019631</v>
      </c>
      <c r="F1009">
        <v>4.1479999999999998E-3</v>
      </c>
      <c r="G1009">
        <v>0.99585199999999996</v>
      </c>
      <c r="H1009">
        <v>95039.251059999995</v>
      </c>
      <c r="I1009">
        <v>394.22</v>
      </c>
      <c r="J1009">
        <v>94842.139649999997</v>
      </c>
      <c r="K1009">
        <v>2607265.5630000001</v>
      </c>
      <c r="L1009">
        <v>27.433565959999999</v>
      </c>
      <c r="M1009">
        <v>0.950392511</v>
      </c>
      <c r="N1009">
        <v>-5.4851289886148562</v>
      </c>
      <c r="O1009">
        <v>4.1565917561228738E-3</v>
      </c>
    </row>
    <row r="1010" spans="1:15" x14ac:dyDescent="0.3">
      <c r="A1010">
        <v>2020</v>
      </c>
      <c r="B1010">
        <v>53</v>
      </c>
      <c r="C1010" t="s">
        <v>11</v>
      </c>
      <c r="D1010">
        <v>9133</v>
      </c>
      <c r="E1010">
        <v>2024943</v>
      </c>
      <c r="F1010">
        <v>4.5100000000000001E-3</v>
      </c>
      <c r="G1010">
        <v>0.99548999999999999</v>
      </c>
      <c r="H1010">
        <v>94645.001390000005</v>
      </c>
      <c r="I1010">
        <v>426.85</v>
      </c>
      <c r="J1010">
        <v>94431.576910000003</v>
      </c>
      <c r="K1010">
        <v>2512423.423</v>
      </c>
      <c r="L1010">
        <v>26.545759270000001</v>
      </c>
      <c r="M1010">
        <v>0.94645001399999995</v>
      </c>
      <c r="N1010">
        <v>-5.40145812546755</v>
      </c>
      <c r="O1010">
        <v>4.5202046551509204E-3</v>
      </c>
    </row>
    <row r="1011" spans="1:15" x14ac:dyDescent="0.3">
      <c r="A1011">
        <v>2020</v>
      </c>
      <c r="B1011">
        <v>54</v>
      </c>
      <c r="C1011" t="s">
        <v>11</v>
      </c>
      <c r="D1011">
        <v>10128</v>
      </c>
      <c r="E1011">
        <v>2058607</v>
      </c>
      <c r="F1011">
        <v>4.9199999999999999E-3</v>
      </c>
      <c r="G1011">
        <v>0.99507999999999996</v>
      </c>
      <c r="H1011">
        <v>94218.12874</v>
      </c>
      <c r="I1011">
        <v>463.55</v>
      </c>
      <c r="J1011">
        <v>93986.352140000003</v>
      </c>
      <c r="K1011">
        <v>2417991.8459999999</v>
      </c>
      <c r="L1011">
        <v>25.663764270000001</v>
      </c>
      <c r="M1011">
        <v>0.94218128700000003</v>
      </c>
      <c r="N1011">
        <v>-5.3144467484779208</v>
      </c>
      <c r="O1011">
        <v>4.9320986540467484E-3</v>
      </c>
    </row>
    <row r="1012" spans="1:15" x14ac:dyDescent="0.3">
      <c r="A1012">
        <v>2020</v>
      </c>
      <c r="B1012">
        <v>55</v>
      </c>
      <c r="C1012" t="s">
        <v>11</v>
      </c>
      <c r="D1012">
        <v>11416</v>
      </c>
      <c r="E1012">
        <v>2180669</v>
      </c>
      <c r="F1012">
        <v>5.2350000000000001E-3</v>
      </c>
      <c r="G1012">
        <v>0.99476500000000001</v>
      </c>
      <c r="H1012">
        <v>93754.591400000005</v>
      </c>
      <c r="I1012">
        <v>490.81</v>
      </c>
      <c r="J1012">
        <v>93509.188760000005</v>
      </c>
      <c r="K1012">
        <v>2324005.4939999999</v>
      </c>
      <c r="L1012">
        <v>24.788177940000001</v>
      </c>
      <c r="M1012">
        <v>0.93754591399999998</v>
      </c>
      <c r="N1012">
        <v>-5.252388434659637</v>
      </c>
      <c r="O1012">
        <v>5.2487892242687236E-3</v>
      </c>
    </row>
    <row r="1013" spans="1:15" x14ac:dyDescent="0.3">
      <c r="A1013">
        <v>2020</v>
      </c>
      <c r="B1013">
        <v>56</v>
      </c>
      <c r="C1013" t="s">
        <v>11</v>
      </c>
      <c r="D1013">
        <v>12646</v>
      </c>
      <c r="E1013">
        <v>2225298</v>
      </c>
      <c r="F1013">
        <v>5.6829999999999997E-3</v>
      </c>
      <c r="G1013">
        <v>0.99431700000000001</v>
      </c>
      <c r="H1013">
        <v>93263.777610000005</v>
      </c>
      <c r="I1013">
        <v>530.02</v>
      </c>
      <c r="J1013">
        <v>92998.768590000007</v>
      </c>
      <c r="K1013">
        <v>2230496.3050000002</v>
      </c>
      <c r="L1013">
        <v>23.91599785</v>
      </c>
      <c r="M1013">
        <v>0.93263777599999997</v>
      </c>
      <c r="N1013">
        <v>-5.1702760166671524</v>
      </c>
      <c r="O1013">
        <v>5.6992147749691177E-3</v>
      </c>
    </row>
    <row r="1014" spans="1:15" x14ac:dyDescent="0.3">
      <c r="A1014">
        <v>2020</v>
      </c>
      <c r="B1014">
        <v>57</v>
      </c>
      <c r="C1014" t="s">
        <v>11</v>
      </c>
      <c r="D1014">
        <v>14072</v>
      </c>
      <c r="E1014">
        <v>2223160</v>
      </c>
      <c r="F1014">
        <v>6.3299999999999997E-3</v>
      </c>
      <c r="G1014">
        <v>0.99367000000000005</v>
      </c>
      <c r="H1014">
        <v>92733.775009999998</v>
      </c>
      <c r="I1014">
        <v>587</v>
      </c>
      <c r="J1014">
        <v>92440.27261</v>
      </c>
      <c r="K1014">
        <v>2137497.537</v>
      </c>
      <c r="L1014">
        <v>23.049827709999999</v>
      </c>
      <c r="M1014">
        <v>0.92733774999999996</v>
      </c>
      <c r="N1014">
        <v>-5.062455042826052</v>
      </c>
      <c r="O1014">
        <v>6.3500453168982745E-3</v>
      </c>
    </row>
    <row r="1015" spans="1:15" x14ac:dyDescent="0.3">
      <c r="A1015">
        <v>2020</v>
      </c>
      <c r="B1015">
        <v>58</v>
      </c>
      <c r="C1015" t="s">
        <v>11</v>
      </c>
      <c r="D1015">
        <v>14885</v>
      </c>
      <c r="E1015">
        <v>2216957</v>
      </c>
      <c r="F1015">
        <v>6.7140000000000003E-3</v>
      </c>
      <c r="G1015">
        <v>0.993286</v>
      </c>
      <c r="H1015">
        <v>92146.79535</v>
      </c>
      <c r="I1015">
        <v>618.66999999999996</v>
      </c>
      <c r="J1015">
        <v>91837.458559999999</v>
      </c>
      <c r="K1015">
        <v>2045057.264</v>
      </c>
      <c r="L1015">
        <v>22.193471370000001</v>
      </c>
      <c r="M1015">
        <v>0.92146795400000003</v>
      </c>
      <c r="N1015">
        <v>-5.0035603804242941</v>
      </c>
      <c r="O1015">
        <v>6.7365763252850343E-3</v>
      </c>
    </row>
    <row r="1016" spans="1:15" x14ac:dyDescent="0.3">
      <c r="A1016">
        <v>2020</v>
      </c>
      <c r="B1016">
        <v>59</v>
      </c>
      <c r="C1016" t="s">
        <v>11</v>
      </c>
      <c r="D1016">
        <v>16549</v>
      </c>
      <c r="E1016">
        <v>2245087</v>
      </c>
      <c r="F1016">
        <v>7.3709999999999999E-3</v>
      </c>
      <c r="G1016">
        <v>0.99262899999999998</v>
      </c>
      <c r="H1016">
        <v>91528.107189999995</v>
      </c>
      <c r="I1016">
        <v>674.65</v>
      </c>
      <c r="J1016">
        <v>91190.780350000001</v>
      </c>
      <c r="K1016">
        <v>1953219.8049999999</v>
      </c>
      <c r="L1016">
        <v>21.340109229999999</v>
      </c>
      <c r="M1016">
        <v>0.91528107199999997</v>
      </c>
      <c r="N1016">
        <v>-4.9102018967749856</v>
      </c>
      <c r="O1016">
        <v>7.3982267431407355E-3</v>
      </c>
    </row>
    <row r="1017" spans="1:15" x14ac:dyDescent="0.3">
      <c r="A1017">
        <v>2020</v>
      </c>
      <c r="B1017">
        <v>60</v>
      </c>
      <c r="C1017" t="s">
        <v>11</v>
      </c>
      <c r="D1017">
        <v>17950</v>
      </c>
      <c r="E1017">
        <v>2255469</v>
      </c>
      <c r="F1017">
        <v>7.9579999999999998E-3</v>
      </c>
      <c r="G1017">
        <v>0.99204199999999998</v>
      </c>
      <c r="H1017">
        <v>90853.434609999997</v>
      </c>
      <c r="I1017">
        <v>723.01</v>
      </c>
      <c r="J1017">
        <v>90491.928790000005</v>
      </c>
      <c r="K1017">
        <v>1862029.0249999999</v>
      </c>
      <c r="L1017">
        <v>20.494866630000001</v>
      </c>
      <c r="M1017">
        <v>0.90853434600000005</v>
      </c>
      <c r="N1017">
        <v>-4.8335775669774002</v>
      </c>
      <c r="O1017">
        <v>7.9897750765880477E-3</v>
      </c>
    </row>
    <row r="1018" spans="1:15" x14ac:dyDescent="0.3">
      <c r="A1018">
        <v>2020</v>
      </c>
      <c r="B1018">
        <v>61</v>
      </c>
      <c r="C1018" t="s">
        <v>11</v>
      </c>
      <c r="D1018">
        <v>18791</v>
      </c>
      <c r="E1018">
        <v>2182788</v>
      </c>
      <c r="F1018">
        <v>8.6090000000000003E-3</v>
      </c>
      <c r="G1018">
        <v>0.99139100000000002</v>
      </c>
      <c r="H1018">
        <v>90130.383600000001</v>
      </c>
      <c r="I1018">
        <v>775.93</v>
      </c>
      <c r="J1018">
        <v>89742.417360000007</v>
      </c>
      <c r="K1018">
        <v>1771537.0959999999</v>
      </c>
      <c r="L1018">
        <v>19.655270789999999</v>
      </c>
      <c r="M1018">
        <v>0.90130383599999997</v>
      </c>
      <c r="N1018">
        <v>-4.7549471113063193</v>
      </c>
      <c r="O1018">
        <v>8.6461888570519216E-3</v>
      </c>
    </row>
    <row r="1019" spans="1:15" x14ac:dyDescent="0.3">
      <c r="A1019">
        <v>2020</v>
      </c>
      <c r="B1019">
        <v>62</v>
      </c>
      <c r="C1019" t="s">
        <v>11</v>
      </c>
      <c r="D1019">
        <v>19903</v>
      </c>
      <c r="E1019">
        <v>2168833</v>
      </c>
      <c r="F1019">
        <v>9.1769999999999994E-3</v>
      </c>
      <c r="G1019">
        <v>0.99082300000000001</v>
      </c>
      <c r="H1019">
        <v>89354.476800000004</v>
      </c>
      <c r="I1019">
        <v>820.01</v>
      </c>
      <c r="J1019">
        <v>88944.47378</v>
      </c>
      <c r="K1019">
        <v>1681794.679</v>
      </c>
      <c r="L1019">
        <v>18.821605129999998</v>
      </c>
      <c r="M1019">
        <v>0.89354476800000004</v>
      </c>
      <c r="N1019">
        <v>-4.6910549251452611</v>
      </c>
      <c r="O1019">
        <v>9.2193465526433857E-3</v>
      </c>
    </row>
    <row r="1020" spans="1:15" x14ac:dyDescent="0.3">
      <c r="A1020">
        <v>2020</v>
      </c>
      <c r="B1020">
        <v>63</v>
      </c>
      <c r="C1020" t="s">
        <v>11</v>
      </c>
      <c r="D1020">
        <v>21307</v>
      </c>
      <c r="E1020">
        <v>2145780</v>
      </c>
      <c r="F1020">
        <v>9.9299999999999996E-3</v>
      </c>
      <c r="G1020">
        <v>0.99007000000000001</v>
      </c>
      <c r="H1020">
        <v>88534.486439999993</v>
      </c>
      <c r="I1020">
        <v>879.15</v>
      </c>
      <c r="J1020">
        <v>88094.912710000004</v>
      </c>
      <c r="K1020">
        <v>1592850.2050000001</v>
      </c>
      <c r="L1020">
        <v>17.991296599999998</v>
      </c>
      <c r="M1020">
        <v>0.88534486400000001</v>
      </c>
      <c r="N1020">
        <v>-4.6121948009250557</v>
      </c>
      <c r="O1020">
        <v>9.9795760084931129E-3</v>
      </c>
    </row>
    <row r="1021" spans="1:15" x14ac:dyDescent="0.3">
      <c r="A1021">
        <v>2020</v>
      </c>
      <c r="B1021">
        <v>64</v>
      </c>
      <c r="C1021" t="s">
        <v>11</v>
      </c>
      <c r="D1021">
        <v>21903</v>
      </c>
      <c r="E1021">
        <v>2070202</v>
      </c>
      <c r="F1021">
        <v>1.0580000000000001E-2</v>
      </c>
      <c r="G1021">
        <v>0.98941999999999997</v>
      </c>
      <c r="H1021">
        <v>87655.363559999998</v>
      </c>
      <c r="I1021">
        <v>927.39</v>
      </c>
      <c r="J1021">
        <v>87191.666689999998</v>
      </c>
      <c r="K1021">
        <v>1504755.2919999999</v>
      </c>
      <c r="L1021">
        <v>17.16672239</v>
      </c>
      <c r="M1021">
        <v>0.87655363600000002</v>
      </c>
      <c r="N1021">
        <v>-4.5487898525519839</v>
      </c>
      <c r="O1021">
        <v>1.0636223557246525E-2</v>
      </c>
    </row>
    <row r="1022" spans="1:15" x14ac:dyDescent="0.3">
      <c r="A1022">
        <v>2020</v>
      </c>
      <c r="B1022">
        <v>65</v>
      </c>
      <c r="C1022" t="s">
        <v>11</v>
      </c>
      <c r="D1022">
        <v>23040</v>
      </c>
      <c r="E1022">
        <v>2050844</v>
      </c>
      <c r="F1022">
        <v>1.1233999999999999E-2</v>
      </c>
      <c r="G1022">
        <v>0.98876600000000003</v>
      </c>
      <c r="H1022">
        <v>86727.958679999996</v>
      </c>
      <c r="I1022">
        <v>974.3</v>
      </c>
      <c r="J1022">
        <v>86240.807740000004</v>
      </c>
      <c r="K1022">
        <v>1417563.6259999999</v>
      </c>
      <c r="L1022">
        <v>16.34494398</v>
      </c>
      <c r="M1022">
        <v>0.86727958699999996</v>
      </c>
      <c r="N1022">
        <v>-4.4888103848718961</v>
      </c>
      <c r="O1022">
        <v>1.1297438197656835E-2</v>
      </c>
    </row>
    <row r="1023" spans="1:15" x14ac:dyDescent="0.3">
      <c r="A1023">
        <v>2020</v>
      </c>
      <c r="B1023">
        <v>66</v>
      </c>
      <c r="C1023" t="s">
        <v>11</v>
      </c>
      <c r="D1023">
        <v>23754</v>
      </c>
      <c r="E1023">
        <v>1969842</v>
      </c>
      <c r="F1023">
        <v>1.2059E-2</v>
      </c>
      <c r="G1023">
        <v>0.98794099999999996</v>
      </c>
      <c r="H1023">
        <v>85753.622180000006</v>
      </c>
      <c r="I1023">
        <v>1034.0999999999999</v>
      </c>
      <c r="J1023">
        <v>85236.570720000003</v>
      </c>
      <c r="K1023">
        <v>1331322.818</v>
      </c>
      <c r="L1023">
        <v>15.524974739999999</v>
      </c>
      <c r="M1023">
        <v>0.85753622200000001</v>
      </c>
      <c r="N1023">
        <v>-4.4179440098606815</v>
      </c>
      <c r="O1023">
        <v>1.2132115423596717E-2</v>
      </c>
    </row>
    <row r="1024" spans="1:15" x14ac:dyDescent="0.3">
      <c r="A1024">
        <v>2020</v>
      </c>
      <c r="B1024">
        <v>67</v>
      </c>
      <c r="C1024" t="s">
        <v>11</v>
      </c>
      <c r="D1024">
        <v>24675</v>
      </c>
      <c r="E1024">
        <v>1892051</v>
      </c>
      <c r="F1024">
        <v>1.3041000000000001E-2</v>
      </c>
      <c r="G1024">
        <v>0.98695900000000003</v>
      </c>
      <c r="H1024">
        <v>84719.533389999997</v>
      </c>
      <c r="I1024">
        <v>1104.83</v>
      </c>
      <c r="J1024">
        <v>84167.11967</v>
      </c>
      <c r="K1024">
        <v>1246086.247</v>
      </c>
      <c r="L1024">
        <v>14.708370049999999</v>
      </c>
      <c r="M1024">
        <v>0.84719533400000002</v>
      </c>
      <c r="N1024">
        <v>-4.3396570383073723</v>
      </c>
      <c r="O1024">
        <v>1.3126625082746595E-2</v>
      </c>
    </row>
    <row r="1025" spans="1:15" x14ac:dyDescent="0.3">
      <c r="A1025">
        <v>2020</v>
      </c>
      <c r="B1025">
        <v>68</v>
      </c>
      <c r="C1025" t="s">
        <v>11</v>
      </c>
      <c r="D1025">
        <v>25638</v>
      </c>
      <c r="E1025">
        <v>1813435</v>
      </c>
      <c r="F1025">
        <v>1.4138E-2</v>
      </c>
      <c r="G1025">
        <v>0.98586200000000002</v>
      </c>
      <c r="H1025">
        <v>83614.671789999993</v>
      </c>
      <c r="I1025">
        <v>1182.1400000000001</v>
      </c>
      <c r="J1025">
        <v>83023.599679999999</v>
      </c>
      <c r="K1025">
        <v>1161919.128</v>
      </c>
      <c r="L1025">
        <v>13.89611539</v>
      </c>
      <c r="M1025">
        <v>0.83614671799999996</v>
      </c>
      <c r="N1025">
        <v>-4.2588890712333747</v>
      </c>
      <c r="O1025">
        <v>1.4238600731785197E-2</v>
      </c>
    </row>
    <row r="1026" spans="1:15" x14ac:dyDescent="0.3">
      <c r="A1026">
        <v>2020</v>
      </c>
      <c r="B1026">
        <v>69</v>
      </c>
      <c r="C1026" t="s">
        <v>11</v>
      </c>
      <c r="D1026">
        <v>26545</v>
      </c>
      <c r="E1026">
        <v>1757144</v>
      </c>
      <c r="F1026">
        <v>1.5107000000000001E-2</v>
      </c>
      <c r="G1026">
        <v>0.98489300000000002</v>
      </c>
      <c r="H1026">
        <v>82432.543420000002</v>
      </c>
      <c r="I1026">
        <v>1245.31</v>
      </c>
      <c r="J1026">
        <v>81809.889200000005</v>
      </c>
      <c r="K1026">
        <v>1078895.5279999999</v>
      </c>
      <c r="L1026">
        <v>13.088223210000001</v>
      </c>
      <c r="M1026">
        <v>0.82432543400000002</v>
      </c>
      <c r="N1026">
        <v>-4.1925970664205492</v>
      </c>
      <c r="O1026">
        <v>1.5221997607422743E-2</v>
      </c>
    </row>
    <row r="1027" spans="1:15" x14ac:dyDescent="0.3">
      <c r="A1027">
        <v>2020</v>
      </c>
      <c r="B1027">
        <v>70</v>
      </c>
      <c r="C1027" t="s">
        <v>11</v>
      </c>
      <c r="D1027">
        <v>28093</v>
      </c>
      <c r="E1027">
        <v>1706943</v>
      </c>
      <c r="F1027">
        <v>1.6458E-2</v>
      </c>
      <c r="G1027">
        <v>0.98354200000000003</v>
      </c>
      <c r="H1027">
        <v>81187.243170000002</v>
      </c>
      <c r="I1027">
        <v>1336.18</v>
      </c>
      <c r="J1027">
        <v>80519.153349999993</v>
      </c>
      <c r="K1027">
        <v>997085.63879999996</v>
      </c>
      <c r="L1027">
        <v>12.28130923</v>
      </c>
      <c r="M1027">
        <v>0.81187243200000003</v>
      </c>
      <c r="N1027">
        <v>-4.1069435977986162</v>
      </c>
      <c r="O1027">
        <v>1.6594561624136805E-2</v>
      </c>
    </row>
    <row r="1028" spans="1:15" x14ac:dyDescent="0.3">
      <c r="A1028">
        <v>2020</v>
      </c>
      <c r="B1028">
        <v>71</v>
      </c>
      <c r="C1028" t="s">
        <v>11</v>
      </c>
      <c r="D1028">
        <v>30411</v>
      </c>
      <c r="E1028">
        <v>1648341</v>
      </c>
      <c r="F1028">
        <v>1.8449E-2</v>
      </c>
      <c r="G1028">
        <v>0.98155099999999995</v>
      </c>
      <c r="H1028">
        <v>79851.057239999995</v>
      </c>
      <c r="I1028">
        <v>1473.17</v>
      </c>
      <c r="J1028">
        <v>79114.471160000001</v>
      </c>
      <c r="K1028">
        <v>916566.48549999995</v>
      </c>
      <c r="L1028">
        <v>11.47845147</v>
      </c>
      <c r="M1028">
        <v>0.79851057199999997</v>
      </c>
      <c r="N1028">
        <v>-3.9927451105065086</v>
      </c>
      <c r="O1028">
        <v>1.862074434320524E-2</v>
      </c>
    </row>
    <row r="1029" spans="1:15" x14ac:dyDescent="0.3">
      <c r="A1029">
        <v>2020</v>
      </c>
      <c r="B1029">
        <v>72</v>
      </c>
      <c r="C1029" t="s">
        <v>11</v>
      </c>
      <c r="D1029">
        <v>32904</v>
      </c>
      <c r="E1029">
        <v>1619075</v>
      </c>
      <c r="F1029">
        <v>2.0323000000000001E-2</v>
      </c>
      <c r="G1029">
        <v>0.97967700000000002</v>
      </c>
      <c r="H1029">
        <v>78377.848419999995</v>
      </c>
      <c r="I1029">
        <v>1592.87</v>
      </c>
      <c r="J1029">
        <v>77581.411909999995</v>
      </c>
      <c r="K1029">
        <v>837452.01430000004</v>
      </c>
      <c r="L1029">
        <v>10.68480484</v>
      </c>
      <c r="M1029">
        <v>0.78377848400000005</v>
      </c>
      <c r="N1029">
        <v>-3.896002029373967</v>
      </c>
      <c r="O1029">
        <v>2.0531590384210027E-2</v>
      </c>
    </row>
    <row r="1030" spans="1:15" x14ac:dyDescent="0.3">
      <c r="A1030">
        <v>2020</v>
      </c>
      <c r="B1030">
        <v>73</v>
      </c>
      <c r="C1030" t="s">
        <v>11</v>
      </c>
      <c r="D1030">
        <v>36024</v>
      </c>
      <c r="E1030">
        <v>1675385</v>
      </c>
      <c r="F1030">
        <v>2.1502E-2</v>
      </c>
      <c r="G1030">
        <v>0.97849799999999998</v>
      </c>
      <c r="H1030">
        <v>76784.997730000003</v>
      </c>
      <c r="I1030">
        <v>1651.03</v>
      </c>
      <c r="J1030">
        <v>75959.482220000005</v>
      </c>
      <c r="K1030">
        <v>759870.60239999997</v>
      </c>
      <c r="L1030">
        <v>9.8960815889999996</v>
      </c>
      <c r="M1030">
        <v>0.76784997700000002</v>
      </c>
      <c r="N1030">
        <v>-3.8396093249191008</v>
      </c>
      <c r="O1030">
        <v>2.1735666013563588E-2</v>
      </c>
    </row>
    <row r="1031" spans="1:15" x14ac:dyDescent="0.3">
      <c r="A1031">
        <v>2020</v>
      </c>
      <c r="B1031">
        <v>74</v>
      </c>
      <c r="C1031" t="s">
        <v>11</v>
      </c>
      <c r="D1031">
        <v>31424</v>
      </c>
      <c r="E1031">
        <v>1232798</v>
      </c>
      <c r="F1031">
        <v>2.5489999999999999E-2</v>
      </c>
      <c r="G1031">
        <v>0.97450999999999999</v>
      </c>
      <c r="H1031">
        <v>75133.972590000005</v>
      </c>
      <c r="I1031">
        <v>1915.16</v>
      </c>
      <c r="J1031">
        <v>74176.390109999993</v>
      </c>
      <c r="K1031">
        <v>683911.1202</v>
      </c>
      <c r="L1031">
        <v>9.1025550309999996</v>
      </c>
      <c r="M1031">
        <v>0.75133972599999999</v>
      </c>
      <c r="N1031">
        <v>-3.6694690605941132</v>
      </c>
      <c r="O1031">
        <v>2.5818996861882229E-2</v>
      </c>
    </row>
    <row r="1032" spans="1:15" x14ac:dyDescent="0.3">
      <c r="A1032">
        <v>2020</v>
      </c>
      <c r="B1032">
        <v>75</v>
      </c>
      <c r="C1032" t="s">
        <v>11</v>
      </c>
      <c r="D1032">
        <v>32471</v>
      </c>
      <c r="E1032">
        <v>1210107</v>
      </c>
      <c r="F1032">
        <v>2.6832999999999999E-2</v>
      </c>
      <c r="G1032">
        <v>0.973167</v>
      </c>
      <c r="H1032">
        <v>73218.808910000007</v>
      </c>
      <c r="I1032">
        <v>1964.68</v>
      </c>
      <c r="J1032">
        <v>72236.468760000003</v>
      </c>
      <c r="K1032">
        <v>609734.73010000004</v>
      </c>
      <c r="L1032">
        <v>8.327569639</v>
      </c>
      <c r="M1032">
        <v>0.73218808899999999</v>
      </c>
      <c r="N1032">
        <v>-3.6181228056631358</v>
      </c>
      <c r="O1032">
        <v>2.7197898752814965E-2</v>
      </c>
    </row>
    <row r="1033" spans="1:15" x14ac:dyDescent="0.3">
      <c r="A1033">
        <v>2020</v>
      </c>
      <c r="B1033">
        <v>76</v>
      </c>
      <c r="C1033" t="s">
        <v>11</v>
      </c>
      <c r="D1033">
        <v>35223</v>
      </c>
      <c r="E1033">
        <v>1168898</v>
      </c>
      <c r="F1033">
        <v>3.0134000000000001E-2</v>
      </c>
      <c r="G1033">
        <v>0.96986600000000001</v>
      </c>
      <c r="H1033">
        <v>71254.116580000002</v>
      </c>
      <c r="I1033">
        <v>2147.17</v>
      </c>
      <c r="J1033">
        <v>70180.530809999997</v>
      </c>
      <c r="K1033">
        <v>537498.26130000001</v>
      </c>
      <c r="L1033">
        <v>7.5433994149999997</v>
      </c>
      <c r="M1033">
        <v>0.71254116599999995</v>
      </c>
      <c r="N1033">
        <v>-3.5021011766030403</v>
      </c>
      <c r="O1033">
        <v>3.0594944803669304E-2</v>
      </c>
    </row>
    <row r="1034" spans="1:15" x14ac:dyDescent="0.3">
      <c r="A1034">
        <v>2020</v>
      </c>
      <c r="B1034">
        <v>77</v>
      </c>
      <c r="C1034" t="s">
        <v>11</v>
      </c>
      <c r="D1034">
        <v>38868</v>
      </c>
      <c r="E1034">
        <v>1183942</v>
      </c>
      <c r="F1034">
        <v>3.2828999999999997E-2</v>
      </c>
      <c r="G1034">
        <v>0.967171</v>
      </c>
      <c r="H1034">
        <v>69106.979919999998</v>
      </c>
      <c r="I1034">
        <v>2268.71</v>
      </c>
      <c r="J1034">
        <v>67972.623399999997</v>
      </c>
      <c r="K1034">
        <v>467317.73050000001</v>
      </c>
      <c r="L1034">
        <v>6.7622363329999997</v>
      </c>
      <c r="M1034">
        <v>0.69106979899999998</v>
      </c>
      <c r="N1034">
        <v>-3.4164430078777217</v>
      </c>
      <c r="O1034">
        <v>3.3376825038563762E-2</v>
      </c>
    </row>
    <row r="1035" spans="1:15" x14ac:dyDescent="0.3">
      <c r="A1035">
        <v>2020</v>
      </c>
      <c r="B1035">
        <v>78</v>
      </c>
      <c r="C1035" t="s">
        <v>11</v>
      </c>
      <c r="D1035">
        <v>37865</v>
      </c>
      <c r="E1035">
        <v>1023052</v>
      </c>
      <c r="F1035">
        <v>3.7012000000000003E-2</v>
      </c>
      <c r="G1035">
        <v>0.96298799999999996</v>
      </c>
      <c r="H1035">
        <v>66838.245389999996</v>
      </c>
      <c r="I1035">
        <v>2473.8200000000002</v>
      </c>
      <c r="J1035">
        <v>65601.336819999997</v>
      </c>
      <c r="K1035">
        <v>399345.10710000002</v>
      </c>
      <c r="L1035">
        <v>5.9747993800000003</v>
      </c>
      <c r="M1035">
        <v>0.66838245399999996</v>
      </c>
      <c r="N1035">
        <v>-3.2965130945953534</v>
      </c>
      <c r="O1035">
        <v>3.7709898497943685E-2</v>
      </c>
    </row>
    <row r="1036" spans="1:15" x14ac:dyDescent="0.3">
      <c r="A1036">
        <v>2020</v>
      </c>
      <c r="B1036">
        <v>79</v>
      </c>
      <c r="C1036" t="s">
        <v>11</v>
      </c>
      <c r="D1036">
        <v>38013</v>
      </c>
      <c r="E1036">
        <v>927150</v>
      </c>
      <c r="F1036">
        <v>4.1000000000000002E-2</v>
      </c>
      <c r="G1036">
        <v>0.95899999999999996</v>
      </c>
      <c r="H1036">
        <v>64364.441359999997</v>
      </c>
      <c r="I1036">
        <v>2638.94</v>
      </c>
      <c r="J1036">
        <v>63044.970309999997</v>
      </c>
      <c r="K1036">
        <v>333743.77029999997</v>
      </c>
      <c r="L1036">
        <v>5.1852197149999997</v>
      </c>
      <c r="M1036">
        <v>0.64364441400000005</v>
      </c>
      <c r="N1036">
        <v>-3.1941832122778293</v>
      </c>
      <c r="O1036">
        <v>4.185805416598392E-2</v>
      </c>
    </row>
    <row r="1037" spans="1:15" x14ac:dyDescent="0.3">
      <c r="A1037">
        <v>2020</v>
      </c>
      <c r="B1037">
        <v>80</v>
      </c>
      <c r="C1037" t="s">
        <v>11</v>
      </c>
      <c r="D1037">
        <v>39250</v>
      </c>
      <c r="E1037">
        <v>863701</v>
      </c>
      <c r="F1037">
        <v>4.5443999999999998E-2</v>
      </c>
      <c r="G1037">
        <v>0.95455599999999996</v>
      </c>
      <c r="H1037">
        <v>61725.509669999999</v>
      </c>
      <c r="I1037">
        <v>2805.05</v>
      </c>
      <c r="J1037">
        <v>60322.982640000002</v>
      </c>
      <c r="K1037">
        <v>270698.8</v>
      </c>
      <c r="L1037">
        <v>4.3855255529999999</v>
      </c>
      <c r="M1037">
        <v>0.61725509700000003</v>
      </c>
      <c r="N1037">
        <v>-3.0912744802744792</v>
      </c>
      <c r="O1037">
        <v>4.6500518215000466E-2</v>
      </c>
    </row>
    <row r="1038" spans="1:15" x14ac:dyDescent="0.3">
      <c r="A1038">
        <v>2020</v>
      </c>
      <c r="B1038">
        <v>81</v>
      </c>
      <c r="C1038" t="s">
        <v>11</v>
      </c>
      <c r="D1038">
        <v>40652</v>
      </c>
      <c r="E1038">
        <v>795451</v>
      </c>
      <c r="F1038">
        <v>5.1105999999999999E-2</v>
      </c>
      <c r="G1038">
        <v>0.94889400000000002</v>
      </c>
      <c r="H1038">
        <v>58920.457629999997</v>
      </c>
      <c r="I1038">
        <v>3011.19</v>
      </c>
      <c r="J1038">
        <v>57414.86318</v>
      </c>
      <c r="K1038">
        <v>210375.8173</v>
      </c>
      <c r="L1038">
        <v>3.5705054879999998</v>
      </c>
      <c r="M1038">
        <v>0.58920457599999998</v>
      </c>
      <c r="N1038">
        <v>-2.9738533718355491</v>
      </c>
      <c r="O1038">
        <v>5.2446164879514104E-2</v>
      </c>
    </row>
    <row r="1039" spans="1:15" x14ac:dyDescent="0.3">
      <c r="A1039">
        <v>2020</v>
      </c>
      <c r="B1039">
        <v>82</v>
      </c>
      <c r="C1039" t="s">
        <v>11</v>
      </c>
      <c r="D1039">
        <v>42717</v>
      </c>
      <c r="E1039">
        <v>749775</v>
      </c>
      <c r="F1039">
        <v>5.6973000000000003E-2</v>
      </c>
      <c r="G1039">
        <v>0.94302699999999995</v>
      </c>
      <c r="H1039">
        <v>55909.29234</v>
      </c>
      <c r="I1039">
        <v>3185.32</v>
      </c>
      <c r="J1039">
        <v>54316.632279999998</v>
      </c>
      <c r="K1039">
        <v>152960.9541</v>
      </c>
      <c r="L1039">
        <v>2.7358771279999998</v>
      </c>
      <c r="M1039">
        <v>0.55909292300000002</v>
      </c>
      <c r="N1039">
        <v>-2.8651778075819192</v>
      </c>
      <c r="O1039">
        <v>5.8643550174475326E-2</v>
      </c>
    </row>
    <row r="1040" spans="1:15" x14ac:dyDescent="0.3">
      <c r="A1040">
        <v>2020</v>
      </c>
      <c r="B1040">
        <v>83</v>
      </c>
      <c r="C1040" t="s">
        <v>11</v>
      </c>
      <c r="D1040">
        <v>43079</v>
      </c>
      <c r="E1040">
        <v>676482</v>
      </c>
      <c r="F1040">
        <v>6.3681000000000001E-2</v>
      </c>
      <c r="G1040">
        <v>0.93631900000000001</v>
      </c>
      <c r="H1040">
        <v>52723.967089999998</v>
      </c>
      <c r="I1040">
        <v>3357.51</v>
      </c>
      <c r="J1040">
        <v>51045.209620000001</v>
      </c>
      <c r="K1040">
        <v>98644.321859999996</v>
      </c>
      <c r="L1040">
        <v>1.870957883</v>
      </c>
      <c r="M1040">
        <v>0.52723967100000002</v>
      </c>
      <c r="N1040">
        <v>-2.7538690340517205</v>
      </c>
      <c r="O1040">
        <v>6.5775219589319062E-2</v>
      </c>
    </row>
    <row r="1041" spans="1:15" x14ac:dyDescent="0.3">
      <c r="A1041">
        <v>2020</v>
      </c>
      <c r="B1041">
        <v>84</v>
      </c>
      <c r="C1041" t="s">
        <v>11</v>
      </c>
      <c r="D1041">
        <v>45088</v>
      </c>
      <c r="E1041">
        <v>629714</v>
      </c>
      <c r="F1041">
        <v>7.1600999999999998E-2</v>
      </c>
      <c r="G1041">
        <v>0.92839899999999997</v>
      </c>
      <c r="H1041">
        <v>49366.456050000001</v>
      </c>
      <c r="I1041">
        <v>3534.69</v>
      </c>
      <c r="J1041">
        <v>47599.112240000002</v>
      </c>
      <c r="K1041">
        <v>47599.112240000002</v>
      </c>
      <c r="L1041">
        <v>0.96419949999999999</v>
      </c>
      <c r="M1041">
        <v>0.493664561</v>
      </c>
      <c r="N1041">
        <v>-2.6366462386326206</v>
      </c>
      <c r="O1041">
        <v>4.7329100434929945E-2</v>
      </c>
    </row>
    <row r="1042" spans="1:15" x14ac:dyDescent="0.3">
      <c r="A1042">
        <v>2020</v>
      </c>
      <c r="B1042">
        <v>20</v>
      </c>
      <c r="C1042" t="s">
        <v>12</v>
      </c>
      <c r="D1042">
        <v>3009</v>
      </c>
      <c r="E1042">
        <v>2221432</v>
      </c>
      <c r="F1042">
        <v>1.3550000000000001E-3</v>
      </c>
      <c r="G1042">
        <v>0.998645</v>
      </c>
      <c r="H1042">
        <v>100000</v>
      </c>
      <c r="I1042">
        <v>135.5</v>
      </c>
      <c r="J1042">
        <v>99932.25</v>
      </c>
      <c r="K1042">
        <v>5328961.25</v>
      </c>
      <c r="L1042">
        <v>53.289612499999997</v>
      </c>
      <c r="M1042">
        <v>1</v>
      </c>
      <c r="N1042">
        <v>-6.603953824650473</v>
      </c>
      <c r="O1042">
        <v>1.3559183171716097E-3</v>
      </c>
    </row>
    <row r="1043" spans="1:15" x14ac:dyDescent="0.3">
      <c r="A1043">
        <v>2020</v>
      </c>
      <c r="B1043">
        <v>21</v>
      </c>
      <c r="C1043" t="s">
        <v>12</v>
      </c>
      <c r="D1043">
        <v>3413</v>
      </c>
      <c r="E1043">
        <v>2188824</v>
      </c>
      <c r="F1043">
        <v>1.5590000000000001E-3</v>
      </c>
      <c r="G1043">
        <v>0.99844100000000002</v>
      </c>
      <c r="H1043">
        <v>99864.546830000007</v>
      </c>
      <c r="I1043">
        <v>155.69</v>
      </c>
      <c r="J1043">
        <v>99786.702420000001</v>
      </c>
      <c r="K1043">
        <v>5229029</v>
      </c>
      <c r="L1043">
        <v>52.361214930000003</v>
      </c>
      <c r="M1043">
        <v>0.99864546799999998</v>
      </c>
      <c r="N1043">
        <v>-6.4637106889064979</v>
      </c>
      <c r="O1043">
        <v>1.5602281508306551E-3</v>
      </c>
    </row>
    <row r="1044" spans="1:15" x14ac:dyDescent="0.3">
      <c r="A1044">
        <v>2020</v>
      </c>
      <c r="B1044">
        <v>22</v>
      </c>
      <c r="C1044" t="s">
        <v>12</v>
      </c>
      <c r="D1044">
        <v>3517</v>
      </c>
      <c r="E1044">
        <v>2192971</v>
      </c>
      <c r="F1044">
        <v>1.604E-3</v>
      </c>
      <c r="G1044">
        <v>0.99839599999999995</v>
      </c>
      <c r="H1044">
        <v>99708.829559999998</v>
      </c>
      <c r="I1044">
        <v>159.93</v>
      </c>
      <c r="J1044">
        <v>99628.863079999996</v>
      </c>
      <c r="K1044">
        <v>5129242.2980000004</v>
      </c>
      <c r="L1044">
        <v>51.44220748</v>
      </c>
      <c r="M1044">
        <v>0.99708829600000004</v>
      </c>
      <c r="N1044">
        <v>-6.4352547695378144</v>
      </c>
      <c r="O1044">
        <v>1.6052575115383825E-3</v>
      </c>
    </row>
    <row r="1045" spans="1:15" x14ac:dyDescent="0.3">
      <c r="A1045">
        <v>2020</v>
      </c>
      <c r="B1045">
        <v>23</v>
      </c>
      <c r="C1045" t="s">
        <v>12</v>
      </c>
      <c r="D1045">
        <v>3694</v>
      </c>
      <c r="E1045">
        <v>2201623</v>
      </c>
      <c r="F1045">
        <v>1.678E-3</v>
      </c>
      <c r="G1045">
        <v>0.99832200000000004</v>
      </c>
      <c r="H1045">
        <v>99548.920490000004</v>
      </c>
      <c r="I1045">
        <v>167.04</v>
      </c>
      <c r="J1045">
        <v>99465.398950000003</v>
      </c>
      <c r="K1045">
        <v>5029613.4349999996</v>
      </c>
      <c r="L1045">
        <v>50.524037929999999</v>
      </c>
      <c r="M1045">
        <v>0.99548920500000004</v>
      </c>
      <c r="N1045">
        <v>-6.3901526709371224</v>
      </c>
      <c r="O1045">
        <v>1.6793778488509035E-3</v>
      </c>
    </row>
    <row r="1046" spans="1:15" x14ac:dyDescent="0.3">
      <c r="A1046">
        <v>2020</v>
      </c>
      <c r="B1046">
        <v>24</v>
      </c>
      <c r="C1046" t="s">
        <v>12</v>
      </c>
      <c r="D1046">
        <v>3900</v>
      </c>
      <c r="E1046">
        <v>2227996</v>
      </c>
      <c r="F1046">
        <v>1.75E-3</v>
      </c>
      <c r="G1046">
        <v>0.99824999999999997</v>
      </c>
      <c r="H1046">
        <v>99381.892030000003</v>
      </c>
      <c r="I1046">
        <v>173.92</v>
      </c>
      <c r="J1046">
        <v>99294.932870000004</v>
      </c>
      <c r="K1046">
        <v>4930148.0360000003</v>
      </c>
      <c r="L1046">
        <v>49.608112050000003</v>
      </c>
      <c r="M1046">
        <v>0.99381892000000005</v>
      </c>
      <c r="N1046">
        <v>-6.3481394910467142</v>
      </c>
      <c r="O1046">
        <v>1.7515499966021095E-3</v>
      </c>
    </row>
    <row r="1047" spans="1:15" x14ac:dyDescent="0.3">
      <c r="A1047">
        <v>2020</v>
      </c>
      <c r="B1047">
        <v>25</v>
      </c>
      <c r="C1047" t="s">
        <v>12</v>
      </c>
      <c r="D1047">
        <v>4143</v>
      </c>
      <c r="E1047">
        <v>2283275</v>
      </c>
      <c r="F1047">
        <v>1.8140000000000001E-3</v>
      </c>
      <c r="G1047">
        <v>0.99818600000000002</v>
      </c>
      <c r="H1047">
        <v>99207.928799999994</v>
      </c>
      <c r="I1047">
        <v>179.96</v>
      </c>
      <c r="J1047">
        <v>99117.947209999998</v>
      </c>
      <c r="K1047">
        <v>4830853.1030000001</v>
      </c>
      <c r="L1047">
        <v>48.694223950000001</v>
      </c>
      <c r="M1047">
        <v>0.992079288</v>
      </c>
      <c r="N1047">
        <v>-6.312220927289192</v>
      </c>
      <c r="O1047">
        <v>1.8156151333037131E-3</v>
      </c>
    </row>
    <row r="1048" spans="1:15" x14ac:dyDescent="0.3">
      <c r="A1048">
        <v>2020</v>
      </c>
      <c r="B1048">
        <v>26</v>
      </c>
      <c r="C1048" t="s">
        <v>12</v>
      </c>
      <c r="D1048">
        <v>4349</v>
      </c>
      <c r="E1048">
        <v>2332000</v>
      </c>
      <c r="F1048">
        <v>1.8649999999999999E-3</v>
      </c>
      <c r="G1048">
        <v>0.99813499999999999</v>
      </c>
      <c r="H1048">
        <v>99027.916119999994</v>
      </c>
      <c r="I1048">
        <v>184.69</v>
      </c>
      <c r="J1048">
        <v>98935.572589999996</v>
      </c>
      <c r="K1048">
        <v>4731735.1560000004</v>
      </c>
      <c r="L1048">
        <v>47.78183104</v>
      </c>
      <c r="M1048">
        <v>0.99027916100000002</v>
      </c>
      <c r="N1048">
        <v>-6.2844942258863581</v>
      </c>
      <c r="O1048">
        <v>1.8667703439117205E-3</v>
      </c>
    </row>
    <row r="1049" spans="1:15" x14ac:dyDescent="0.3">
      <c r="A1049">
        <v>2020</v>
      </c>
      <c r="B1049">
        <v>27</v>
      </c>
      <c r="C1049" t="s">
        <v>12</v>
      </c>
      <c r="D1049">
        <v>4714</v>
      </c>
      <c r="E1049">
        <v>2372863</v>
      </c>
      <c r="F1049">
        <v>1.9870000000000001E-3</v>
      </c>
      <c r="G1049">
        <v>0.99801300000000004</v>
      </c>
      <c r="H1049">
        <v>98843.236699999994</v>
      </c>
      <c r="I1049">
        <v>196.4</v>
      </c>
      <c r="J1049">
        <v>98745.035940000002</v>
      </c>
      <c r="K1049">
        <v>4632799.5829999996</v>
      </c>
      <c r="L1049">
        <v>46.870172789999998</v>
      </c>
      <c r="M1049">
        <v>0.98843236700000003</v>
      </c>
      <c r="N1049">
        <v>-6.2211293154124574</v>
      </c>
      <c r="O1049">
        <v>1.9889603737793765E-3</v>
      </c>
    </row>
    <row r="1050" spans="1:15" x14ac:dyDescent="0.3">
      <c r="A1050">
        <v>2020</v>
      </c>
      <c r="B1050">
        <v>28</v>
      </c>
      <c r="C1050" t="s">
        <v>12</v>
      </c>
      <c r="D1050">
        <v>5019</v>
      </c>
      <c r="E1050">
        <v>2428258</v>
      </c>
      <c r="F1050">
        <v>2.0669999999999998E-3</v>
      </c>
      <c r="G1050">
        <v>0.99793299999999996</v>
      </c>
      <c r="H1050">
        <v>98646.871790000005</v>
      </c>
      <c r="I1050">
        <v>203.9</v>
      </c>
      <c r="J1050">
        <v>98544.920249999996</v>
      </c>
      <c r="K1050">
        <v>4534054.5470000003</v>
      </c>
      <c r="L1050">
        <v>45.962476709999997</v>
      </c>
      <c r="M1050">
        <v>0.98646871800000002</v>
      </c>
      <c r="N1050">
        <v>-6.1816569982825058</v>
      </c>
      <c r="O1050">
        <v>2.0691070700449925E-3</v>
      </c>
    </row>
    <row r="1051" spans="1:15" x14ac:dyDescent="0.3">
      <c r="A1051">
        <v>2020</v>
      </c>
      <c r="B1051">
        <v>29</v>
      </c>
      <c r="C1051" t="s">
        <v>12</v>
      </c>
      <c r="D1051">
        <v>5329</v>
      </c>
      <c r="E1051">
        <v>2458730</v>
      </c>
      <c r="F1051">
        <v>2.1670000000000001E-3</v>
      </c>
      <c r="G1051">
        <v>0.99783299999999997</v>
      </c>
      <c r="H1051">
        <v>98442.977209999997</v>
      </c>
      <c r="I1051">
        <v>213.33</v>
      </c>
      <c r="J1051">
        <v>98336.314240000007</v>
      </c>
      <c r="K1051">
        <v>4435509.6270000003</v>
      </c>
      <c r="L1051">
        <v>45.056638399999997</v>
      </c>
      <c r="M1051">
        <v>0.98442977200000004</v>
      </c>
      <c r="N1051">
        <v>-6.1344115564279154</v>
      </c>
      <c r="O1051">
        <v>2.1693922750588225E-3</v>
      </c>
    </row>
    <row r="1052" spans="1:15" x14ac:dyDescent="0.3">
      <c r="A1052">
        <v>2020</v>
      </c>
      <c r="B1052">
        <v>30</v>
      </c>
      <c r="C1052" t="s">
        <v>12</v>
      </c>
      <c r="D1052">
        <v>5570</v>
      </c>
      <c r="E1052">
        <v>2446049</v>
      </c>
      <c r="F1052">
        <v>2.2769999999999999E-3</v>
      </c>
      <c r="G1052">
        <v>0.99772300000000003</v>
      </c>
      <c r="H1052">
        <v>98229.613960000002</v>
      </c>
      <c r="I1052">
        <v>223.67</v>
      </c>
      <c r="J1052">
        <v>98117.779540000003</v>
      </c>
      <c r="K1052">
        <v>4337173.3130000001</v>
      </c>
      <c r="L1052">
        <v>44.153419100000001</v>
      </c>
      <c r="M1052">
        <v>0.98229613999999998</v>
      </c>
      <c r="N1052">
        <v>-6.0848964919005342</v>
      </c>
      <c r="O1052">
        <v>2.2796073952334713E-3</v>
      </c>
    </row>
    <row r="1053" spans="1:15" x14ac:dyDescent="0.3">
      <c r="A1053">
        <v>2020</v>
      </c>
      <c r="B1053">
        <v>31</v>
      </c>
      <c r="C1053" t="s">
        <v>12</v>
      </c>
      <c r="D1053">
        <v>5637</v>
      </c>
      <c r="E1053">
        <v>2346037</v>
      </c>
      <c r="F1053">
        <v>2.4030000000000002E-3</v>
      </c>
      <c r="G1053">
        <v>0.99759699999999996</v>
      </c>
      <c r="H1053">
        <v>98005.931219999999</v>
      </c>
      <c r="I1053">
        <v>235.51</v>
      </c>
      <c r="J1053">
        <v>97888.177089999997</v>
      </c>
      <c r="K1053">
        <v>4239055.5329999998</v>
      </c>
      <c r="L1053">
        <v>43.25305092</v>
      </c>
      <c r="M1053">
        <v>0.98005931199999996</v>
      </c>
      <c r="N1053">
        <v>-6.0310373222278049</v>
      </c>
      <c r="O1053">
        <v>2.4059082568716988E-3</v>
      </c>
    </row>
    <row r="1054" spans="1:15" x14ac:dyDescent="0.3">
      <c r="A1054">
        <v>2020</v>
      </c>
      <c r="B1054">
        <v>32</v>
      </c>
      <c r="C1054" t="s">
        <v>12</v>
      </c>
      <c r="D1054">
        <v>5522</v>
      </c>
      <c r="E1054">
        <v>2286384</v>
      </c>
      <c r="F1054">
        <v>2.415E-3</v>
      </c>
      <c r="G1054">
        <v>0.99758500000000006</v>
      </c>
      <c r="H1054">
        <v>97770.44498</v>
      </c>
      <c r="I1054">
        <v>236.12</v>
      </c>
      <c r="J1054">
        <v>97652.387170000002</v>
      </c>
      <c r="K1054">
        <v>4141167.3560000001</v>
      </c>
      <c r="L1054">
        <v>42.356024429999998</v>
      </c>
      <c r="M1054">
        <v>0.97770444999999995</v>
      </c>
      <c r="N1054">
        <v>-6.0260559918776009</v>
      </c>
      <c r="O1054">
        <v>2.4179646461687273E-3</v>
      </c>
    </row>
    <row r="1055" spans="1:15" x14ac:dyDescent="0.3">
      <c r="A1055">
        <v>2020</v>
      </c>
      <c r="B1055">
        <v>33</v>
      </c>
      <c r="C1055" t="s">
        <v>12</v>
      </c>
      <c r="D1055">
        <v>5692</v>
      </c>
      <c r="E1055">
        <v>2244172</v>
      </c>
      <c r="F1055">
        <v>2.5360000000000001E-3</v>
      </c>
      <c r="G1055">
        <v>0.99746400000000002</v>
      </c>
      <c r="H1055">
        <v>97534.312990000006</v>
      </c>
      <c r="I1055">
        <v>247.35</v>
      </c>
      <c r="J1055">
        <v>97410.639479999998</v>
      </c>
      <c r="K1055">
        <v>4043514.969</v>
      </c>
      <c r="L1055">
        <v>41.457358390000003</v>
      </c>
      <c r="M1055">
        <v>0.97534312999999995</v>
      </c>
      <c r="N1055">
        <v>-5.9771672424071571</v>
      </c>
      <c r="O1055">
        <v>2.5392507876759152E-3</v>
      </c>
    </row>
    <row r="1056" spans="1:15" x14ac:dyDescent="0.3">
      <c r="A1056">
        <v>2020</v>
      </c>
      <c r="B1056">
        <v>34</v>
      </c>
      <c r="C1056" t="s">
        <v>12</v>
      </c>
      <c r="D1056">
        <v>5857</v>
      </c>
      <c r="E1056">
        <v>2246611</v>
      </c>
      <c r="F1056">
        <v>2.6069999999999999E-3</v>
      </c>
      <c r="G1056">
        <v>0.99739299999999997</v>
      </c>
      <c r="H1056">
        <v>97286.932079999999</v>
      </c>
      <c r="I1056">
        <v>253.63</v>
      </c>
      <c r="J1056">
        <v>97160.118560000003</v>
      </c>
      <c r="K1056">
        <v>3946104.33</v>
      </c>
      <c r="L1056">
        <v>40.561504460000002</v>
      </c>
      <c r="M1056">
        <v>0.97286932100000001</v>
      </c>
      <c r="N1056">
        <v>-5.9495551440307723</v>
      </c>
      <c r="O1056">
        <v>2.6104332576186722E-3</v>
      </c>
    </row>
    <row r="1057" spans="1:15" x14ac:dyDescent="0.3">
      <c r="A1057">
        <v>2020</v>
      </c>
      <c r="B1057">
        <v>35</v>
      </c>
      <c r="C1057" t="s">
        <v>12</v>
      </c>
      <c r="D1057">
        <v>5925</v>
      </c>
      <c r="E1057">
        <v>2250914</v>
      </c>
      <c r="F1057">
        <v>2.6319999999999998E-3</v>
      </c>
      <c r="G1057">
        <v>0.99736800000000003</v>
      </c>
      <c r="H1057">
        <v>97033.301359999998</v>
      </c>
      <c r="I1057">
        <v>255.39</v>
      </c>
      <c r="J1057">
        <v>96905.605540000004</v>
      </c>
      <c r="K1057">
        <v>3848944.2110000001</v>
      </c>
      <c r="L1057">
        <v>39.666219300000002</v>
      </c>
      <c r="M1057">
        <v>0.97033301400000005</v>
      </c>
      <c r="N1057">
        <v>-5.9400112655190664</v>
      </c>
      <c r="O1057">
        <v>2.6354516062323586E-3</v>
      </c>
    </row>
    <row r="1058" spans="1:15" x14ac:dyDescent="0.3">
      <c r="A1058">
        <v>2020</v>
      </c>
      <c r="B1058">
        <v>36</v>
      </c>
      <c r="C1058" t="s">
        <v>12</v>
      </c>
      <c r="D1058">
        <v>6071</v>
      </c>
      <c r="E1058">
        <v>2167794</v>
      </c>
      <c r="F1058">
        <v>2.8010000000000001E-3</v>
      </c>
      <c r="G1058">
        <v>0.99719899999999995</v>
      </c>
      <c r="H1058">
        <v>96777.884090000007</v>
      </c>
      <c r="I1058">
        <v>271.07</v>
      </c>
      <c r="J1058">
        <v>96642.346659999996</v>
      </c>
      <c r="K1058">
        <v>3752038.605</v>
      </c>
      <c r="L1058">
        <v>38.769587090000002</v>
      </c>
      <c r="M1058">
        <v>0.967778841</v>
      </c>
      <c r="N1058">
        <v>-5.8777787827041656</v>
      </c>
      <c r="O1058">
        <v>2.8048774404841902E-3</v>
      </c>
    </row>
    <row r="1059" spans="1:15" x14ac:dyDescent="0.3">
      <c r="A1059">
        <v>2020</v>
      </c>
      <c r="B1059">
        <v>37</v>
      </c>
      <c r="C1059" t="s">
        <v>12</v>
      </c>
      <c r="D1059">
        <v>6489</v>
      </c>
      <c r="E1059">
        <v>2190946</v>
      </c>
      <c r="F1059">
        <v>2.9619999999999998E-3</v>
      </c>
      <c r="G1059">
        <v>0.99703799999999998</v>
      </c>
      <c r="H1059">
        <v>96506.853480000005</v>
      </c>
      <c r="I1059">
        <v>285.85000000000002</v>
      </c>
      <c r="J1059">
        <v>96363.926829999997</v>
      </c>
      <c r="K1059">
        <v>3655396.2590000001</v>
      </c>
      <c r="L1059">
        <v>37.877063929999998</v>
      </c>
      <c r="M1059">
        <v>0.96506853500000001</v>
      </c>
      <c r="N1059">
        <v>-5.8218905631365301</v>
      </c>
      <c r="O1059">
        <v>2.9663585884743353E-3</v>
      </c>
    </row>
    <row r="1060" spans="1:15" x14ac:dyDescent="0.3">
      <c r="A1060">
        <v>2020</v>
      </c>
      <c r="B1060">
        <v>38</v>
      </c>
      <c r="C1060" t="s">
        <v>12</v>
      </c>
      <c r="D1060">
        <v>6530</v>
      </c>
      <c r="E1060">
        <v>2180264</v>
      </c>
      <c r="F1060">
        <v>2.9949999999999998E-3</v>
      </c>
      <c r="G1060">
        <v>0.99700500000000003</v>
      </c>
      <c r="H1060">
        <v>96221.025819999995</v>
      </c>
      <c r="I1060">
        <v>288.18</v>
      </c>
      <c r="J1060">
        <v>96076.934829999998</v>
      </c>
      <c r="K1060">
        <v>3559032.3319999999</v>
      </c>
      <c r="L1060">
        <v>36.988093839999998</v>
      </c>
      <c r="M1060">
        <v>0.96221025800000004</v>
      </c>
      <c r="N1060">
        <v>-5.8108110474147248</v>
      </c>
      <c r="O1060">
        <v>2.9994712855758348E-3</v>
      </c>
    </row>
    <row r="1061" spans="1:15" x14ac:dyDescent="0.3">
      <c r="A1061">
        <v>2020</v>
      </c>
      <c r="B1061">
        <v>39</v>
      </c>
      <c r="C1061" t="s">
        <v>12</v>
      </c>
      <c r="D1061">
        <v>7051</v>
      </c>
      <c r="E1061">
        <v>2147670</v>
      </c>
      <c r="F1061">
        <v>3.2829999999999999E-3</v>
      </c>
      <c r="G1061">
        <v>0.99671699999999996</v>
      </c>
      <c r="H1061">
        <v>95932.839019999999</v>
      </c>
      <c r="I1061">
        <v>314.95</v>
      </c>
      <c r="J1061">
        <v>95775.365260000006</v>
      </c>
      <c r="K1061">
        <v>3462955.3969999999</v>
      </c>
      <c r="L1061">
        <v>36.097705779999998</v>
      </c>
      <c r="M1061">
        <v>0.95932839000000003</v>
      </c>
      <c r="N1061">
        <v>-5.7189976404626819</v>
      </c>
      <c r="O1061">
        <v>3.2884240512003975E-3</v>
      </c>
    </row>
    <row r="1062" spans="1:15" x14ac:dyDescent="0.3">
      <c r="A1062">
        <v>2020</v>
      </c>
      <c r="B1062">
        <v>40</v>
      </c>
      <c r="C1062" t="s">
        <v>12</v>
      </c>
      <c r="D1062">
        <v>7231</v>
      </c>
      <c r="E1062">
        <v>2192444</v>
      </c>
      <c r="F1062">
        <v>3.2980000000000002E-3</v>
      </c>
      <c r="G1062">
        <v>0.99670199999999998</v>
      </c>
      <c r="H1062">
        <v>95617.882599999997</v>
      </c>
      <c r="I1062">
        <v>315.35000000000002</v>
      </c>
      <c r="J1062">
        <v>95460.208710000006</v>
      </c>
      <c r="K1062">
        <v>3367180.0320000001</v>
      </c>
      <c r="L1062">
        <v>35.214961260000003</v>
      </c>
      <c r="M1062">
        <v>0.95617882600000004</v>
      </c>
      <c r="N1062">
        <v>-5.7144390548447301</v>
      </c>
      <c r="O1062">
        <v>3.3034709149513961E-3</v>
      </c>
    </row>
    <row r="1063" spans="1:15" x14ac:dyDescent="0.3">
      <c r="A1063">
        <v>2020</v>
      </c>
      <c r="B1063">
        <v>41</v>
      </c>
      <c r="C1063" t="s">
        <v>12</v>
      </c>
      <c r="D1063">
        <v>7171</v>
      </c>
      <c r="E1063">
        <v>2042821</v>
      </c>
      <c r="F1063">
        <v>3.5100000000000001E-3</v>
      </c>
      <c r="G1063">
        <v>0.99648999999999999</v>
      </c>
      <c r="H1063">
        <v>95302.52089</v>
      </c>
      <c r="I1063">
        <v>334.51</v>
      </c>
      <c r="J1063">
        <v>95135.264970000004</v>
      </c>
      <c r="K1063">
        <v>3271719.8229999999</v>
      </c>
      <c r="L1063">
        <v>34.329835060000001</v>
      </c>
      <c r="M1063">
        <v>0.95302520899999998</v>
      </c>
      <c r="N1063">
        <v>-5.6521392415043623</v>
      </c>
      <c r="O1063">
        <v>3.5161520536173651E-3</v>
      </c>
    </row>
    <row r="1064" spans="1:15" x14ac:dyDescent="0.3">
      <c r="A1064">
        <v>2020</v>
      </c>
      <c r="B1064">
        <v>42</v>
      </c>
      <c r="C1064" t="s">
        <v>12</v>
      </c>
      <c r="D1064">
        <v>7124</v>
      </c>
      <c r="E1064">
        <v>1997308</v>
      </c>
      <c r="F1064">
        <v>3.5669999999999999E-3</v>
      </c>
      <c r="G1064">
        <v>0.99643300000000001</v>
      </c>
      <c r="H1064">
        <v>94967.976460000005</v>
      </c>
      <c r="I1064">
        <v>338.75</v>
      </c>
      <c r="J1064">
        <v>94798.601070000004</v>
      </c>
      <c r="K1064">
        <v>3176584.5580000002</v>
      </c>
      <c r="L1064">
        <v>33.449007510000001</v>
      </c>
      <c r="M1064">
        <v>0.94967976499999995</v>
      </c>
      <c r="N1064">
        <v>-5.6360303726053829</v>
      </c>
      <c r="O1064">
        <v>3.5733646107678541E-3</v>
      </c>
    </row>
    <row r="1065" spans="1:15" x14ac:dyDescent="0.3">
      <c r="A1065">
        <v>2020</v>
      </c>
      <c r="B1065">
        <v>43</v>
      </c>
      <c r="C1065" t="s">
        <v>12</v>
      </c>
      <c r="D1065">
        <v>7395</v>
      </c>
      <c r="E1065">
        <v>1967767</v>
      </c>
      <c r="F1065">
        <v>3.7580000000000001E-3</v>
      </c>
      <c r="G1065">
        <v>0.99624199999999996</v>
      </c>
      <c r="H1065">
        <v>94629.244590000002</v>
      </c>
      <c r="I1065">
        <v>355.62</v>
      </c>
      <c r="J1065">
        <v>94451.436239999995</v>
      </c>
      <c r="K1065">
        <v>3081785.9569999999</v>
      </c>
      <c r="L1065">
        <v>32.566950849999998</v>
      </c>
      <c r="M1065">
        <v>0.94629244599999995</v>
      </c>
      <c r="N1065">
        <v>-5.5838683779908633</v>
      </c>
      <c r="O1065">
        <v>3.7651096274803658E-3</v>
      </c>
    </row>
    <row r="1066" spans="1:15" x14ac:dyDescent="0.3">
      <c r="A1066">
        <v>2020</v>
      </c>
      <c r="B1066">
        <v>44</v>
      </c>
      <c r="C1066" t="s">
        <v>12</v>
      </c>
      <c r="D1066">
        <v>7507</v>
      </c>
      <c r="E1066">
        <v>1907940</v>
      </c>
      <c r="F1066">
        <v>3.9350000000000001E-3</v>
      </c>
      <c r="G1066">
        <v>0.99606499999999998</v>
      </c>
      <c r="H1066">
        <v>94273.62156</v>
      </c>
      <c r="I1066">
        <v>370.97</v>
      </c>
      <c r="J1066">
        <v>94088.138210000005</v>
      </c>
      <c r="K1066">
        <v>2987334.5210000002</v>
      </c>
      <c r="L1066">
        <v>31.687915149999998</v>
      </c>
      <c r="M1066">
        <v>0.94273621600000002</v>
      </c>
      <c r="N1066">
        <v>-5.5378443971127709</v>
      </c>
      <c r="O1066">
        <v>3.9427916694823196E-3</v>
      </c>
    </row>
    <row r="1067" spans="1:15" x14ac:dyDescent="0.3">
      <c r="A1067">
        <v>2020</v>
      </c>
      <c r="B1067">
        <v>45</v>
      </c>
      <c r="C1067" t="s">
        <v>12</v>
      </c>
      <c r="D1067">
        <v>8018</v>
      </c>
      <c r="E1067">
        <v>1966590</v>
      </c>
      <c r="F1067">
        <v>4.0769999999999999E-3</v>
      </c>
      <c r="G1067">
        <v>0.995923</v>
      </c>
      <c r="H1067">
        <v>93902.691619999998</v>
      </c>
      <c r="I1067">
        <v>382.84</v>
      </c>
      <c r="J1067">
        <v>93711.270980000001</v>
      </c>
      <c r="K1067">
        <v>2893246.3829999999</v>
      </c>
      <c r="L1067">
        <v>30.811112359999999</v>
      </c>
      <c r="M1067">
        <v>0.93902691599999999</v>
      </c>
      <c r="N1067">
        <v>-5.5023938551450211</v>
      </c>
      <c r="O1067">
        <v>4.0853145700505029E-3</v>
      </c>
    </row>
    <row r="1068" spans="1:15" x14ac:dyDescent="0.3">
      <c r="A1068">
        <v>2020</v>
      </c>
      <c r="B1068">
        <v>46</v>
      </c>
      <c r="C1068" t="s">
        <v>12</v>
      </c>
      <c r="D1068">
        <v>8443</v>
      </c>
      <c r="E1068">
        <v>1893397</v>
      </c>
      <c r="F1068">
        <v>4.4590000000000003E-3</v>
      </c>
      <c r="G1068">
        <v>0.99554100000000001</v>
      </c>
      <c r="H1068">
        <v>93519.840200000006</v>
      </c>
      <c r="I1068">
        <v>417</v>
      </c>
      <c r="J1068">
        <v>93311.337719999996</v>
      </c>
      <c r="K1068">
        <v>2799535.1120000002</v>
      </c>
      <c r="L1068">
        <v>29.935199910000001</v>
      </c>
      <c r="M1068">
        <v>0.93519840200000004</v>
      </c>
      <c r="N1068">
        <v>-5.412830753336797</v>
      </c>
      <c r="O1068">
        <v>4.4689107244713262E-3</v>
      </c>
    </row>
    <row r="1069" spans="1:15" x14ac:dyDescent="0.3">
      <c r="A1069">
        <v>2020</v>
      </c>
      <c r="B1069">
        <v>47</v>
      </c>
      <c r="C1069" t="s">
        <v>12</v>
      </c>
      <c r="D1069">
        <v>9253</v>
      </c>
      <c r="E1069">
        <v>1911966</v>
      </c>
      <c r="F1069">
        <v>4.8399999999999997E-3</v>
      </c>
      <c r="G1069">
        <v>0.99516000000000004</v>
      </c>
      <c r="H1069">
        <v>93102.818299999999</v>
      </c>
      <c r="I1069">
        <v>450.62</v>
      </c>
      <c r="J1069">
        <v>92877.509479999993</v>
      </c>
      <c r="K1069">
        <v>2706223.7740000002</v>
      </c>
      <c r="L1069">
        <v>29.067044620000001</v>
      </c>
      <c r="M1069">
        <v>0.93102818300000001</v>
      </c>
      <c r="N1069">
        <v>-5.3308405582535965</v>
      </c>
      <c r="O1069">
        <v>4.8517654529828163E-3</v>
      </c>
    </row>
    <row r="1070" spans="1:15" x14ac:dyDescent="0.3">
      <c r="A1070">
        <v>2020</v>
      </c>
      <c r="B1070">
        <v>48</v>
      </c>
      <c r="C1070" t="s">
        <v>12</v>
      </c>
      <c r="D1070">
        <v>10562</v>
      </c>
      <c r="E1070">
        <v>1996639</v>
      </c>
      <c r="F1070">
        <v>5.2900000000000004E-3</v>
      </c>
      <c r="G1070">
        <v>0.99470999999999998</v>
      </c>
      <c r="H1070">
        <v>92652.245240000004</v>
      </c>
      <c r="I1070">
        <v>490.13</v>
      </c>
      <c r="J1070">
        <v>92407.180049999995</v>
      </c>
      <c r="K1070">
        <v>2613346.264</v>
      </c>
      <c r="L1070">
        <v>28.205967999999999</v>
      </c>
      <c r="M1070">
        <v>0.92652245200000005</v>
      </c>
      <c r="N1070">
        <v>-5.2419370331119293</v>
      </c>
      <c r="O1070">
        <v>5.3040247806634957E-3</v>
      </c>
    </row>
    <row r="1071" spans="1:15" x14ac:dyDescent="0.3">
      <c r="A1071">
        <v>2020</v>
      </c>
      <c r="B1071">
        <v>49</v>
      </c>
      <c r="C1071" t="s">
        <v>12</v>
      </c>
      <c r="D1071">
        <v>11878</v>
      </c>
      <c r="E1071">
        <v>2104312</v>
      </c>
      <c r="F1071">
        <v>5.6449999999999998E-3</v>
      </c>
      <c r="G1071">
        <v>0.99435499999999999</v>
      </c>
      <c r="H1071">
        <v>92162.125079999998</v>
      </c>
      <c r="I1071">
        <v>520.26</v>
      </c>
      <c r="J1071">
        <v>91901.997480000005</v>
      </c>
      <c r="K1071">
        <v>2520939.0839999998</v>
      </c>
      <c r="L1071">
        <v>27.353308989999999</v>
      </c>
      <c r="M1071">
        <v>0.92162125100000003</v>
      </c>
      <c r="N1071">
        <v>-5.1769850813805114</v>
      </c>
      <c r="O1071">
        <v>5.6610292481265884E-3</v>
      </c>
    </row>
    <row r="1072" spans="1:15" x14ac:dyDescent="0.3">
      <c r="A1072">
        <v>2020</v>
      </c>
      <c r="B1072">
        <v>50</v>
      </c>
      <c r="C1072" t="s">
        <v>12</v>
      </c>
      <c r="D1072">
        <v>12657</v>
      </c>
      <c r="E1072">
        <v>2133843</v>
      </c>
      <c r="F1072">
        <v>5.9319999999999998E-3</v>
      </c>
      <c r="G1072">
        <v>0.99406799999999995</v>
      </c>
      <c r="H1072">
        <v>91641.906730000002</v>
      </c>
      <c r="I1072">
        <v>543.62</v>
      </c>
      <c r="J1072">
        <v>91370.096829999995</v>
      </c>
      <c r="K1072">
        <v>2429037.0869999998</v>
      </c>
      <c r="L1072">
        <v>26.505745829999999</v>
      </c>
      <c r="M1072">
        <v>0.91641906699999998</v>
      </c>
      <c r="N1072">
        <v>-5.127393854706451</v>
      </c>
      <c r="O1072">
        <v>5.9496476049043711E-3</v>
      </c>
    </row>
    <row r="1073" spans="1:15" x14ac:dyDescent="0.3">
      <c r="A1073">
        <v>2020</v>
      </c>
      <c r="B1073">
        <v>51</v>
      </c>
      <c r="C1073" t="s">
        <v>12</v>
      </c>
      <c r="D1073">
        <v>13097</v>
      </c>
      <c r="E1073">
        <v>2012703</v>
      </c>
      <c r="F1073">
        <v>6.5069999999999998E-3</v>
      </c>
      <c r="G1073">
        <v>0.99349299999999996</v>
      </c>
      <c r="H1073">
        <v>91098.328020000001</v>
      </c>
      <c r="I1073">
        <v>592.78</v>
      </c>
      <c r="J1073">
        <v>90801.939610000001</v>
      </c>
      <c r="K1073">
        <v>2337666.9900000002</v>
      </c>
      <c r="L1073">
        <v>25.660920910000002</v>
      </c>
      <c r="M1073">
        <v>0.91098327999999995</v>
      </c>
      <c r="N1073">
        <v>-5.0348767584692897</v>
      </c>
      <c r="O1073">
        <v>6.5282751999527168E-3</v>
      </c>
    </row>
    <row r="1074" spans="1:15" x14ac:dyDescent="0.3">
      <c r="A1074">
        <v>2020</v>
      </c>
      <c r="B1074">
        <v>52</v>
      </c>
      <c r="C1074" t="s">
        <v>12</v>
      </c>
      <c r="D1074">
        <v>14021</v>
      </c>
      <c r="E1074">
        <v>1964096</v>
      </c>
      <c r="F1074">
        <v>7.1390000000000004E-3</v>
      </c>
      <c r="G1074">
        <v>0.99286099999999999</v>
      </c>
      <c r="H1074">
        <v>90505.535740000007</v>
      </c>
      <c r="I1074">
        <v>646.12</v>
      </c>
      <c r="J1074">
        <v>90182.47623</v>
      </c>
      <c r="K1074">
        <v>2246865.0499999998</v>
      </c>
      <c r="L1074">
        <v>24.825719580000001</v>
      </c>
      <c r="M1074">
        <v>0.90505535699999995</v>
      </c>
      <c r="N1074">
        <v>-4.9421825684618135</v>
      </c>
      <c r="O1074">
        <v>7.1645835701847852E-3</v>
      </c>
    </row>
    <row r="1075" spans="1:15" x14ac:dyDescent="0.3">
      <c r="A1075">
        <v>2020</v>
      </c>
      <c r="B1075">
        <v>53</v>
      </c>
      <c r="C1075" t="s">
        <v>12</v>
      </c>
      <c r="D1075">
        <v>15089</v>
      </c>
      <c r="E1075">
        <v>1955019</v>
      </c>
      <c r="F1075">
        <v>7.718E-3</v>
      </c>
      <c r="G1075">
        <v>0.992282</v>
      </c>
      <c r="H1075">
        <v>89859.448120000001</v>
      </c>
      <c r="I1075">
        <v>693.54</v>
      </c>
      <c r="J1075">
        <v>89512.680510000006</v>
      </c>
      <c r="K1075">
        <v>2156682.574</v>
      </c>
      <c r="L1075">
        <v>24.00062119</v>
      </c>
      <c r="M1075">
        <v>0.89859448099999994</v>
      </c>
      <c r="N1075">
        <v>-4.86420001586671</v>
      </c>
      <c r="O1075">
        <v>7.7479528614505461E-3</v>
      </c>
    </row>
    <row r="1076" spans="1:15" x14ac:dyDescent="0.3">
      <c r="A1076">
        <v>2020</v>
      </c>
      <c r="B1076">
        <v>54</v>
      </c>
      <c r="C1076" t="s">
        <v>12</v>
      </c>
      <c r="D1076">
        <v>16826</v>
      </c>
      <c r="E1076">
        <v>1986127</v>
      </c>
      <c r="F1076">
        <v>8.4720000000000004E-3</v>
      </c>
      <c r="G1076">
        <v>0.99152799999999996</v>
      </c>
      <c r="H1076">
        <v>89165.90539</v>
      </c>
      <c r="I1076">
        <v>755.41</v>
      </c>
      <c r="J1076">
        <v>88788.198610000007</v>
      </c>
      <c r="K1076">
        <v>2067169.8940000001</v>
      </c>
      <c r="L1076">
        <v>23.18341169</v>
      </c>
      <c r="M1076">
        <v>0.89165905400000001</v>
      </c>
      <c r="N1076">
        <v>-4.7709886706830318</v>
      </c>
      <c r="O1076">
        <v>8.5079990630179299E-3</v>
      </c>
    </row>
    <row r="1077" spans="1:15" x14ac:dyDescent="0.3">
      <c r="A1077">
        <v>2020</v>
      </c>
      <c r="B1077">
        <v>55</v>
      </c>
      <c r="C1077" t="s">
        <v>12</v>
      </c>
      <c r="D1077">
        <v>19091</v>
      </c>
      <c r="E1077">
        <v>2097187</v>
      </c>
      <c r="F1077">
        <v>9.103E-3</v>
      </c>
      <c r="G1077">
        <v>0.99089700000000003</v>
      </c>
      <c r="H1077">
        <v>88410.512849999999</v>
      </c>
      <c r="I1077">
        <v>804.8</v>
      </c>
      <c r="J1077">
        <v>88008.112399999998</v>
      </c>
      <c r="K1077">
        <v>1978381.6950000001</v>
      </c>
      <c r="L1077">
        <v>22.377222249999999</v>
      </c>
      <c r="M1077">
        <v>0.88410512900000005</v>
      </c>
      <c r="N1077">
        <v>-4.6991512494589855</v>
      </c>
      <c r="O1077">
        <v>9.1446122087254066E-3</v>
      </c>
    </row>
    <row r="1078" spans="1:15" x14ac:dyDescent="0.3">
      <c r="A1078">
        <v>2020</v>
      </c>
      <c r="B1078">
        <v>56</v>
      </c>
      <c r="C1078" t="s">
        <v>12</v>
      </c>
      <c r="D1078">
        <v>21168</v>
      </c>
      <c r="E1078">
        <v>2118583</v>
      </c>
      <c r="F1078">
        <v>9.9919999999999991E-3</v>
      </c>
      <c r="G1078">
        <v>0.990008</v>
      </c>
      <c r="H1078">
        <v>87605.69902</v>
      </c>
      <c r="I1078">
        <v>875.36</v>
      </c>
      <c r="J1078">
        <v>87168.020950000006</v>
      </c>
      <c r="K1078">
        <v>1890373.5830000001</v>
      </c>
      <c r="L1078">
        <v>21.578203290000001</v>
      </c>
      <c r="M1078">
        <v>0.87605699000000004</v>
      </c>
      <c r="N1078">
        <v>-4.6059705061588607</v>
      </c>
      <c r="O1078">
        <v>1.0042212814869264E-2</v>
      </c>
    </row>
    <row r="1079" spans="1:15" x14ac:dyDescent="0.3">
      <c r="A1079">
        <v>2020</v>
      </c>
      <c r="B1079">
        <v>57</v>
      </c>
      <c r="C1079" t="s">
        <v>12</v>
      </c>
      <c r="D1079">
        <v>22489</v>
      </c>
      <c r="E1079">
        <v>2104702</v>
      </c>
      <c r="F1079">
        <v>1.0685E-2</v>
      </c>
      <c r="G1079">
        <v>0.98931500000000006</v>
      </c>
      <c r="H1079">
        <v>86730.379319999993</v>
      </c>
      <c r="I1079">
        <v>926.71</v>
      </c>
      <c r="J1079">
        <v>86267.022270000001</v>
      </c>
      <c r="K1079">
        <v>1803205.5619999999</v>
      </c>
      <c r="L1079">
        <v>20.790933649999999</v>
      </c>
      <c r="M1079">
        <v>0.86730379300000005</v>
      </c>
      <c r="N1079">
        <v>-4.5389143902110263</v>
      </c>
      <c r="O1079">
        <v>1.0742344327867094E-2</v>
      </c>
    </row>
    <row r="1080" spans="1:15" x14ac:dyDescent="0.3">
      <c r="A1080">
        <v>2020</v>
      </c>
      <c r="B1080">
        <v>58</v>
      </c>
      <c r="C1080" t="s">
        <v>12</v>
      </c>
      <c r="D1080">
        <v>24355</v>
      </c>
      <c r="E1080">
        <v>2089658</v>
      </c>
      <c r="F1080">
        <v>1.1655E-2</v>
      </c>
      <c r="G1080">
        <v>0.98834500000000003</v>
      </c>
      <c r="H1080">
        <v>85803.654540000003</v>
      </c>
      <c r="I1080">
        <v>1000.04</v>
      </c>
      <c r="J1080">
        <v>85303.633740000005</v>
      </c>
      <c r="K1080">
        <v>1716938.54</v>
      </c>
      <c r="L1080">
        <v>20.010086390000001</v>
      </c>
      <c r="M1080">
        <v>0.85803654500000004</v>
      </c>
      <c r="N1080">
        <v>-4.4520200064944166</v>
      </c>
      <c r="O1080">
        <v>1.1723299052707208E-2</v>
      </c>
    </row>
    <row r="1081" spans="1:15" x14ac:dyDescent="0.3">
      <c r="A1081">
        <v>2020</v>
      </c>
      <c r="B1081">
        <v>59</v>
      </c>
      <c r="C1081" t="s">
        <v>12</v>
      </c>
      <c r="D1081">
        <v>26557</v>
      </c>
      <c r="E1081">
        <v>2101798</v>
      </c>
      <c r="F1081">
        <v>1.2635E-2</v>
      </c>
      <c r="G1081">
        <v>0.98736500000000005</v>
      </c>
      <c r="H1081">
        <v>84803.611470000003</v>
      </c>
      <c r="I1081">
        <v>1071.49</v>
      </c>
      <c r="J1081">
        <v>84267.864650000003</v>
      </c>
      <c r="K1081">
        <v>1631634.906</v>
      </c>
      <c r="L1081">
        <v>19.240158260000001</v>
      </c>
      <c r="M1081">
        <v>0.84803611499999998</v>
      </c>
      <c r="N1081">
        <v>-4.3712845381419791</v>
      </c>
      <c r="O1081">
        <v>1.2715288385407671E-2</v>
      </c>
    </row>
    <row r="1082" spans="1:15" x14ac:dyDescent="0.3">
      <c r="A1082">
        <v>2020</v>
      </c>
      <c r="B1082">
        <v>60</v>
      </c>
      <c r="C1082" t="s">
        <v>12</v>
      </c>
      <c r="D1082">
        <v>28354</v>
      </c>
      <c r="E1082">
        <v>2116626</v>
      </c>
      <c r="F1082">
        <v>1.3396E-2</v>
      </c>
      <c r="G1082">
        <v>0.98660400000000004</v>
      </c>
      <c r="H1082">
        <v>83732.08627</v>
      </c>
      <c r="I1082">
        <v>1121.68</v>
      </c>
      <c r="J1082">
        <v>83171.248760000002</v>
      </c>
      <c r="K1082">
        <v>1547367.041</v>
      </c>
      <c r="L1082">
        <v>18.47997715</v>
      </c>
      <c r="M1082">
        <v>0.83732086299999997</v>
      </c>
      <c r="N1082">
        <v>-4.3127991240501791</v>
      </c>
      <c r="O1082">
        <v>1.348639019952508E-2</v>
      </c>
    </row>
    <row r="1083" spans="1:15" x14ac:dyDescent="0.3">
      <c r="A1083">
        <v>2020</v>
      </c>
      <c r="B1083">
        <v>61</v>
      </c>
      <c r="C1083" t="s">
        <v>12</v>
      </c>
      <c r="D1083">
        <v>30080</v>
      </c>
      <c r="E1083">
        <v>2026188</v>
      </c>
      <c r="F1083">
        <v>1.4846E-2</v>
      </c>
      <c r="G1083">
        <v>0.98515399999999997</v>
      </c>
      <c r="H1083">
        <v>82610.423980000007</v>
      </c>
      <c r="I1083">
        <v>1226.43</v>
      </c>
      <c r="J1083">
        <v>81997.2068</v>
      </c>
      <c r="K1083">
        <v>1464195.7919999999</v>
      </c>
      <c r="L1083">
        <v>17.724104560000001</v>
      </c>
      <c r="M1083">
        <v>0.82610424000000005</v>
      </c>
      <c r="N1083">
        <v>-4.2100248102867814</v>
      </c>
      <c r="O1083">
        <v>1.4956969973462762E-2</v>
      </c>
    </row>
    <row r="1084" spans="1:15" x14ac:dyDescent="0.3">
      <c r="A1084">
        <v>2020</v>
      </c>
      <c r="B1084">
        <v>62</v>
      </c>
      <c r="C1084" t="s">
        <v>12</v>
      </c>
      <c r="D1084">
        <v>31422</v>
      </c>
      <c r="E1084">
        <v>1999600</v>
      </c>
      <c r="F1084">
        <v>1.5713999999999999E-2</v>
      </c>
      <c r="G1084">
        <v>0.98428599999999999</v>
      </c>
      <c r="H1084">
        <v>81384.021710000001</v>
      </c>
      <c r="I1084">
        <v>1278.8699999999999</v>
      </c>
      <c r="J1084">
        <v>80744.587450000006</v>
      </c>
      <c r="K1084">
        <v>1382198.5859999999</v>
      </c>
      <c r="L1084">
        <v>16.983660390000001</v>
      </c>
      <c r="M1084">
        <v>0.81384021699999998</v>
      </c>
      <c r="N1084">
        <v>-4.1532032442285072</v>
      </c>
      <c r="O1084">
        <v>1.5838462148480083E-2</v>
      </c>
    </row>
    <row r="1085" spans="1:15" x14ac:dyDescent="0.3">
      <c r="A1085">
        <v>2020</v>
      </c>
      <c r="B1085">
        <v>63</v>
      </c>
      <c r="C1085" t="s">
        <v>12</v>
      </c>
      <c r="D1085">
        <v>33504</v>
      </c>
      <c r="E1085">
        <v>1960712</v>
      </c>
      <c r="F1085">
        <v>1.7087999999999999E-2</v>
      </c>
      <c r="G1085">
        <v>0.98291200000000001</v>
      </c>
      <c r="H1085">
        <v>80105.141570000007</v>
      </c>
      <c r="I1085">
        <v>1368.84</v>
      </c>
      <c r="J1085">
        <v>79420.723240000007</v>
      </c>
      <c r="K1085">
        <v>1301453.9979999999</v>
      </c>
      <c r="L1085">
        <v>16.246822269999999</v>
      </c>
      <c r="M1085">
        <v>0.80105141599999996</v>
      </c>
      <c r="N1085">
        <v>-4.0693788162043525</v>
      </c>
      <c r="O1085">
        <v>1.7235297243330963E-2</v>
      </c>
    </row>
    <row r="1086" spans="1:15" x14ac:dyDescent="0.3">
      <c r="A1086">
        <v>2020</v>
      </c>
      <c r="B1086">
        <v>64</v>
      </c>
      <c r="C1086" t="s">
        <v>12</v>
      </c>
      <c r="D1086">
        <v>34107</v>
      </c>
      <c r="E1086">
        <v>1874380</v>
      </c>
      <c r="F1086">
        <v>1.8196E-2</v>
      </c>
      <c r="G1086">
        <v>0.98180400000000001</v>
      </c>
      <c r="H1086">
        <v>78736.331330000001</v>
      </c>
      <c r="I1086">
        <v>1432.69</v>
      </c>
      <c r="J1086">
        <v>78019.988190000004</v>
      </c>
      <c r="K1086">
        <v>1222033.2749999999</v>
      </c>
      <c r="L1086">
        <v>15.52057677</v>
      </c>
      <c r="M1086">
        <v>0.78736331299999995</v>
      </c>
      <c r="N1086">
        <v>-4.0065534892743795</v>
      </c>
      <c r="O1086">
        <v>1.8363118665714231E-2</v>
      </c>
    </row>
    <row r="1087" spans="1:15" x14ac:dyDescent="0.3">
      <c r="A1087">
        <v>2020</v>
      </c>
      <c r="B1087">
        <v>65</v>
      </c>
      <c r="C1087" t="s">
        <v>12</v>
      </c>
      <c r="D1087">
        <v>34987</v>
      </c>
      <c r="E1087">
        <v>1846576</v>
      </c>
      <c r="F1087">
        <v>1.8946999999999999E-2</v>
      </c>
      <c r="G1087">
        <v>0.98105299999999995</v>
      </c>
      <c r="H1087">
        <v>77303.612219999995</v>
      </c>
      <c r="I1087">
        <v>1464.67</v>
      </c>
      <c r="J1087">
        <v>76571.276450000005</v>
      </c>
      <c r="K1087">
        <v>1144013.287</v>
      </c>
      <c r="L1087">
        <v>14.79896287</v>
      </c>
      <c r="M1087">
        <v>0.77303612200000005</v>
      </c>
      <c r="N1087">
        <v>-3.9661096713319122</v>
      </c>
      <c r="O1087">
        <v>1.9128190591596948E-2</v>
      </c>
    </row>
    <row r="1088" spans="1:15" x14ac:dyDescent="0.3">
      <c r="A1088">
        <v>2020</v>
      </c>
      <c r="B1088">
        <v>66</v>
      </c>
      <c r="C1088" t="s">
        <v>12</v>
      </c>
      <c r="D1088">
        <v>36153</v>
      </c>
      <c r="E1088">
        <v>1750568</v>
      </c>
      <c r="F1088">
        <v>2.0652E-2</v>
      </c>
      <c r="G1088">
        <v>0.979348</v>
      </c>
      <c r="H1088">
        <v>75838.943840000007</v>
      </c>
      <c r="I1088">
        <v>1566.23</v>
      </c>
      <c r="J1088">
        <v>75055.830910000004</v>
      </c>
      <c r="K1088">
        <v>1067442.01</v>
      </c>
      <c r="L1088">
        <v>14.075117029999999</v>
      </c>
      <c r="M1088">
        <v>0.75838943800000003</v>
      </c>
      <c r="N1088">
        <v>-3.8799431119647343</v>
      </c>
      <c r="O1088">
        <v>2.086753424725676E-2</v>
      </c>
    </row>
    <row r="1089" spans="1:15" x14ac:dyDescent="0.3">
      <c r="A1089">
        <v>2020</v>
      </c>
      <c r="B1089">
        <v>67</v>
      </c>
      <c r="C1089" t="s">
        <v>12</v>
      </c>
      <c r="D1089">
        <v>36489</v>
      </c>
      <c r="E1089">
        <v>1670185</v>
      </c>
      <c r="F1089">
        <v>2.1846999999999998E-2</v>
      </c>
      <c r="G1089">
        <v>0.97815300000000005</v>
      </c>
      <c r="H1089">
        <v>74272.706290000002</v>
      </c>
      <c r="I1089">
        <v>1622.64</v>
      </c>
      <c r="J1089">
        <v>73461.388380000004</v>
      </c>
      <c r="K1089">
        <v>992386.17929999996</v>
      </c>
      <c r="L1089">
        <v>13.3613844</v>
      </c>
      <c r="M1089">
        <v>0.74272706300000002</v>
      </c>
      <c r="N1089">
        <v>-3.8236916666381813</v>
      </c>
      <c r="O1089">
        <v>2.2088341450151538E-2</v>
      </c>
    </row>
    <row r="1090" spans="1:15" x14ac:dyDescent="0.3">
      <c r="A1090">
        <v>2020</v>
      </c>
      <c r="B1090">
        <v>68</v>
      </c>
      <c r="C1090" t="s">
        <v>12</v>
      </c>
      <c r="D1090">
        <v>37251</v>
      </c>
      <c r="E1090">
        <v>1593647</v>
      </c>
      <c r="F1090">
        <v>2.3375E-2</v>
      </c>
      <c r="G1090">
        <v>0.97662499999999997</v>
      </c>
      <c r="H1090">
        <v>72650.049650000001</v>
      </c>
      <c r="I1090">
        <v>1698.19</v>
      </c>
      <c r="J1090">
        <v>71800.952189999996</v>
      </c>
      <c r="K1090">
        <v>918924.79099999997</v>
      </c>
      <c r="L1090">
        <v>12.648646429999999</v>
      </c>
      <c r="M1090">
        <v>0.72650049699999997</v>
      </c>
      <c r="N1090">
        <v>-3.7560882038073862</v>
      </c>
      <c r="O1090">
        <v>2.3651353906705148E-2</v>
      </c>
    </row>
    <row r="1091" spans="1:15" x14ac:dyDescent="0.3">
      <c r="A1091">
        <v>2020</v>
      </c>
      <c r="B1091">
        <v>69</v>
      </c>
      <c r="C1091" t="s">
        <v>12</v>
      </c>
      <c r="D1091">
        <v>37856</v>
      </c>
      <c r="E1091">
        <v>1529375</v>
      </c>
      <c r="F1091">
        <v>2.4753000000000001E-2</v>
      </c>
      <c r="G1091">
        <v>0.97524699999999998</v>
      </c>
      <c r="H1091">
        <v>70951.877470000007</v>
      </c>
      <c r="I1091">
        <v>1756.27</v>
      </c>
      <c r="J1091">
        <v>70073.741559999995</v>
      </c>
      <c r="K1091">
        <v>847123.83880000003</v>
      </c>
      <c r="L1091">
        <v>11.93941399</v>
      </c>
      <c r="M1091">
        <v>0.70951877500000005</v>
      </c>
      <c r="N1091">
        <v>-3.6988085851918213</v>
      </c>
      <c r="O1091">
        <v>2.5063163474207621E-2</v>
      </c>
    </row>
    <row r="1092" spans="1:15" x14ac:dyDescent="0.3">
      <c r="A1092">
        <v>2020</v>
      </c>
      <c r="B1092">
        <v>70</v>
      </c>
      <c r="C1092" t="s">
        <v>12</v>
      </c>
      <c r="D1092">
        <v>39186</v>
      </c>
      <c r="E1092">
        <v>1485086</v>
      </c>
      <c r="F1092">
        <v>2.6386E-2</v>
      </c>
      <c r="G1092">
        <v>0.97361399999999998</v>
      </c>
      <c r="H1092">
        <v>69195.634380000003</v>
      </c>
      <c r="I1092">
        <v>1825.8</v>
      </c>
      <c r="J1092">
        <v>68282.736380000002</v>
      </c>
      <c r="K1092">
        <v>777050.09719999996</v>
      </c>
      <c r="L1092">
        <v>11.229756099999999</v>
      </c>
      <c r="M1092">
        <v>0.69195634399999995</v>
      </c>
      <c r="N1092">
        <v>-3.6349217125205522</v>
      </c>
      <c r="O1092">
        <v>2.6738827724311073E-2</v>
      </c>
    </row>
    <row r="1093" spans="1:15" x14ac:dyDescent="0.3">
      <c r="A1093">
        <v>2020</v>
      </c>
      <c r="B1093">
        <v>71</v>
      </c>
      <c r="C1093" t="s">
        <v>12</v>
      </c>
      <c r="D1093">
        <v>40638</v>
      </c>
      <c r="E1093">
        <v>1426391</v>
      </c>
      <c r="F1093">
        <v>2.8490000000000001E-2</v>
      </c>
      <c r="G1093">
        <v>0.97150999999999998</v>
      </c>
      <c r="H1093">
        <v>67369.814100000003</v>
      </c>
      <c r="I1093">
        <v>1919.37</v>
      </c>
      <c r="J1093">
        <v>66410.131099999999</v>
      </c>
      <c r="K1093">
        <v>708767.36080000002</v>
      </c>
      <c r="L1093">
        <v>10.520547970000001</v>
      </c>
      <c r="M1093">
        <v>0.67369814100000003</v>
      </c>
      <c r="N1093">
        <v>-3.5582021304723201</v>
      </c>
      <c r="O1093">
        <v>2.890176619792164E-2</v>
      </c>
    </row>
    <row r="1094" spans="1:15" x14ac:dyDescent="0.3">
      <c r="A1094">
        <v>2020</v>
      </c>
      <c r="B1094">
        <v>72</v>
      </c>
      <c r="C1094" t="s">
        <v>12</v>
      </c>
      <c r="D1094">
        <v>43199</v>
      </c>
      <c r="E1094">
        <v>1398098</v>
      </c>
      <c r="F1094">
        <v>3.0897999999999998E-2</v>
      </c>
      <c r="G1094">
        <v>0.96910200000000002</v>
      </c>
      <c r="H1094">
        <v>65450.442410000003</v>
      </c>
      <c r="I1094">
        <v>2022.29</v>
      </c>
      <c r="J1094">
        <v>64439.29853</v>
      </c>
      <c r="K1094">
        <v>642357.22970000003</v>
      </c>
      <c r="L1094">
        <v>9.8144062299999995</v>
      </c>
      <c r="M1094">
        <v>0.65450442399999997</v>
      </c>
      <c r="N1094">
        <v>-3.4770638220922789</v>
      </c>
      <c r="O1094">
        <v>3.1382874480713724E-2</v>
      </c>
    </row>
    <row r="1095" spans="1:15" x14ac:dyDescent="0.3">
      <c r="A1095">
        <v>2020</v>
      </c>
      <c r="B1095">
        <v>73</v>
      </c>
      <c r="C1095" t="s">
        <v>12</v>
      </c>
      <c r="D1095">
        <v>46529</v>
      </c>
      <c r="E1095">
        <v>1442000</v>
      </c>
      <c r="F1095">
        <v>3.2266999999999997E-2</v>
      </c>
      <c r="G1095">
        <v>0.96773299999999995</v>
      </c>
      <c r="H1095">
        <v>63428.128049999999</v>
      </c>
      <c r="I1095">
        <v>2046.64</v>
      </c>
      <c r="J1095">
        <v>62404.81035</v>
      </c>
      <c r="K1095">
        <v>577917.93119999999</v>
      </c>
      <c r="L1095">
        <v>9.1113824260000005</v>
      </c>
      <c r="M1095">
        <v>0.63428128100000003</v>
      </c>
      <c r="N1095">
        <v>-3.433710242842563</v>
      </c>
      <c r="O1095">
        <v>3.2796189564850788E-2</v>
      </c>
    </row>
    <row r="1096" spans="1:15" x14ac:dyDescent="0.3">
      <c r="A1096">
        <v>2020</v>
      </c>
      <c r="B1096">
        <v>74</v>
      </c>
      <c r="C1096" t="s">
        <v>12</v>
      </c>
      <c r="D1096">
        <v>39711</v>
      </c>
      <c r="E1096">
        <v>1041614</v>
      </c>
      <c r="F1096">
        <v>3.8123999999999998E-2</v>
      </c>
      <c r="G1096">
        <v>0.96187599999999995</v>
      </c>
      <c r="H1096">
        <v>61381.493260000003</v>
      </c>
      <c r="I1096">
        <v>2340.11</v>
      </c>
      <c r="J1096">
        <v>60211.43924</v>
      </c>
      <c r="K1096">
        <v>515513.12089999998</v>
      </c>
      <c r="L1096">
        <v>8.3985105850000004</v>
      </c>
      <c r="M1096">
        <v>0.61381493300000001</v>
      </c>
      <c r="N1096">
        <v>-3.2669112739067576</v>
      </c>
      <c r="O1096">
        <v>3.8864883672348978E-2</v>
      </c>
    </row>
    <row r="1097" spans="1:15" x14ac:dyDescent="0.3">
      <c r="A1097">
        <v>2020</v>
      </c>
      <c r="B1097">
        <v>75</v>
      </c>
      <c r="C1097" t="s">
        <v>12</v>
      </c>
      <c r="D1097">
        <v>39754</v>
      </c>
      <c r="E1097">
        <v>1009458</v>
      </c>
      <c r="F1097">
        <v>3.9382E-2</v>
      </c>
      <c r="G1097">
        <v>0.96061799999999997</v>
      </c>
      <c r="H1097">
        <v>59041.355280000003</v>
      </c>
      <c r="I1097">
        <v>2325.17</v>
      </c>
      <c r="J1097">
        <v>57878.771950000002</v>
      </c>
      <c r="K1097">
        <v>455301.68160000001</v>
      </c>
      <c r="L1097">
        <v>7.711572329</v>
      </c>
      <c r="M1097">
        <v>0.59041355299999998</v>
      </c>
      <c r="N1097">
        <v>-3.2344464198591587</v>
      </c>
      <c r="O1097">
        <v>4.0173095652469792E-2</v>
      </c>
    </row>
    <row r="1098" spans="1:15" x14ac:dyDescent="0.3">
      <c r="A1098">
        <v>2020</v>
      </c>
      <c r="B1098">
        <v>76</v>
      </c>
      <c r="C1098" t="s">
        <v>12</v>
      </c>
      <c r="D1098">
        <v>42877</v>
      </c>
      <c r="E1098">
        <v>961529</v>
      </c>
      <c r="F1098">
        <v>4.4593000000000001E-2</v>
      </c>
      <c r="G1098">
        <v>0.95540700000000001</v>
      </c>
      <c r="H1098">
        <v>56716.216410000001</v>
      </c>
      <c r="I1098">
        <v>2529.15</v>
      </c>
      <c r="J1098">
        <v>55451.64329</v>
      </c>
      <c r="K1098">
        <v>397422.90970000002</v>
      </c>
      <c r="L1098">
        <v>7.0072183020000001</v>
      </c>
      <c r="M1098">
        <v>0.56716216399999997</v>
      </c>
      <c r="N1098">
        <v>-3.1101783829468101</v>
      </c>
      <c r="O1098">
        <v>4.560999868704825E-2</v>
      </c>
    </row>
    <row r="1099" spans="1:15" x14ac:dyDescent="0.3">
      <c r="A1099">
        <v>2020</v>
      </c>
      <c r="B1099">
        <v>77</v>
      </c>
      <c r="C1099" t="s">
        <v>12</v>
      </c>
      <c r="D1099">
        <v>46442</v>
      </c>
      <c r="E1099">
        <v>963155</v>
      </c>
      <c r="F1099">
        <v>4.8218999999999998E-2</v>
      </c>
      <c r="G1099">
        <v>0.95178099999999999</v>
      </c>
      <c r="H1099">
        <v>54187.097459999997</v>
      </c>
      <c r="I1099">
        <v>2612.85</v>
      </c>
      <c r="J1099">
        <v>52880.673629999998</v>
      </c>
      <c r="K1099">
        <v>341971.26640000002</v>
      </c>
      <c r="L1099">
        <v>6.310935304</v>
      </c>
      <c r="M1099">
        <v>0.54187097500000003</v>
      </c>
      <c r="N1099">
        <v>-3.0320021447270236</v>
      </c>
      <c r="O1099">
        <v>4.9410291223564343E-2</v>
      </c>
    </row>
    <row r="1100" spans="1:15" x14ac:dyDescent="0.3">
      <c r="A1100">
        <v>2020</v>
      </c>
      <c r="B1100">
        <v>78</v>
      </c>
      <c r="C1100" t="s">
        <v>12</v>
      </c>
      <c r="D1100">
        <v>44183</v>
      </c>
      <c r="E1100">
        <v>816776</v>
      </c>
      <c r="F1100">
        <v>5.4094000000000003E-2</v>
      </c>
      <c r="G1100">
        <v>0.94590600000000002</v>
      </c>
      <c r="H1100">
        <v>51574.270680000001</v>
      </c>
      <c r="I1100">
        <v>2789.86</v>
      </c>
      <c r="J1100">
        <v>50179.341379999998</v>
      </c>
      <c r="K1100">
        <v>289090.59269999998</v>
      </c>
      <c r="L1100">
        <v>5.605325852</v>
      </c>
      <c r="M1100">
        <v>0.51574270700000002</v>
      </c>
      <c r="N1100">
        <v>-2.9170320050103258</v>
      </c>
      <c r="O1100">
        <v>5.559779150986835E-2</v>
      </c>
    </row>
    <row r="1101" spans="1:15" x14ac:dyDescent="0.3">
      <c r="A1101">
        <v>2020</v>
      </c>
      <c r="B1101">
        <v>79</v>
      </c>
      <c r="C1101" t="s">
        <v>12</v>
      </c>
      <c r="D1101">
        <v>42495</v>
      </c>
      <c r="E1101">
        <v>722766</v>
      </c>
      <c r="F1101">
        <v>5.8795E-2</v>
      </c>
      <c r="G1101">
        <v>0.94120499999999996</v>
      </c>
      <c r="H1101">
        <v>48784.391929999998</v>
      </c>
      <c r="I1101">
        <v>2868.28</v>
      </c>
      <c r="J1101">
        <v>47350.252769999999</v>
      </c>
      <c r="K1101">
        <v>238911.25140000001</v>
      </c>
      <c r="L1101">
        <v>4.8972887009999999</v>
      </c>
      <c r="M1101">
        <v>0.48784391900000001</v>
      </c>
      <c r="N1101">
        <v>-2.8336984617067578</v>
      </c>
      <c r="O1101">
        <v>6.0575810625730961E-2</v>
      </c>
    </row>
    <row r="1102" spans="1:15" x14ac:dyDescent="0.3">
      <c r="A1102">
        <v>2020</v>
      </c>
      <c r="B1102">
        <v>80</v>
      </c>
      <c r="C1102" t="s">
        <v>12</v>
      </c>
      <c r="D1102">
        <v>42411</v>
      </c>
      <c r="E1102">
        <v>663256</v>
      </c>
      <c r="F1102">
        <v>6.3944000000000001E-2</v>
      </c>
      <c r="G1102">
        <v>0.936056</v>
      </c>
      <c r="H1102">
        <v>45916.115429999998</v>
      </c>
      <c r="I1102">
        <v>2936.06</v>
      </c>
      <c r="J1102">
        <v>44448.08539</v>
      </c>
      <c r="K1102">
        <v>191560.99859999999</v>
      </c>
      <c r="L1102">
        <v>4.1719774589999998</v>
      </c>
      <c r="M1102">
        <v>0.45916115400000002</v>
      </c>
      <c r="N1102">
        <v>-2.7497475786584191</v>
      </c>
      <c r="O1102">
        <v>6.605592618175489E-2</v>
      </c>
    </row>
    <row r="1103" spans="1:15" x14ac:dyDescent="0.3">
      <c r="A1103">
        <v>2020</v>
      </c>
      <c r="B1103">
        <v>81</v>
      </c>
      <c r="C1103" t="s">
        <v>12</v>
      </c>
      <c r="D1103">
        <v>42685</v>
      </c>
      <c r="E1103">
        <v>604941</v>
      </c>
      <c r="F1103">
        <v>7.0560999999999999E-2</v>
      </c>
      <c r="G1103">
        <v>0.92943900000000002</v>
      </c>
      <c r="H1103">
        <v>42980.072079999998</v>
      </c>
      <c r="I1103">
        <v>3032.72</v>
      </c>
      <c r="J1103">
        <v>41463.713649999998</v>
      </c>
      <c r="K1103">
        <v>147112.91320000001</v>
      </c>
      <c r="L1103">
        <v>3.42281681</v>
      </c>
      <c r="M1103">
        <v>0.429800721</v>
      </c>
      <c r="N1103">
        <v>-2.6512776950484267</v>
      </c>
      <c r="O1103">
        <v>7.3141527971030504E-2</v>
      </c>
    </row>
    <row r="1104" spans="1:15" x14ac:dyDescent="0.3">
      <c r="A1104">
        <v>2020</v>
      </c>
      <c r="B1104">
        <v>82</v>
      </c>
      <c r="C1104" t="s">
        <v>12</v>
      </c>
      <c r="D1104">
        <v>42913</v>
      </c>
      <c r="E1104">
        <v>554034</v>
      </c>
      <c r="F1104">
        <v>7.7455999999999997E-2</v>
      </c>
      <c r="G1104">
        <v>0.92254400000000003</v>
      </c>
      <c r="H1104">
        <v>39947.3724</v>
      </c>
      <c r="I1104">
        <v>3094.16</v>
      </c>
      <c r="J1104">
        <v>38400.290560000001</v>
      </c>
      <c r="K1104">
        <v>105649.19960000001</v>
      </c>
      <c r="L1104">
        <v>2.6447096069999998</v>
      </c>
      <c r="M1104">
        <v>0.39947372399999997</v>
      </c>
      <c r="N1104">
        <v>-2.5580452457847986</v>
      </c>
      <c r="O1104">
        <v>8.0576454155028746E-2</v>
      </c>
    </row>
    <row r="1105" spans="1:15" x14ac:dyDescent="0.3">
      <c r="A1105">
        <v>2020</v>
      </c>
      <c r="B1105">
        <v>83</v>
      </c>
      <c r="C1105" t="s">
        <v>12</v>
      </c>
      <c r="D1105">
        <v>42570</v>
      </c>
      <c r="E1105">
        <v>486767</v>
      </c>
      <c r="F1105">
        <v>8.7455000000000005E-2</v>
      </c>
      <c r="G1105">
        <v>0.91254500000000005</v>
      </c>
      <c r="H1105">
        <v>36853.227290000003</v>
      </c>
      <c r="I1105">
        <v>3223</v>
      </c>
      <c r="J1105">
        <v>35241.727789999997</v>
      </c>
      <c r="K1105">
        <v>67248.909</v>
      </c>
      <c r="L1105">
        <v>1.8247766599999999</v>
      </c>
      <c r="M1105">
        <v>0.36853227300000002</v>
      </c>
      <c r="N1105">
        <v>-2.4366309036231106</v>
      </c>
      <c r="O1105">
        <v>9.1454065447772265E-2</v>
      </c>
    </row>
    <row r="1106" spans="1:15" x14ac:dyDescent="0.3">
      <c r="A1106">
        <v>2020</v>
      </c>
      <c r="B1106">
        <v>84</v>
      </c>
      <c r="C1106" t="s">
        <v>12</v>
      </c>
      <c r="D1106">
        <v>42528</v>
      </c>
      <c r="E1106">
        <v>440593</v>
      </c>
      <c r="F1106">
        <v>9.6523999999999999E-2</v>
      </c>
      <c r="G1106">
        <v>0.90347599999999995</v>
      </c>
      <c r="H1106">
        <v>33630.244039999998</v>
      </c>
      <c r="I1106">
        <v>3246.13</v>
      </c>
      <c r="J1106">
        <v>32007.181199999999</v>
      </c>
      <c r="K1106">
        <v>32007.181199999999</v>
      </c>
      <c r="L1106">
        <v>0.95173799999999997</v>
      </c>
      <c r="M1106">
        <v>0.33630243999999998</v>
      </c>
      <c r="N1106">
        <v>-2.3379635968958623</v>
      </c>
      <c r="O1106">
        <v>4.8583762206231174E-2</v>
      </c>
    </row>
    <row r="1107" spans="1:15" x14ac:dyDescent="0.3">
      <c r="A1107">
        <v>2020</v>
      </c>
      <c r="B1107">
        <v>20</v>
      </c>
      <c r="C1107" t="s">
        <v>13</v>
      </c>
      <c r="D1107">
        <v>3983</v>
      </c>
      <c r="E1107">
        <v>4344572</v>
      </c>
      <c r="F1107">
        <v>9.1699999999999995E-4</v>
      </c>
      <c r="G1107">
        <v>0.99908300000000005</v>
      </c>
      <c r="H1107">
        <v>100000</v>
      </c>
      <c r="I1107">
        <v>91.7</v>
      </c>
      <c r="J1107">
        <v>99954.15</v>
      </c>
      <c r="K1107">
        <v>5538168.5089999996</v>
      </c>
      <c r="L1107">
        <v>55.381685089999998</v>
      </c>
      <c r="M1107">
        <v>1</v>
      </c>
      <c r="N1107">
        <v>-6.994403085707809</v>
      </c>
      <c r="O1107">
        <v>9.1742053465578184E-4</v>
      </c>
    </row>
    <row r="1108" spans="1:15" x14ac:dyDescent="0.3">
      <c r="A1108">
        <v>2020</v>
      </c>
      <c r="B1108">
        <v>21</v>
      </c>
      <c r="C1108" t="s">
        <v>13</v>
      </c>
      <c r="D1108">
        <v>4576</v>
      </c>
      <c r="E1108">
        <v>4283150</v>
      </c>
      <c r="F1108">
        <v>1.0679999999999999E-3</v>
      </c>
      <c r="G1108">
        <v>0.99893200000000004</v>
      </c>
      <c r="H1108">
        <v>99908.322379999998</v>
      </c>
      <c r="I1108">
        <v>106.7</v>
      </c>
      <c r="J1108">
        <v>99854.971340000004</v>
      </c>
      <c r="K1108">
        <v>5438214.3590000002</v>
      </c>
      <c r="L1108">
        <v>54.432045600000002</v>
      </c>
      <c r="M1108">
        <v>0.99908322400000005</v>
      </c>
      <c r="N1108">
        <v>-6.8419675384441341</v>
      </c>
      <c r="O1108">
        <v>1.0685499025156141E-3</v>
      </c>
    </row>
    <row r="1109" spans="1:15" x14ac:dyDescent="0.3">
      <c r="A1109">
        <v>2020</v>
      </c>
      <c r="B1109">
        <v>22</v>
      </c>
      <c r="C1109" t="s">
        <v>13</v>
      </c>
      <c r="D1109">
        <v>4685</v>
      </c>
      <c r="E1109">
        <v>4293020</v>
      </c>
      <c r="F1109">
        <v>1.091E-3</v>
      </c>
      <c r="G1109">
        <v>0.99890900000000005</v>
      </c>
      <c r="H1109">
        <v>99801.583069999993</v>
      </c>
      <c r="I1109">
        <v>108.88</v>
      </c>
      <c r="J1109">
        <v>99747.141310000006</v>
      </c>
      <c r="K1109">
        <v>5338359.3880000003</v>
      </c>
      <c r="L1109">
        <v>53.48972655</v>
      </c>
      <c r="M1109">
        <v>0.99801583100000002</v>
      </c>
      <c r="N1109">
        <v>-6.820660572131203</v>
      </c>
      <c r="O1109">
        <v>1.0915602719036616E-3</v>
      </c>
    </row>
    <row r="1110" spans="1:15" x14ac:dyDescent="0.3">
      <c r="A1110">
        <v>2020</v>
      </c>
      <c r="B1110">
        <v>23</v>
      </c>
      <c r="C1110" t="s">
        <v>13</v>
      </c>
      <c r="D1110">
        <v>5032</v>
      </c>
      <c r="E1110">
        <v>4315220</v>
      </c>
      <c r="F1110">
        <v>1.1659999999999999E-3</v>
      </c>
      <c r="G1110">
        <v>0.998834</v>
      </c>
      <c r="H1110">
        <v>99692.668969999999</v>
      </c>
      <c r="I1110">
        <v>116.24</v>
      </c>
      <c r="J1110">
        <v>99634.548139999999</v>
      </c>
      <c r="K1110">
        <v>5238612.2470000004</v>
      </c>
      <c r="L1110">
        <v>52.547617600000002</v>
      </c>
      <c r="M1110">
        <v>0.99692669</v>
      </c>
      <c r="N1110">
        <v>-6.754176191053836</v>
      </c>
      <c r="O1110">
        <v>1.1666636551023576E-3</v>
      </c>
    </row>
    <row r="1111" spans="1:15" x14ac:dyDescent="0.3">
      <c r="A1111">
        <v>2020</v>
      </c>
      <c r="B1111">
        <v>24</v>
      </c>
      <c r="C1111" t="s">
        <v>13</v>
      </c>
      <c r="D1111">
        <v>5262</v>
      </c>
      <c r="E1111">
        <v>4358793</v>
      </c>
      <c r="F1111">
        <v>1.207E-3</v>
      </c>
      <c r="G1111">
        <v>0.99879300000000004</v>
      </c>
      <c r="H1111">
        <v>99576.416840000005</v>
      </c>
      <c r="I1111">
        <v>120.19</v>
      </c>
      <c r="J1111">
        <v>99516.322469999999</v>
      </c>
      <c r="K1111">
        <v>5138977.699</v>
      </c>
      <c r="L1111">
        <v>51.608381399999999</v>
      </c>
      <c r="M1111">
        <v>0.99576416800000001</v>
      </c>
      <c r="N1111">
        <v>-6.7196173368667429</v>
      </c>
      <c r="O1111">
        <v>1.2077417044126582E-3</v>
      </c>
    </row>
    <row r="1112" spans="1:15" x14ac:dyDescent="0.3">
      <c r="A1112">
        <v>2020</v>
      </c>
      <c r="B1112">
        <v>25</v>
      </c>
      <c r="C1112" t="s">
        <v>13</v>
      </c>
      <c r="D1112">
        <v>5706</v>
      </c>
      <c r="E1112">
        <v>4461006</v>
      </c>
      <c r="F1112">
        <v>1.279E-3</v>
      </c>
      <c r="G1112">
        <v>0.99872099999999997</v>
      </c>
      <c r="H1112">
        <v>99456.206709999999</v>
      </c>
      <c r="I1112">
        <v>127.2</v>
      </c>
      <c r="J1112">
        <v>99392.604470000006</v>
      </c>
      <c r="K1112">
        <v>5039461.3760000002</v>
      </c>
      <c r="L1112">
        <v>50.670154660000001</v>
      </c>
      <c r="M1112">
        <v>0.99456206700000005</v>
      </c>
      <c r="N1112">
        <v>-6.6616767563854316</v>
      </c>
      <c r="O1112">
        <v>1.2797733394243436E-3</v>
      </c>
    </row>
    <row r="1113" spans="1:15" x14ac:dyDescent="0.3">
      <c r="A1113">
        <v>2020</v>
      </c>
      <c r="B1113">
        <v>26</v>
      </c>
      <c r="C1113" t="s">
        <v>13</v>
      </c>
      <c r="D1113">
        <v>5962</v>
      </c>
      <c r="E1113">
        <v>4555511</v>
      </c>
      <c r="F1113">
        <v>1.3090000000000001E-3</v>
      </c>
      <c r="G1113">
        <v>0.998691</v>
      </c>
      <c r="H1113">
        <v>99328.993889999998</v>
      </c>
      <c r="I1113">
        <v>130.02000000000001</v>
      </c>
      <c r="J1113">
        <v>99263.983059999999</v>
      </c>
      <c r="K1113">
        <v>4940068.7719999999</v>
      </c>
      <c r="L1113">
        <v>49.734408639999998</v>
      </c>
      <c r="M1113">
        <v>0.99328993899999996</v>
      </c>
      <c r="N1113">
        <v>-6.6384917920543742</v>
      </c>
      <c r="O1113">
        <v>1.3098404815469139E-3</v>
      </c>
    </row>
    <row r="1114" spans="1:15" x14ac:dyDescent="0.3">
      <c r="A1114">
        <v>2020</v>
      </c>
      <c r="B1114">
        <v>27</v>
      </c>
      <c r="C1114" t="s">
        <v>13</v>
      </c>
      <c r="D1114">
        <v>6533</v>
      </c>
      <c r="E1114">
        <v>4628618</v>
      </c>
      <c r="F1114">
        <v>1.4109999999999999E-3</v>
      </c>
      <c r="G1114">
        <v>0.99858899999999995</v>
      </c>
      <c r="H1114">
        <v>99198.997619999995</v>
      </c>
      <c r="I1114">
        <v>139.97</v>
      </c>
      <c r="J1114">
        <v>99129.012730000002</v>
      </c>
      <c r="K1114">
        <v>4840804.7889999999</v>
      </c>
      <c r="L1114">
        <v>48.798928459999999</v>
      </c>
      <c r="M1114">
        <v>0.99198997600000005</v>
      </c>
      <c r="N1114">
        <v>-6.5634566061114601</v>
      </c>
      <c r="O1114">
        <v>1.4119986340528786E-3</v>
      </c>
    </row>
    <row r="1115" spans="1:15" x14ac:dyDescent="0.3">
      <c r="A1115">
        <v>2020</v>
      </c>
      <c r="B1115">
        <v>28</v>
      </c>
      <c r="C1115" t="s">
        <v>13</v>
      </c>
      <c r="D1115">
        <v>6970</v>
      </c>
      <c r="E1115">
        <v>4751001</v>
      </c>
      <c r="F1115">
        <v>1.467E-3</v>
      </c>
      <c r="G1115">
        <v>0.998533</v>
      </c>
      <c r="H1115">
        <v>99058.984540000005</v>
      </c>
      <c r="I1115">
        <v>145.32</v>
      </c>
      <c r="J1115">
        <v>98986.324770000007</v>
      </c>
      <c r="K1115">
        <v>4741675.7759999996</v>
      </c>
      <c r="L1115">
        <v>47.867195469999999</v>
      </c>
      <c r="M1115">
        <v>0.99058984500000002</v>
      </c>
      <c r="N1115">
        <v>-6.5245357798212922</v>
      </c>
      <c r="O1115">
        <v>1.4680816227811055E-3</v>
      </c>
    </row>
    <row r="1116" spans="1:15" x14ac:dyDescent="0.3">
      <c r="A1116">
        <v>2020</v>
      </c>
      <c r="B1116">
        <v>29</v>
      </c>
      <c r="C1116" t="s">
        <v>13</v>
      </c>
      <c r="D1116">
        <v>7525</v>
      </c>
      <c r="E1116">
        <v>4835107</v>
      </c>
      <c r="F1116">
        <v>1.5560000000000001E-3</v>
      </c>
      <c r="G1116">
        <v>0.998444</v>
      </c>
      <c r="H1116">
        <v>98913.659140000003</v>
      </c>
      <c r="I1116">
        <v>153.91</v>
      </c>
      <c r="J1116">
        <v>98836.704310000001</v>
      </c>
      <c r="K1116">
        <v>4642689.4510000004</v>
      </c>
      <c r="L1116">
        <v>46.936788020000002</v>
      </c>
      <c r="M1116">
        <v>0.98913659099999995</v>
      </c>
      <c r="N1116">
        <v>-6.465636853225937</v>
      </c>
      <c r="O1116">
        <v>1.5572152686602835E-3</v>
      </c>
    </row>
    <row r="1117" spans="1:15" x14ac:dyDescent="0.3">
      <c r="A1117">
        <v>2020</v>
      </c>
      <c r="B1117">
        <v>30</v>
      </c>
      <c r="C1117" t="s">
        <v>13</v>
      </c>
      <c r="D1117">
        <v>7906</v>
      </c>
      <c r="E1117">
        <v>4821081</v>
      </c>
      <c r="F1117">
        <v>1.64E-3</v>
      </c>
      <c r="G1117">
        <v>0.99836000000000003</v>
      </c>
      <c r="H1117">
        <v>98759.717300000004</v>
      </c>
      <c r="I1117">
        <v>161.97</v>
      </c>
      <c r="J1117">
        <v>98678.734330000007</v>
      </c>
      <c r="K1117">
        <v>4543852.7470000004</v>
      </c>
      <c r="L1117">
        <v>46.009171260000002</v>
      </c>
      <c r="M1117">
        <v>0.98759717300000005</v>
      </c>
      <c r="N1117">
        <v>-6.4130590371460299</v>
      </c>
      <c r="O1117">
        <v>1.6413869864139185E-3</v>
      </c>
    </row>
    <row r="1118" spans="1:15" x14ac:dyDescent="0.3">
      <c r="A1118">
        <v>2020</v>
      </c>
      <c r="B1118">
        <v>31</v>
      </c>
      <c r="C1118" t="s">
        <v>13</v>
      </c>
      <c r="D1118">
        <v>7944</v>
      </c>
      <c r="E1118">
        <v>4627340</v>
      </c>
      <c r="F1118">
        <v>1.717E-3</v>
      </c>
      <c r="G1118">
        <v>0.99828300000000003</v>
      </c>
      <c r="H1118">
        <v>98597.763099999996</v>
      </c>
      <c r="I1118">
        <v>169.29</v>
      </c>
      <c r="J1118">
        <v>98513.11692</v>
      </c>
      <c r="K1118">
        <v>4445174.0120000001</v>
      </c>
      <c r="L1118">
        <v>45.083923540000001</v>
      </c>
      <c r="M1118">
        <v>0.98597763100000002</v>
      </c>
      <c r="N1118">
        <v>-6.3671766970667987</v>
      </c>
      <c r="O1118">
        <v>1.7184511501684931E-3</v>
      </c>
    </row>
    <row r="1119" spans="1:15" x14ac:dyDescent="0.3">
      <c r="A1119">
        <v>2020</v>
      </c>
      <c r="B1119">
        <v>32</v>
      </c>
      <c r="C1119" t="s">
        <v>13</v>
      </c>
      <c r="D1119">
        <v>8049</v>
      </c>
      <c r="E1119">
        <v>4514736</v>
      </c>
      <c r="F1119">
        <v>1.7830000000000001E-3</v>
      </c>
      <c r="G1119">
        <v>0.99821700000000002</v>
      </c>
      <c r="H1119">
        <v>98428.495089999997</v>
      </c>
      <c r="I1119">
        <v>175.5</v>
      </c>
      <c r="J1119">
        <v>98340.746090000001</v>
      </c>
      <c r="K1119">
        <v>4346660.8959999997</v>
      </c>
      <c r="L1119">
        <v>44.160594869999997</v>
      </c>
      <c r="M1119">
        <v>0.98428495100000002</v>
      </c>
      <c r="N1119">
        <v>-6.3294579401011335</v>
      </c>
      <c r="O1119">
        <v>1.7846110785674797E-3</v>
      </c>
    </row>
    <row r="1120" spans="1:15" x14ac:dyDescent="0.3">
      <c r="A1120">
        <v>2020</v>
      </c>
      <c r="B1120">
        <v>33</v>
      </c>
      <c r="C1120" t="s">
        <v>13</v>
      </c>
      <c r="D1120">
        <v>8345</v>
      </c>
      <c r="E1120">
        <v>4432699</v>
      </c>
      <c r="F1120">
        <v>1.8829999999999999E-3</v>
      </c>
      <c r="G1120">
        <v>0.99811700000000003</v>
      </c>
      <c r="H1120">
        <v>98253.013959999997</v>
      </c>
      <c r="I1120">
        <v>185.01</v>
      </c>
      <c r="J1120">
        <v>98160.508749999994</v>
      </c>
      <c r="K1120">
        <v>4248320.1490000002</v>
      </c>
      <c r="L1120">
        <v>43.238573330000001</v>
      </c>
      <c r="M1120">
        <v>0.98253014000000005</v>
      </c>
      <c r="N1120">
        <v>-6.274889029307122</v>
      </c>
      <c r="O1120">
        <v>1.8847698054857628E-3</v>
      </c>
    </row>
    <row r="1121" spans="1:15" x14ac:dyDescent="0.3">
      <c r="A1121">
        <v>2020</v>
      </c>
      <c r="B1121">
        <v>34</v>
      </c>
      <c r="C1121" t="s">
        <v>13</v>
      </c>
      <c r="D1121">
        <v>8546</v>
      </c>
      <c r="E1121">
        <v>4442547</v>
      </c>
      <c r="F1121">
        <v>1.9239999999999999E-3</v>
      </c>
      <c r="G1121">
        <v>0.99807599999999996</v>
      </c>
      <c r="H1121">
        <v>98068.042820000002</v>
      </c>
      <c r="I1121">
        <v>188.68</v>
      </c>
      <c r="J1121">
        <v>97973.701360000006</v>
      </c>
      <c r="K1121">
        <v>4150159.6409999998</v>
      </c>
      <c r="L1121">
        <v>42.31918494</v>
      </c>
      <c r="M1121">
        <v>0.98068042799999999</v>
      </c>
      <c r="N1121">
        <v>-6.2533489267386226</v>
      </c>
      <c r="O1121">
        <v>1.9258226068487854E-3</v>
      </c>
    </row>
    <row r="1122" spans="1:15" x14ac:dyDescent="0.3">
      <c r="A1122">
        <v>2020</v>
      </c>
      <c r="B1122">
        <v>35</v>
      </c>
      <c r="C1122" t="s">
        <v>13</v>
      </c>
      <c r="D1122">
        <v>8785</v>
      </c>
      <c r="E1122">
        <v>4466747</v>
      </c>
      <c r="F1122">
        <v>1.967E-3</v>
      </c>
      <c r="G1122">
        <v>0.99803299999999995</v>
      </c>
      <c r="H1122">
        <v>97879.392139999996</v>
      </c>
      <c r="I1122">
        <v>192.53</v>
      </c>
      <c r="J1122">
        <v>97783.127760000003</v>
      </c>
      <c r="K1122">
        <v>4052185.9389999998</v>
      </c>
      <c r="L1122">
        <v>41.399786519999999</v>
      </c>
      <c r="M1122">
        <v>0.97879392099999996</v>
      </c>
      <c r="N1122">
        <v>-6.2312457395752148</v>
      </c>
      <c r="O1122">
        <v>1.9689488449762447E-3</v>
      </c>
    </row>
    <row r="1123" spans="1:15" x14ac:dyDescent="0.3">
      <c r="A1123">
        <v>2020</v>
      </c>
      <c r="B1123">
        <v>36</v>
      </c>
      <c r="C1123" t="s">
        <v>13</v>
      </c>
      <c r="D1123">
        <v>9051</v>
      </c>
      <c r="E1123">
        <v>4319361</v>
      </c>
      <c r="F1123">
        <v>2.0950000000000001E-3</v>
      </c>
      <c r="G1123">
        <v>0.99790500000000004</v>
      </c>
      <c r="H1123">
        <v>97686.887289999999</v>
      </c>
      <c r="I1123">
        <v>204.65</v>
      </c>
      <c r="J1123">
        <v>97584.560280000005</v>
      </c>
      <c r="K1123">
        <v>3954402.8119999999</v>
      </c>
      <c r="L1123">
        <v>40.480385050000002</v>
      </c>
      <c r="M1123">
        <v>0.97686887300000003</v>
      </c>
      <c r="N1123">
        <v>-6.1682017256080357</v>
      </c>
      <c r="O1123">
        <v>2.0971559987865047E-3</v>
      </c>
    </row>
    <row r="1124" spans="1:15" x14ac:dyDescent="0.3">
      <c r="A1124">
        <v>2020</v>
      </c>
      <c r="B1124">
        <v>37</v>
      </c>
      <c r="C1124" t="s">
        <v>13</v>
      </c>
      <c r="D1124">
        <v>9771</v>
      </c>
      <c r="E1124">
        <v>4374441</v>
      </c>
      <c r="F1124">
        <v>2.2339999999999999E-3</v>
      </c>
      <c r="G1124">
        <v>0.99776600000000004</v>
      </c>
      <c r="H1124">
        <v>97482.189419999995</v>
      </c>
      <c r="I1124">
        <v>217.78</v>
      </c>
      <c r="J1124">
        <v>97373.301810000004</v>
      </c>
      <c r="K1124">
        <v>3856818.2510000002</v>
      </c>
      <c r="L1124">
        <v>39.564337590000001</v>
      </c>
      <c r="M1124">
        <v>0.97482189399999997</v>
      </c>
      <c r="N1124">
        <v>-6.1039615783351282</v>
      </c>
      <c r="O1124">
        <v>2.2365469644596543E-3</v>
      </c>
    </row>
    <row r="1125" spans="1:15" x14ac:dyDescent="0.3">
      <c r="A1125">
        <v>2020</v>
      </c>
      <c r="B1125">
        <v>38</v>
      </c>
      <c r="C1125" t="s">
        <v>13</v>
      </c>
      <c r="D1125">
        <v>9872</v>
      </c>
      <c r="E1125">
        <v>4362662</v>
      </c>
      <c r="F1125">
        <v>2.2629999999999998E-3</v>
      </c>
      <c r="G1125">
        <v>0.99773699999999999</v>
      </c>
      <c r="H1125">
        <v>97264.447660000005</v>
      </c>
      <c r="I1125">
        <v>220.11</v>
      </c>
      <c r="J1125">
        <v>97154.392940000005</v>
      </c>
      <c r="K1125">
        <v>3759444.949</v>
      </c>
      <c r="L1125">
        <v>38.65178942</v>
      </c>
      <c r="M1125">
        <v>0.97264447700000001</v>
      </c>
      <c r="N1125">
        <v>-6.0910639123307364</v>
      </c>
      <c r="O1125">
        <v>2.2655690140799419E-3</v>
      </c>
    </row>
    <row r="1126" spans="1:15" x14ac:dyDescent="0.3">
      <c r="A1126">
        <v>2020</v>
      </c>
      <c r="B1126">
        <v>39</v>
      </c>
      <c r="C1126" t="s">
        <v>13</v>
      </c>
      <c r="D1126">
        <v>10602</v>
      </c>
      <c r="E1126">
        <v>4305093</v>
      </c>
      <c r="F1126">
        <v>2.4629999999999999E-3</v>
      </c>
      <c r="G1126">
        <v>0.99753700000000001</v>
      </c>
      <c r="H1126">
        <v>97044.353910000005</v>
      </c>
      <c r="I1126">
        <v>239.02</v>
      </c>
      <c r="J1126">
        <v>96924.843789999999</v>
      </c>
      <c r="K1126">
        <v>3662290.557</v>
      </c>
      <c r="L1126">
        <v>37.738316650000002</v>
      </c>
      <c r="M1126">
        <v>0.97044353900000002</v>
      </c>
      <c r="N1126">
        <v>-6.0063751598437358</v>
      </c>
      <c r="O1126">
        <v>2.4660339962287053E-3</v>
      </c>
    </row>
    <row r="1127" spans="1:15" x14ac:dyDescent="0.3">
      <c r="A1127">
        <v>2020</v>
      </c>
      <c r="B1127">
        <v>40</v>
      </c>
      <c r="C1127" t="s">
        <v>13</v>
      </c>
      <c r="D1127">
        <v>10945</v>
      </c>
      <c r="E1127">
        <v>4378957</v>
      </c>
      <c r="F1127">
        <v>2.4989999999999999E-3</v>
      </c>
      <c r="G1127">
        <v>0.99750099999999997</v>
      </c>
      <c r="H1127">
        <v>96805.366219999996</v>
      </c>
      <c r="I1127">
        <v>241.92</v>
      </c>
      <c r="J1127">
        <v>96684.407909999994</v>
      </c>
      <c r="K1127">
        <v>3565365.713</v>
      </c>
      <c r="L1127">
        <v>36.830248689999998</v>
      </c>
      <c r="M1127">
        <v>0.96805366199999998</v>
      </c>
      <c r="N1127">
        <v>-5.9918646271293214</v>
      </c>
      <c r="O1127">
        <v>2.5021620358906481E-3</v>
      </c>
    </row>
    <row r="1128" spans="1:15" x14ac:dyDescent="0.3">
      <c r="A1128">
        <v>2020</v>
      </c>
      <c r="B1128">
        <v>41</v>
      </c>
      <c r="C1128" t="s">
        <v>13</v>
      </c>
      <c r="D1128">
        <v>11118</v>
      </c>
      <c r="E1128">
        <v>4100150</v>
      </c>
      <c r="F1128">
        <v>2.712E-3</v>
      </c>
      <c r="G1128">
        <v>0.99728799999999995</v>
      </c>
      <c r="H1128">
        <v>96563.40569</v>
      </c>
      <c r="I1128">
        <v>261.88</v>
      </c>
      <c r="J1128">
        <v>96432.465710000004</v>
      </c>
      <c r="K1128">
        <v>3468681.3050000002</v>
      </c>
      <c r="L1128">
        <v>35.92128177</v>
      </c>
      <c r="M1128">
        <v>0.96563405700000005</v>
      </c>
      <c r="N1128">
        <v>-5.9100689089039875</v>
      </c>
      <c r="O1128">
        <v>2.7156823863993969E-3</v>
      </c>
    </row>
    <row r="1129" spans="1:15" x14ac:dyDescent="0.3">
      <c r="A1129">
        <v>2020</v>
      </c>
      <c r="B1129">
        <v>42</v>
      </c>
      <c r="C1129" t="s">
        <v>13</v>
      </c>
      <c r="D1129">
        <v>10991</v>
      </c>
      <c r="E1129">
        <v>4014287</v>
      </c>
      <c r="F1129">
        <v>2.738E-3</v>
      </c>
      <c r="G1129">
        <v>0.99726199999999998</v>
      </c>
      <c r="H1129">
        <v>96301.563580000002</v>
      </c>
      <c r="I1129">
        <v>263.67</v>
      </c>
      <c r="J1129">
        <v>96169.726739999998</v>
      </c>
      <c r="K1129">
        <v>3372248.8390000002</v>
      </c>
      <c r="L1129">
        <v>35.017591760000002</v>
      </c>
      <c r="M1129">
        <v>0.96301563599999995</v>
      </c>
      <c r="N1129">
        <v>-5.9005275521158795</v>
      </c>
      <c r="O1129">
        <v>2.7417151432000946E-3</v>
      </c>
    </row>
    <row r="1130" spans="1:15" x14ac:dyDescent="0.3">
      <c r="A1130">
        <v>2020</v>
      </c>
      <c r="B1130">
        <v>43</v>
      </c>
      <c r="C1130" t="s">
        <v>13</v>
      </c>
      <c r="D1130">
        <v>11538</v>
      </c>
      <c r="E1130">
        <v>3967810</v>
      </c>
      <c r="F1130">
        <v>2.908E-3</v>
      </c>
      <c r="G1130">
        <v>0.99709199999999998</v>
      </c>
      <c r="H1130">
        <v>96037.892730000007</v>
      </c>
      <c r="I1130">
        <v>279.27999999999997</v>
      </c>
      <c r="J1130">
        <v>95898.253630000007</v>
      </c>
      <c r="K1130">
        <v>3276079.1120000002</v>
      </c>
      <c r="L1130">
        <v>34.112359400000003</v>
      </c>
      <c r="M1130">
        <v>0.96037892700000005</v>
      </c>
      <c r="N1130">
        <v>-5.8402897193108645</v>
      </c>
      <c r="O1130">
        <v>2.9122530976784409E-3</v>
      </c>
    </row>
    <row r="1131" spans="1:15" x14ac:dyDescent="0.3">
      <c r="A1131">
        <v>2020</v>
      </c>
      <c r="B1131">
        <v>44</v>
      </c>
      <c r="C1131" t="s">
        <v>13</v>
      </c>
      <c r="D1131">
        <v>11817</v>
      </c>
      <c r="E1131">
        <v>3846684</v>
      </c>
      <c r="F1131">
        <v>3.0720000000000001E-3</v>
      </c>
      <c r="G1131">
        <v>0.99692800000000004</v>
      </c>
      <c r="H1131">
        <v>95758.62401</v>
      </c>
      <c r="I1131">
        <v>294.17</v>
      </c>
      <c r="J1131">
        <v>95611.538759999996</v>
      </c>
      <c r="K1131">
        <v>3180180.8590000002</v>
      </c>
      <c r="L1131">
        <v>33.21038592</v>
      </c>
      <c r="M1131">
        <v>0.95758624000000003</v>
      </c>
      <c r="N1131">
        <v>-5.7854264636967114</v>
      </c>
      <c r="O1131">
        <v>3.0767206897001254E-3</v>
      </c>
    </row>
    <row r="1132" spans="1:15" x14ac:dyDescent="0.3">
      <c r="A1132">
        <v>2020</v>
      </c>
      <c r="B1132">
        <v>45</v>
      </c>
      <c r="C1132" t="s">
        <v>13</v>
      </c>
      <c r="D1132">
        <v>12743</v>
      </c>
      <c r="E1132">
        <v>3957972</v>
      </c>
      <c r="F1132">
        <v>3.2200000000000002E-3</v>
      </c>
      <c r="G1132">
        <v>0.99678</v>
      </c>
      <c r="H1132">
        <v>95464.453850000005</v>
      </c>
      <c r="I1132">
        <v>307.39999999999998</v>
      </c>
      <c r="J1132">
        <v>95310.756080000006</v>
      </c>
      <c r="K1132">
        <v>3084569.32</v>
      </c>
      <c r="L1132">
        <v>32.311181759999997</v>
      </c>
      <c r="M1132">
        <v>0.95464453900000001</v>
      </c>
      <c r="N1132">
        <v>-5.7383739194258201</v>
      </c>
      <c r="O1132">
        <v>3.2252386582874285E-3</v>
      </c>
    </row>
    <row r="1133" spans="1:15" x14ac:dyDescent="0.3">
      <c r="A1133">
        <v>2020</v>
      </c>
      <c r="B1133">
        <v>46</v>
      </c>
      <c r="C1133" t="s">
        <v>13</v>
      </c>
      <c r="D1133">
        <v>13429</v>
      </c>
      <c r="E1133">
        <v>3826694</v>
      </c>
      <c r="F1133">
        <v>3.509E-3</v>
      </c>
      <c r="G1133">
        <v>0.99649100000000002</v>
      </c>
      <c r="H1133">
        <v>95157.098580000005</v>
      </c>
      <c r="I1133">
        <v>333.91</v>
      </c>
      <c r="J1133">
        <v>94990.145449999996</v>
      </c>
      <c r="K1133">
        <v>2989258.5639999998</v>
      </c>
      <c r="L1133">
        <v>31.41393137</v>
      </c>
      <c r="M1133">
        <v>0.95157098600000001</v>
      </c>
      <c r="N1133">
        <v>-5.6524241823810586</v>
      </c>
      <c r="O1133">
        <v>3.515207265363906E-3</v>
      </c>
    </row>
    <row r="1134" spans="1:15" x14ac:dyDescent="0.3">
      <c r="A1134">
        <v>2020</v>
      </c>
      <c r="B1134">
        <v>47</v>
      </c>
      <c r="C1134" t="s">
        <v>13</v>
      </c>
      <c r="D1134">
        <v>14763</v>
      </c>
      <c r="E1134">
        <v>3876923</v>
      </c>
      <c r="F1134">
        <v>3.8080000000000002E-3</v>
      </c>
      <c r="G1134">
        <v>0.99619199999999997</v>
      </c>
      <c r="H1134">
        <v>94823.164199999999</v>
      </c>
      <c r="I1134">
        <v>361.09</v>
      </c>
      <c r="J1134">
        <v>94642.620899999994</v>
      </c>
      <c r="K1134">
        <v>2894268.4180000001</v>
      </c>
      <c r="L1134">
        <v>30.522799389999999</v>
      </c>
      <c r="M1134">
        <v>0.94823164199999999</v>
      </c>
      <c r="N1134">
        <v>-5.5706511620530179</v>
      </c>
      <c r="O1134">
        <v>3.8152999305690375E-3</v>
      </c>
    </row>
    <row r="1135" spans="1:15" x14ac:dyDescent="0.3">
      <c r="A1135">
        <v>2020</v>
      </c>
      <c r="B1135">
        <v>48</v>
      </c>
      <c r="C1135" t="s">
        <v>13</v>
      </c>
      <c r="D1135">
        <v>16683</v>
      </c>
      <c r="E1135">
        <v>4043448</v>
      </c>
      <c r="F1135">
        <v>4.1260000000000003E-3</v>
      </c>
      <c r="G1135">
        <v>0.99587400000000004</v>
      </c>
      <c r="H1135">
        <v>94462.085489999998</v>
      </c>
      <c r="I1135">
        <v>389.75</v>
      </c>
      <c r="J1135">
        <v>94267.210210000005</v>
      </c>
      <c r="K1135">
        <v>2799625.798</v>
      </c>
      <c r="L1135">
        <v>29.637560749999999</v>
      </c>
      <c r="M1135">
        <v>0.94462085500000004</v>
      </c>
      <c r="N1135">
        <v>-5.4904468643330766</v>
      </c>
      <c r="O1135">
        <v>4.1345234071675854E-3</v>
      </c>
    </row>
    <row r="1136" spans="1:15" x14ac:dyDescent="0.3">
      <c r="A1136">
        <v>2020</v>
      </c>
      <c r="B1136">
        <v>49</v>
      </c>
      <c r="C1136" t="s">
        <v>13</v>
      </c>
      <c r="D1136">
        <v>18813</v>
      </c>
      <c r="E1136">
        <v>4265569</v>
      </c>
      <c r="F1136">
        <v>4.4099999999999999E-3</v>
      </c>
      <c r="G1136">
        <v>0.99558999999999997</v>
      </c>
      <c r="H1136">
        <v>94072.341149999993</v>
      </c>
      <c r="I1136">
        <v>414.86</v>
      </c>
      <c r="J1136">
        <v>93864.911640000006</v>
      </c>
      <c r="K1136">
        <v>2705358.5869999998</v>
      </c>
      <c r="L1136">
        <v>28.75827851</v>
      </c>
      <c r="M1136">
        <v>0.94072341199999998</v>
      </c>
      <c r="N1136">
        <v>-5.4238805895233826</v>
      </c>
      <c r="O1136">
        <v>4.4197568875596165E-3</v>
      </c>
    </row>
    <row r="1137" spans="1:15" x14ac:dyDescent="0.3">
      <c r="A1137">
        <v>2020</v>
      </c>
      <c r="B1137">
        <v>50</v>
      </c>
      <c r="C1137" t="s">
        <v>13</v>
      </c>
      <c r="D1137">
        <v>20160</v>
      </c>
      <c r="E1137">
        <v>4310670</v>
      </c>
      <c r="F1137">
        <v>4.6769999999999997E-3</v>
      </c>
      <c r="G1137">
        <v>0.99532299999999996</v>
      </c>
      <c r="H1137">
        <v>93657.441529999996</v>
      </c>
      <c r="I1137">
        <v>438.04</v>
      </c>
      <c r="J1137">
        <v>93438.423599999995</v>
      </c>
      <c r="K1137">
        <v>2611493.676</v>
      </c>
      <c r="L1137">
        <v>27.883461610000001</v>
      </c>
      <c r="M1137">
        <v>0.93657441500000005</v>
      </c>
      <c r="N1137">
        <v>-5.3650984002383879</v>
      </c>
      <c r="O1137">
        <v>4.6880066251169909E-3</v>
      </c>
    </row>
    <row r="1138" spans="1:15" x14ac:dyDescent="0.3">
      <c r="A1138">
        <v>2020</v>
      </c>
      <c r="B1138">
        <v>51</v>
      </c>
      <c r="C1138" t="s">
        <v>13</v>
      </c>
      <c r="D1138">
        <v>20976</v>
      </c>
      <c r="E1138">
        <v>4076434</v>
      </c>
      <c r="F1138">
        <v>5.1460000000000004E-3</v>
      </c>
      <c r="G1138">
        <v>0.99485400000000002</v>
      </c>
      <c r="H1138">
        <v>93219.427479999998</v>
      </c>
      <c r="I1138">
        <v>479.71</v>
      </c>
      <c r="J1138">
        <v>92979.57389</v>
      </c>
      <c r="K1138">
        <v>2518055.2519999999</v>
      </c>
      <c r="L1138">
        <v>27.012129550000001</v>
      </c>
      <c r="M1138">
        <v>0.93219427499999996</v>
      </c>
      <c r="N1138">
        <v>-5.2695355651225846</v>
      </c>
      <c r="O1138">
        <v>5.1593043663579335E-3</v>
      </c>
    </row>
    <row r="1139" spans="1:15" x14ac:dyDescent="0.3">
      <c r="A1139">
        <v>2020</v>
      </c>
      <c r="B1139">
        <v>52</v>
      </c>
      <c r="C1139" t="s">
        <v>13</v>
      </c>
      <c r="D1139">
        <v>22399</v>
      </c>
      <c r="E1139">
        <v>3983727</v>
      </c>
      <c r="F1139">
        <v>5.6230000000000004E-3</v>
      </c>
      <c r="G1139">
        <v>0.99437699999999996</v>
      </c>
      <c r="H1139">
        <v>92739.750709999993</v>
      </c>
      <c r="I1139">
        <v>521.48</v>
      </c>
      <c r="J1139">
        <v>92479.012900000002</v>
      </c>
      <c r="K1139">
        <v>2425075.6779999998</v>
      </c>
      <c r="L1139">
        <v>26.149258110000002</v>
      </c>
      <c r="M1139">
        <v>0.92739750700000001</v>
      </c>
      <c r="N1139">
        <v>-5.1808899496720722</v>
      </c>
      <c r="O1139">
        <v>5.6388999556694908E-3</v>
      </c>
    </row>
    <row r="1140" spans="1:15" x14ac:dyDescent="0.3">
      <c r="A1140">
        <v>2020</v>
      </c>
      <c r="B1140">
        <v>53</v>
      </c>
      <c r="C1140" t="s">
        <v>13</v>
      </c>
      <c r="D1140">
        <v>24222</v>
      </c>
      <c r="E1140">
        <v>3979962</v>
      </c>
      <c r="F1140">
        <v>6.0860000000000003E-3</v>
      </c>
      <c r="G1140">
        <v>0.99391399999999996</v>
      </c>
      <c r="H1140">
        <v>92218.309940000006</v>
      </c>
      <c r="I1140">
        <v>561.24</v>
      </c>
      <c r="J1140">
        <v>91937.689620000005</v>
      </c>
      <c r="K1140">
        <v>2332596.665</v>
      </c>
      <c r="L1140">
        <v>25.294289899999999</v>
      </c>
      <c r="M1140">
        <v>0.92218309899999995</v>
      </c>
      <c r="N1140">
        <v>-5.101764227507358</v>
      </c>
      <c r="O1140">
        <v>6.1045692889461827E-3</v>
      </c>
    </row>
    <row r="1141" spans="1:15" x14ac:dyDescent="0.3">
      <c r="A1141">
        <v>2020</v>
      </c>
      <c r="B1141">
        <v>54</v>
      </c>
      <c r="C1141" t="s">
        <v>13</v>
      </c>
      <c r="D1141">
        <v>26954</v>
      </c>
      <c r="E1141">
        <v>4044734</v>
      </c>
      <c r="F1141">
        <v>6.6639999999999998E-3</v>
      </c>
      <c r="G1141">
        <v>0.993336</v>
      </c>
      <c r="H1141">
        <v>91657.070430000007</v>
      </c>
      <c r="I1141">
        <v>610.79999999999995</v>
      </c>
      <c r="J1141">
        <v>91351.669070000004</v>
      </c>
      <c r="K1141">
        <v>2240658.9759999998</v>
      </c>
      <c r="L1141">
        <v>24.446111630000001</v>
      </c>
      <c r="M1141">
        <v>0.91657070399999996</v>
      </c>
      <c r="N1141">
        <v>-5.0110353741175953</v>
      </c>
      <c r="O1141">
        <v>6.6862488453794848E-3</v>
      </c>
    </row>
    <row r="1142" spans="1:15" x14ac:dyDescent="0.3">
      <c r="A1142">
        <v>2020</v>
      </c>
      <c r="B1142">
        <v>55</v>
      </c>
      <c r="C1142" t="s">
        <v>13</v>
      </c>
      <c r="D1142">
        <v>30507</v>
      </c>
      <c r="E1142">
        <v>4277856</v>
      </c>
      <c r="F1142">
        <v>7.1310000000000002E-3</v>
      </c>
      <c r="G1142">
        <v>0.992869</v>
      </c>
      <c r="H1142">
        <v>91046.270149999997</v>
      </c>
      <c r="I1142">
        <v>649.25</v>
      </c>
      <c r="J1142">
        <v>90721.644669999994</v>
      </c>
      <c r="K1142">
        <v>2149307.307</v>
      </c>
      <c r="L1142">
        <v>23.60675844</v>
      </c>
      <c r="M1142">
        <v>0.91046270200000001</v>
      </c>
      <c r="N1142">
        <v>-4.9433038019359703</v>
      </c>
      <c r="O1142">
        <v>7.1565074121071586E-3</v>
      </c>
    </row>
    <row r="1143" spans="1:15" x14ac:dyDescent="0.3">
      <c r="A1143">
        <v>2020</v>
      </c>
      <c r="B1143">
        <v>56</v>
      </c>
      <c r="C1143" t="s">
        <v>13</v>
      </c>
      <c r="D1143">
        <v>33814</v>
      </c>
      <c r="E1143">
        <v>4343881</v>
      </c>
      <c r="F1143">
        <v>7.7840000000000001E-3</v>
      </c>
      <c r="G1143">
        <v>0.99221599999999999</v>
      </c>
      <c r="H1143">
        <v>90396.984949999998</v>
      </c>
      <c r="I1143">
        <v>703.65</v>
      </c>
      <c r="J1143">
        <v>90045.159880000007</v>
      </c>
      <c r="K1143">
        <v>2058585.662</v>
      </c>
      <c r="L1143">
        <v>22.77272481</v>
      </c>
      <c r="M1143">
        <v>0.90396984999999996</v>
      </c>
      <c r="N1143">
        <v>-4.8556849340984334</v>
      </c>
      <c r="O1143">
        <v>7.8144133557333725E-3</v>
      </c>
    </row>
    <row r="1144" spans="1:15" x14ac:dyDescent="0.3">
      <c r="A1144">
        <v>2020</v>
      </c>
      <c r="B1144">
        <v>57</v>
      </c>
      <c r="C1144" t="s">
        <v>13</v>
      </c>
      <c r="D1144">
        <v>36561</v>
      </c>
      <c r="E1144">
        <v>4327862</v>
      </c>
      <c r="F1144">
        <v>8.4480000000000006E-3</v>
      </c>
      <c r="G1144">
        <v>0.99155199999999999</v>
      </c>
      <c r="H1144">
        <v>89693.309219999996</v>
      </c>
      <c r="I1144">
        <v>757.73</v>
      </c>
      <c r="J1144">
        <v>89314.444680000001</v>
      </c>
      <c r="K1144">
        <v>1968540.5020000001</v>
      </c>
      <c r="L1144">
        <v>21.94746207</v>
      </c>
      <c r="M1144">
        <v>0.89693309200000004</v>
      </c>
      <c r="N1144">
        <v>-4.7738255520182316</v>
      </c>
      <c r="O1144">
        <v>8.4838452984018244E-3</v>
      </c>
    </row>
    <row r="1145" spans="1:15" x14ac:dyDescent="0.3">
      <c r="A1145">
        <v>2020</v>
      </c>
      <c r="B1145">
        <v>58</v>
      </c>
      <c r="C1145" t="s">
        <v>13</v>
      </c>
      <c r="D1145">
        <v>39240</v>
      </c>
      <c r="E1145">
        <v>4306615</v>
      </c>
      <c r="F1145">
        <v>9.1120000000000003E-3</v>
      </c>
      <c r="G1145">
        <v>0.99088799999999999</v>
      </c>
      <c r="H1145">
        <v>88935.596269999995</v>
      </c>
      <c r="I1145">
        <v>810.38</v>
      </c>
      <c r="J1145">
        <v>88530.40569</v>
      </c>
      <c r="K1145">
        <v>1879226.057</v>
      </c>
      <c r="L1145">
        <v>21.130190120000002</v>
      </c>
      <c r="M1145">
        <v>0.88935596299999997</v>
      </c>
      <c r="N1145">
        <v>-4.6981630528372564</v>
      </c>
      <c r="O1145">
        <v>9.1536892475667011E-3</v>
      </c>
    </row>
    <row r="1146" spans="1:15" x14ac:dyDescent="0.3">
      <c r="A1146">
        <v>2020</v>
      </c>
      <c r="B1146">
        <v>59</v>
      </c>
      <c r="C1146" t="s">
        <v>13</v>
      </c>
      <c r="D1146">
        <v>43106</v>
      </c>
      <c r="E1146">
        <v>4346885</v>
      </c>
      <c r="F1146">
        <v>9.9170000000000005E-3</v>
      </c>
      <c r="G1146">
        <v>0.99008300000000005</v>
      </c>
      <c r="H1146">
        <v>88125.253859999997</v>
      </c>
      <c r="I1146">
        <v>873.94</v>
      </c>
      <c r="J1146">
        <v>87688.284790000005</v>
      </c>
      <c r="K1146">
        <v>1790695.652</v>
      </c>
      <c r="L1146">
        <v>20.319892119999999</v>
      </c>
      <c r="M1146">
        <v>0.881252539</v>
      </c>
      <c r="N1146">
        <v>-4.6135048227781486</v>
      </c>
      <c r="O1146">
        <v>9.9664372971057374E-3</v>
      </c>
    </row>
    <row r="1147" spans="1:15" x14ac:dyDescent="0.3">
      <c r="A1147">
        <v>2020</v>
      </c>
      <c r="B1147">
        <v>60</v>
      </c>
      <c r="C1147" t="s">
        <v>13</v>
      </c>
      <c r="D1147">
        <v>46304</v>
      </c>
      <c r="E1147">
        <v>4372095</v>
      </c>
      <c r="F1147">
        <v>1.0591E-2</v>
      </c>
      <c r="G1147">
        <v>0.98940899999999998</v>
      </c>
      <c r="H1147">
        <v>87251.357449999996</v>
      </c>
      <c r="I1147">
        <v>924.08</v>
      </c>
      <c r="J1147">
        <v>86789.317890000006</v>
      </c>
      <c r="K1147">
        <v>1703007.3670000001</v>
      </c>
      <c r="L1147">
        <v>19.51840541</v>
      </c>
      <c r="M1147">
        <v>0.87251357500000004</v>
      </c>
      <c r="N1147">
        <v>-4.5477506951206053</v>
      </c>
      <c r="O1147">
        <v>1.0647392228955362E-2</v>
      </c>
    </row>
    <row r="1148" spans="1:15" x14ac:dyDescent="0.3">
      <c r="A1148">
        <v>2020</v>
      </c>
      <c r="B1148">
        <v>61</v>
      </c>
      <c r="C1148" t="s">
        <v>13</v>
      </c>
      <c r="D1148">
        <v>48871</v>
      </c>
      <c r="E1148">
        <v>4208976</v>
      </c>
      <c r="F1148">
        <v>1.1611E-2</v>
      </c>
      <c r="G1148">
        <v>0.98838899999999996</v>
      </c>
      <c r="H1148">
        <v>86327.295450000005</v>
      </c>
      <c r="I1148">
        <v>1002.35</v>
      </c>
      <c r="J1148">
        <v>85826.122340000002</v>
      </c>
      <c r="K1148">
        <v>1616218.0490000001</v>
      </c>
      <c r="L1148">
        <v>18.72198174</v>
      </c>
      <c r="M1148">
        <v>0.86327295500000001</v>
      </c>
      <c r="N1148">
        <v>-4.4558023543372682</v>
      </c>
      <c r="O1148">
        <v>1.1678846045476997E-2</v>
      </c>
    </row>
    <row r="1149" spans="1:15" x14ac:dyDescent="0.3">
      <c r="A1149">
        <v>2020</v>
      </c>
      <c r="B1149">
        <v>62</v>
      </c>
      <c r="C1149" t="s">
        <v>13</v>
      </c>
      <c r="D1149">
        <v>51325</v>
      </c>
      <c r="E1149">
        <v>4168433</v>
      </c>
      <c r="F1149">
        <v>1.2312999999999999E-2</v>
      </c>
      <c r="G1149">
        <v>0.98768699999999998</v>
      </c>
      <c r="H1149">
        <v>85324.937330000001</v>
      </c>
      <c r="I1149">
        <v>1050.6099999999999</v>
      </c>
      <c r="J1149">
        <v>84799.634349999993</v>
      </c>
      <c r="K1149">
        <v>1530391.9269999999</v>
      </c>
      <c r="L1149">
        <v>17.93604513</v>
      </c>
      <c r="M1149">
        <v>0.85324937300000003</v>
      </c>
      <c r="N1149">
        <v>-4.3970996641714031</v>
      </c>
      <c r="O1149">
        <v>1.2389320919873947E-2</v>
      </c>
    </row>
    <row r="1150" spans="1:15" x14ac:dyDescent="0.3">
      <c r="A1150">
        <v>2020</v>
      </c>
      <c r="B1150">
        <v>63</v>
      </c>
      <c r="C1150" t="s">
        <v>13</v>
      </c>
      <c r="D1150">
        <v>54811</v>
      </c>
      <c r="E1150">
        <v>4106492</v>
      </c>
      <c r="F1150">
        <v>1.3346999999999999E-2</v>
      </c>
      <c r="G1150">
        <v>0.986653</v>
      </c>
      <c r="H1150">
        <v>84274.350120000003</v>
      </c>
      <c r="I1150">
        <v>1124.81</v>
      </c>
      <c r="J1150">
        <v>83711.945240000001</v>
      </c>
      <c r="K1150">
        <v>1445592.2919999999</v>
      </c>
      <c r="L1150">
        <v>17.153407770000001</v>
      </c>
      <c r="M1150">
        <v>0.84274350099999995</v>
      </c>
      <c r="N1150">
        <v>-4.3164636384901227</v>
      </c>
      <c r="O1150">
        <v>1.3436675308314454E-2</v>
      </c>
    </row>
    <row r="1151" spans="1:15" x14ac:dyDescent="0.3">
      <c r="A1151">
        <v>2020</v>
      </c>
      <c r="B1151">
        <v>64</v>
      </c>
      <c r="C1151" t="s">
        <v>13</v>
      </c>
      <c r="D1151">
        <v>56010</v>
      </c>
      <c r="E1151">
        <v>3944582</v>
      </c>
      <c r="F1151">
        <v>1.4199E-2</v>
      </c>
      <c r="G1151">
        <v>0.98580100000000004</v>
      </c>
      <c r="H1151">
        <v>83149.506479999996</v>
      </c>
      <c r="I1151">
        <v>1180.6400000000001</v>
      </c>
      <c r="J1151">
        <v>82559.186560000002</v>
      </c>
      <c r="K1151">
        <v>1361880.3470000001</v>
      </c>
      <c r="L1151">
        <v>16.378694289999999</v>
      </c>
      <c r="M1151">
        <v>0.83149506500000003</v>
      </c>
      <c r="N1151">
        <v>-4.2545837393899166</v>
      </c>
      <c r="O1151">
        <v>1.4300530103344557E-2</v>
      </c>
    </row>
    <row r="1152" spans="1:15" x14ac:dyDescent="0.3">
      <c r="A1152">
        <v>2020</v>
      </c>
      <c r="B1152">
        <v>65</v>
      </c>
      <c r="C1152" t="s">
        <v>13</v>
      </c>
      <c r="D1152">
        <v>58027</v>
      </c>
      <c r="E1152">
        <v>3897420</v>
      </c>
      <c r="F1152">
        <v>1.4888999999999999E-2</v>
      </c>
      <c r="G1152">
        <v>0.98511099999999996</v>
      </c>
      <c r="H1152">
        <v>81968.848079999996</v>
      </c>
      <c r="I1152">
        <v>1220.43</v>
      </c>
      <c r="J1152">
        <v>81358.630990000005</v>
      </c>
      <c r="K1152">
        <v>1279321.1610000001</v>
      </c>
      <c r="L1152">
        <v>15.607406839999999</v>
      </c>
      <c r="M1152">
        <v>0.81968848100000002</v>
      </c>
      <c r="N1152">
        <v>-4.2071325937087236</v>
      </c>
      <c r="O1152">
        <v>1.5000617870697066E-2</v>
      </c>
    </row>
    <row r="1153" spans="1:15" x14ac:dyDescent="0.3">
      <c r="A1153">
        <v>2020</v>
      </c>
      <c r="B1153">
        <v>66</v>
      </c>
      <c r="C1153" t="s">
        <v>13</v>
      </c>
      <c r="D1153">
        <v>59907</v>
      </c>
      <c r="E1153">
        <v>3720410</v>
      </c>
      <c r="F1153">
        <v>1.6102000000000002E-2</v>
      </c>
      <c r="G1153">
        <v>0.98389800000000005</v>
      </c>
      <c r="H1153">
        <v>80748.449370000002</v>
      </c>
      <c r="I1153">
        <v>1300.21</v>
      </c>
      <c r="J1153">
        <v>80098.343599999993</v>
      </c>
      <c r="K1153">
        <v>1197962.53</v>
      </c>
      <c r="L1153">
        <v>14.83573417</v>
      </c>
      <c r="M1153">
        <v>0.807484494</v>
      </c>
      <c r="N1153">
        <v>-4.128811791104348</v>
      </c>
      <c r="O1153">
        <v>1.623267236625639E-2</v>
      </c>
    </row>
    <row r="1154" spans="1:15" x14ac:dyDescent="0.3">
      <c r="A1154">
        <v>2020</v>
      </c>
      <c r="B1154">
        <v>67</v>
      </c>
      <c r="C1154" t="s">
        <v>13</v>
      </c>
      <c r="D1154">
        <v>61164</v>
      </c>
      <c r="E1154">
        <v>3562236</v>
      </c>
      <c r="F1154">
        <v>1.7170000000000001E-2</v>
      </c>
      <c r="G1154">
        <v>0.98282999999999998</v>
      </c>
      <c r="H1154">
        <v>79448.217040000003</v>
      </c>
      <c r="I1154">
        <v>1364.13</v>
      </c>
      <c r="J1154">
        <v>78766.1541</v>
      </c>
      <c r="K1154">
        <v>1117864.186</v>
      </c>
      <c r="L1154">
        <v>14.07034956</v>
      </c>
      <c r="M1154">
        <v>0.79448216999999999</v>
      </c>
      <c r="N1154">
        <v>-4.0645916040727528</v>
      </c>
      <c r="O1154">
        <v>1.7318734098257061E-2</v>
      </c>
    </row>
    <row r="1155" spans="1:15" x14ac:dyDescent="0.3">
      <c r="A1155">
        <v>2020</v>
      </c>
      <c r="B1155">
        <v>68</v>
      </c>
      <c r="C1155" t="s">
        <v>13</v>
      </c>
      <c r="D1155">
        <v>62889</v>
      </c>
      <c r="E1155">
        <v>3407082</v>
      </c>
      <c r="F1155">
        <v>1.8457999999999999E-2</v>
      </c>
      <c r="G1155">
        <v>0.98154200000000003</v>
      </c>
      <c r="H1155">
        <v>78084.082060000001</v>
      </c>
      <c r="I1155">
        <v>1441.28</v>
      </c>
      <c r="J1155">
        <v>77363.444069999998</v>
      </c>
      <c r="K1155">
        <v>1039098.032</v>
      </c>
      <c r="L1155">
        <v>13.30742457</v>
      </c>
      <c r="M1155">
        <v>0.78084082099999996</v>
      </c>
      <c r="N1155">
        <v>-3.9922573981387521</v>
      </c>
      <c r="O1155">
        <v>1.8629990534396755E-2</v>
      </c>
    </row>
    <row r="1156" spans="1:15" x14ac:dyDescent="0.3">
      <c r="A1156">
        <v>2020</v>
      </c>
      <c r="B1156">
        <v>69</v>
      </c>
      <c r="C1156" t="s">
        <v>13</v>
      </c>
      <c r="D1156">
        <v>64401</v>
      </c>
      <c r="E1156">
        <v>3286519</v>
      </c>
      <c r="F1156">
        <v>1.9595999999999999E-2</v>
      </c>
      <c r="G1156">
        <v>0.98040400000000005</v>
      </c>
      <c r="H1156">
        <v>76642.781310000006</v>
      </c>
      <c r="I1156">
        <v>1501.89</v>
      </c>
      <c r="J1156">
        <v>75891.835340000005</v>
      </c>
      <c r="K1156">
        <v>961734.58770000003</v>
      </c>
      <c r="L1156">
        <v>12.54827358</v>
      </c>
      <c r="M1156">
        <v>0.76642781299999996</v>
      </c>
      <c r="N1156">
        <v>-3.9324298152058086</v>
      </c>
      <c r="O1156">
        <v>1.9789870913722026E-2</v>
      </c>
    </row>
    <row r="1157" spans="1:15" x14ac:dyDescent="0.3">
      <c r="A1157">
        <v>2020</v>
      </c>
      <c r="B1157">
        <v>70</v>
      </c>
      <c r="C1157" t="s">
        <v>13</v>
      </c>
      <c r="D1157">
        <v>67279</v>
      </c>
      <c r="E1157">
        <v>3192029</v>
      </c>
      <c r="F1157">
        <v>2.1076999999999999E-2</v>
      </c>
      <c r="G1157">
        <v>0.97892299999999999</v>
      </c>
      <c r="H1157">
        <v>75140.927290000007</v>
      </c>
      <c r="I1157">
        <v>1583.75</v>
      </c>
      <c r="J1157">
        <v>74349.054629999999</v>
      </c>
      <c r="K1157">
        <v>885842.7524</v>
      </c>
      <c r="L1157">
        <v>11.789084649999999</v>
      </c>
      <c r="M1157">
        <v>0.75140927300000004</v>
      </c>
      <c r="N1157">
        <v>-3.8595728804272271</v>
      </c>
      <c r="O1157">
        <v>2.1301550632333043E-2</v>
      </c>
    </row>
    <row r="1158" spans="1:15" x14ac:dyDescent="0.3">
      <c r="A1158">
        <v>2020</v>
      </c>
      <c r="B1158">
        <v>71</v>
      </c>
      <c r="C1158" t="s">
        <v>13</v>
      </c>
      <c r="D1158">
        <v>71049</v>
      </c>
      <c r="E1158">
        <v>3074732</v>
      </c>
      <c r="F1158">
        <v>2.3106999999999999E-2</v>
      </c>
      <c r="G1158">
        <v>0.97689300000000001</v>
      </c>
      <c r="H1158">
        <v>73557.167730000001</v>
      </c>
      <c r="I1158">
        <v>1699.69</v>
      </c>
      <c r="J1158">
        <v>72707.324989999994</v>
      </c>
      <c r="K1158">
        <v>811493.69779999997</v>
      </c>
      <c r="L1158">
        <v>11.032149860000001</v>
      </c>
      <c r="M1158">
        <v>0.73557167700000003</v>
      </c>
      <c r="N1158">
        <v>-3.7676196770557677</v>
      </c>
      <c r="O1158">
        <v>2.3377153907061302E-2</v>
      </c>
    </row>
    <row r="1159" spans="1:15" x14ac:dyDescent="0.3">
      <c r="A1159">
        <v>2020</v>
      </c>
      <c r="B1159">
        <v>72</v>
      </c>
      <c r="C1159" t="s">
        <v>13</v>
      </c>
      <c r="D1159">
        <v>76103</v>
      </c>
      <c r="E1159">
        <v>3017173</v>
      </c>
      <c r="F1159">
        <v>2.5222999999999999E-2</v>
      </c>
      <c r="G1159">
        <v>0.974777</v>
      </c>
      <c r="H1159">
        <v>71857.454320000004</v>
      </c>
      <c r="I1159">
        <v>1812.46</v>
      </c>
      <c r="J1159">
        <v>70951.224029999998</v>
      </c>
      <c r="K1159">
        <v>738786.37280000001</v>
      </c>
      <c r="L1159">
        <v>10.28127673</v>
      </c>
      <c r="M1159">
        <v>0.71857454300000001</v>
      </c>
      <c r="N1159">
        <v>-3.6799990023079991</v>
      </c>
      <c r="O1159">
        <v>2.5545158406540508E-2</v>
      </c>
    </row>
    <row r="1160" spans="1:15" x14ac:dyDescent="0.3">
      <c r="A1160">
        <v>2020</v>
      </c>
      <c r="B1160">
        <v>73</v>
      </c>
      <c r="C1160" t="s">
        <v>13</v>
      </c>
      <c r="D1160">
        <v>82553</v>
      </c>
      <c r="E1160">
        <v>3117385</v>
      </c>
      <c r="F1160">
        <v>2.6481000000000001E-2</v>
      </c>
      <c r="G1160">
        <v>0.97351900000000002</v>
      </c>
      <c r="H1160">
        <v>70044.973620000004</v>
      </c>
      <c r="I1160">
        <v>1854.86</v>
      </c>
      <c r="J1160">
        <v>69117.543149999998</v>
      </c>
      <c r="K1160">
        <v>667835.14879999997</v>
      </c>
      <c r="L1160">
        <v>9.5343764760000003</v>
      </c>
      <c r="M1160">
        <v>0.70044973600000004</v>
      </c>
      <c r="N1160">
        <v>-3.6313277842759315</v>
      </c>
      <c r="O1160">
        <v>2.6836319351718783E-2</v>
      </c>
    </row>
    <row r="1161" spans="1:15" x14ac:dyDescent="0.3">
      <c r="A1161">
        <v>2020</v>
      </c>
      <c r="B1161">
        <v>74</v>
      </c>
      <c r="C1161" t="s">
        <v>13</v>
      </c>
      <c r="D1161">
        <v>71135</v>
      </c>
      <c r="E1161">
        <v>2274412</v>
      </c>
      <c r="F1161">
        <v>3.1275999999999998E-2</v>
      </c>
      <c r="G1161">
        <v>0.96872400000000003</v>
      </c>
      <c r="H1161">
        <v>68190.078339999993</v>
      </c>
      <c r="I1161">
        <v>2132.71</v>
      </c>
      <c r="J1161">
        <v>67123.721890000001</v>
      </c>
      <c r="K1161">
        <v>598717.60560000001</v>
      </c>
      <c r="L1161">
        <v>8.7801278450000009</v>
      </c>
      <c r="M1161">
        <v>0.68190078300000001</v>
      </c>
      <c r="N1161">
        <v>-3.4649042487198694</v>
      </c>
      <c r="O1161">
        <v>3.1772824469811237E-2</v>
      </c>
    </row>
    <row r="1162" spans="1:15" x14ac:dyDescent="0.3">
      <c r="A1162">
        <v>2020</v>
      </c>
      <c r="B1162">
        <v>75</v>
      </c>
      <c r="C1162" t="s">
        <v>13</v>
      </c>
      <c r="D1162">
        <v>72225</v>
      </c>
      <c r="E1162">
        <v>2219565</v>
      </c>
      <c r="F1162">
        <v>3.2539999999999999E-2</v>
      </c>
      <c r="G1162">
        <v>0.96745999999999999</v>
      </c>
      <c r="H1162">
        <v>66057.350749999998</v>
      </c>
      <c r="I1162">
        <v>2149.5100000000002</v>
      </c>
      <c r="J1162">
        <v>64982.597650000003</v>
      </c>
      <c r="K1162">
        <v>531593.88370000001</v>
      </c>
      <c r="L1162">
        <v>8.0474599369999993</v>
      </c>
      <c r="M1162">
        <v>0.66057350800000003</v>
      </c>
      <c r="N1162">
        <v>-3.4252851771912454</v>
      </c>
      <c r="O1162">
        <v>3.3078243286996906E-2</v>
      </c>
    </row>
    <row r="1163" spans="1:15" x14ac:dyDescent="0.3">
      <c r="A1163">
        <v>2020</v>
      </c>
      <c r="B1163">
        <v>76</v>
      </c>
      <c r="C1163" t="s">
        <v>13</v>
      </c>
      <c r="D1163">
        <v>78100</v>
      </c>
      <c r="E1163">
        <v>2130427</v>
      </c>
      <c r="F1163">
        <v>3.6658999999999997E-2</v>
      </c>
      <c r="G1163">
        <v>0.963341</v>
      </c>
      <c r="H1163">
        <v>63907.834000000003</v>
      </c>
      <c r="I1163">
        <v>2342.8000000000002</v>
      </c>
      <c r="J1163">
        <v>62736.435360000003</v>
      </c>
      <c r="K1163">
        <v>466611.28610000003</v>
      </c>
      <c r="L1163">
        <v>7.3013159239999998</v>
      </c>
      <c r="M1163">
        <v>0.63907833999999997</v>
      </c>
      <c r="N1163">
        <v>-3.3060963146294733</v>
      </c>
      <c r="O1163">
        <v>3.7343536746707755E-2</v>
      </c>
    </row>
    <row r="1164" spans="1:15" x14ac:dyDescent="0.3">
      <c r="A1164">
        <v>2020</v>
      </c>
      <c r="B1164">
        <v>77</v>
      </c>
      <c r="C1164" t="s">
        <v>13</v>
      </c>
      <c r="D1164">
        <v>85310</v>
      </c>
      <c r="E1164">
        <v>2147097</v>
      </c>
      <c r="F1164">
        <v>3.9732999999999997E-2</v>
      </c>
      <c r="G1164">
        <v>0.96026699999999998</v>
      </c>
      <c r="H1164">
        <v>61565.016409999997</v>
      </c>
      <c r="I1164">
        <v>2446.16</v>
      </c>
      <c r="J1164">
        <v>60341.935010000001</v>
      </c>
      <c r="K1164">
        <v>403874.85070000001</v>
      </c>
      <c r="L1164">
        <v>6.5601355159999999</v>
      </c>
      <c r="M1164">
        <v>0.61565016400000006</v>
      </c>
      <c r="N1164">
        <v>-3.2255732023159323</v>
      </c>
      <c r="O1164">
        <v>4.053830305113925E-2</v>
      </c>
    </row>
    <row r="1165" spans="1:15" x14ac:dyDescent="0.3">
      <c r="A1165">
        <v>2020</v>
      </c>
      <c r="B1165">
        <v>78</v>
      </c>
      <c r="C1165" t="s">
        <v>13</v>
      </c>
      <c r="D1165">
        <v>82048</v>
      </c>
      <c r="E1165">
        <v>1839828</v>
      </c>
      <c r="F1165">
        <v>4.4595000000000003E-2</v>
      </c>
      <c r="G1165">
        <v>0.95540499999999995</v>
      </c>
      <c r="H1165">
        <v>59118.870970000004</v>
      </c>
      <c r="I1165">
        <v>2636.41</v>
      </c>
      <c r="J1165">
        <v>57800.667939999999</v>
      </c>
      <c r="K1165">
        <v>343532.91570000001</v>
      </c>
      <c r="L1165">
        <v>5.8108842410000001</v>
      </c>
      <c r="M1165">
        <v>0.59118870999999995</v>
      </c>
      <c r="N1165">
        <v>-3.1101335338639662</v>
      </c>
      <c r="O1165">
        <v>4.5612113693808451E-2</v>
      </c>
    </row>
    <row r="1166" spans="1:15" x14ac:dyDescent="0.3">
      <c r="A1166">
        <v>2020</v>
      </c>
      <c r="B1166">
        <v>79</v>
      </c>
      <c r="C1166" t="s">
        <v>13</v>
      </c>
      <c r="D1166">
        <v>80508</v>
      </c>
      <c r="E1166">
        <v>1649916</v>
      </c>
      <c r="F1166">
        <v>4.8794999999999998E-2</v>
      </c>
      <c r="G1166">
        <v>0.95120499999999997</v>
      </c>
      <c r="H1166">
        <v>56482.436950000003</v>
      </c>
      <c r="I1166">
        <v>2756.06</v>
      </c>
      <c r="J1166">
        <v>55104.406690000003</v>
      </c>
      <c r="K1166">
        <v>285732.24770000001</v>
      </c>
      <c r="L1166">
        <v>5.0587804490000003</v>
      </c>
      <c r="M1166">
        <v>0.56482436999999996</v>
      </c>
      <c r="N1166">
        <v>-3.0201274303887127</v>
      </c>
      <c r="O1166">
        <v>5.0015243133741567E-2</v>
      </c>
    </row>
    <row r="1167" spans="1:15" x14ac:dyDescent="0.3">
      <c r="A1167">
        <v>2020</v>
      </c>
      <c r="B1167">
        <v>80</v>
      </c>
      <c r="C1167" t="s">
        <v>13</v>
      </c>
      <c r="D1167">
        <v>81661</v>
      </c>
      <c r="E1167">
        <v>1526957</v>
      </c>
      <c r="F1167">
        <v>5.348E-2</v>
      </c>
      <c r="G1167">
        <v>0.94652000000000003</v>
      </c>
      <c r="H1167">
        <v>53726.364500000003</v>
      </c>
      <c r="I1167">
        <v>2873.29</v>
      </c>
      <c r="J1167">
        <v>52289.721510000003</v>
      </c>
      <c r="K1167">
        <v>230627.84109999999</v>
      </c>
      <c r="L1167">
        <v>4.2926381339999997</v>
      </c>
      <c r="M1167">
        <v>0.53726364500000001</v>
      </c>
      <c r="N1167">
        <v>-2.9284475267483945</v>
      </c>
      <c r="O1167">
        <v>5.4949410295450862E-2</v>
      </c>
    </row>
    <row r="1168" spans="1:15" x14ac:dyDescent="0.3">
      <c r="A1168">
        <v>2020</v>
      </c>
      <c r="B1168">
        <v>81</v>
      </c>
      <c r="C1168" t="s">
        <v>13</v>
      </c>
      <c r="D1168">
        <v>83337</v>
      </c>
      <c r="E1168">
        <v>1400392</v>
      </c>
      <c r="F1168">
        <v>5.951E-2</v>
      </c>
      <c r="G1168">
        <v>0.94049000000000005</v>
      </c>
      <c r="H1168">
        <v>50853.101759999998</v>
      </c>
      <c r="I1168">
        <v>3026.27</v>
      </c>
      <c r="J1168">
        <v>49339.967720000001</v>
      </c>
      <c r="K1168">
        <v>178338.1195</v>
      </c>
      <c r="L1168">
        <v>3.5069270779999999</v>
      </c>
      <c r="M1168">
        <v>0.508531018</v>
      </c>
      <c r="N1168">
        <v>-2.8216109133253764</v>
      </c>
      <c r="O1168">
        <v>6.1335055025374924E-2</v>
      </c>
    </row>
    <row r="1169" spans="1:15" x14ac:dyDescent="0.3">
      <c r="A1169">
        <v>2020</v>
      </c>
      <c r="B1169">
        <v>82</v>
      </c>
      <c r="C1169" t="s">
        <v>13</v>
      </c>
      <c r="D1169">
        <v>85630</v>
      </c>
      <c r="E1169">
        <v>1303809</v>
      </c>
      <c r="F1169">
        <v>6.5676999999999999E-2</v>
      </c>
      <c r="G1169">
        <v>0.93432300000000001</v>
      </c>
      <c r="H1169">
        <v>47826.845580000001</v>
      </c>
      <c r="I1169">
        <v>3141.12</v>
      </c>
      <c r="J1169">
        <v>46256.283710000003</v>
      </c>
      <c r="K1169">
        <v>128998.15180000001</v>
      </c>
      <c r="L1169">
        <v>2.6971913000000001</v>
      </c>
      <c r="M1169">
        <v>0.47826845600000001</v>
      </c>
      <c r="N1169">
        <v>-2.723006490886017</v>
      </c>
      <c r="O1169">
        <v>6.7906874902093725E-2</v>
      </c>
    </row>
    <row r="1170" spans="1:15" x14ac:dyDescent="0.3">
      <c r="A1170">
        <v>2020</v>
      </c>
      <c r="B1170">
        <v>83</v>
      </c>
      <c r="C1170" t="s">
        <v>13</v>
      </c>
      <c r="D1170">
        <v>85649</v>
      </c>
      <c r="E1170">
        <v>1163249</v>
      </c>
      <c r="F1170">
        <v>7.3629E-2</v>
      </c>
      <c r="G1170">
        <v>0.92637100000000006</v>
      </c>
      <c r="H1170">
        <v>44685.731520000001</v>
      </c>
      <c r="I1170">
        <v>3290.17</v>
      </c>
      <c r="J1170">
        <v>43040.648659999999</v>
      </c>
      <c r="K1170">
        <v>82741.868109999996</v>
      </c>
      <c r="L1170">
        <v>1.8516395569999999</v>
      </c>
      <c r="M1170">
        <v>0.44685731499999998</v>
      </c>
      <c r="N1170">
        <v>-2.6087163091143566</v>
      </c>
      <c r="O1170">
        <v>7.6443322935461203E-2</v>
      </c>
    </row>
    <row r="1171" spans="1:15" x14ac:dyDescent="0.3">
      <c r="A1171">
        <v>2020</v>
      </c>
      <c r="B1171">
        <v>84</v>
      </c>
      <c r="C1171" t="s">
        <v>13</v>
      </c>
      <c r="D1171">
        <v>87616</v>
      </c>
      <c r="E1171">
        <v>1070307</v>
      </c>
      <c r="F1171">
        <v>8.1861000000000003E-2</v>
      </c>
      <c r="G1171">
        <v>0.91813900000000004</v>
      </c>
      <c r="H1171">
        <v>41395.560440000001</v>
      </c>
      <c r="I1171">
        <v>3388.68</v>
      </c>
      <c r="J1171">
        <v>39701.219449999997</v>
      </c>
      <c r="K1171">
        <v>39701.219449999997</v>
      </c>
      <c r="L1171">
        <v>0.95906950000000002</v>
      </c>
      <c r="M1171">
        <v>0.41395560399999998</v>
      </c>
      <c r="N1171">
        <v>-2.5027325920139947</v>
      </c>
      <c r="O1171">
        <v>0.16372190466712763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521D6-DED5-45EC-8D46-6A9AD726A9F0}">
  <dimension ref="A1:U69"/>
  <sheetViews>
    <sheetView workbookViewId="0">
      <selection activeCell="B4" sqref="B4:B69"/>
      <pivotSelection pane="bottomRight" showHeader="1" extendable="1" axis="axisCol" max="2" activeRow="3" activeCol="1" previousRow="3" previousCol="1" click="1" r:id="rId3">
        <pivotArea dataOnly="0" outline="0" fieldPosition="0">
          <references count="1">
            <reference field="2" count="1">
              <x v="0"/>
            </reference>
          </references>
        </pivotArea>
      </pivotSelection>
    </sheetView>
  </sheetViews>
  <sheetFormatPr defaultRowHeight="14.4" x14ac:dyDescent="0.3"/>
  <cols>
    <col min="1" max="1" width="12.44140625" bestFit="1" customWidth="1"/>
    <col min="2" max="2" width="18.5546875" bestFit="1" customWidth="1"/>
    <col min="3" max="3" width="12.21875" customWidth="1"/>
    <col min="4" max="4" width="12" bestFit="1" customWidth="1"/>
    <col min="5" max="5" width="26.21875" bestFit="1" customWidth="1"/>
    <col min="6" max="7" width="12.6640625" bestFit="1" customWidth="1"/>
    <col min="9" max="9" width="25.6640625" bestFit="1" customWidth="1"/>
    <col min="10" max="12" width="12" bestFit="1" customWidth="1"/>
    <col min="13" max="13" width="30.44140625" bestFit="1" customWidth="1"/>
    <col min="14" max="16" width="12" bestFit="1" customWidth="1"/>
    <col min="17" max="17" width="26.21875" bestFit="1" customWidth="1"/>
    <col min="18" max="20" width="12" bestFit="1" customWidth="1"/>
    <col min="21" max="21" width="17.88671875" bestFit="1" customWidth="1"/>
    <col min="22" max="22" width="12" bestFit="1" customWidth="1"/>
  </cols>
  <sheetData>
    <row r="1" spans="1:21" x14ac:dyDescent="0.3">
      <c r="A1" s="1" t="s">
        <v>0</v>
      </c>
      <c r="B1" t="s">
        <v>22</v>
      </c>
      <c r="E1" s="1" t="s">
        <v>0</v>
      </c>
      <c r="F1" t="s">
        <v>22</v>
      </c>
      <c r="I1" s="1" t="s">
        <v>0</v>
      </c>
      <c r="J1" t="s">
        <v>22</v>
      </c>
      <c r="M1" s="1" t="s">
        <v>0</v>
      </c>
      <c r="N1" t="s">
        <v>22</v>
      </c>
      <c r="Q1" s="1" t="s">
        <v>0</v>
      </c>
      <c r="R1" t="s">
        <v>22</v>
      </c>
    </row>
    <row r="3" spans="1:21" x14ac:dyDescent="0.3">
      <c r="A3" s="1" t="s">
        <v>74</v>
      </c>
      <c r="B3" s="1" t="s">
        <v>73</v>
      </c>
      <c r="E3" s="1" t="s">
        <v>18</v>
      </c>
      <c r="F3" s="1" t="s">
        <v>17</v>
      </c>
      <c r="I3" s="1" t="s">
        <v>19</v>
      </c>
      <c r="J3" s="1" t="s">
        <v>17</v>
      </c>
      <c r="M3" s="1" t="s">
        <v>20</v>
      </c>
      <c r="N3" s="1" t="s">
        <v>17</v>
      </c>
      <c r="Q3" s="1" t="s">
        <v>21</v>
      </c>
      <c r="R3" s="1" t="s">
        <v>17</v>
      </c>
      <c r="U3">
        <v>20</v>
      </c>
    </row>
    <row r="4" spans="1:21" x14ac:dyDescent="0.3">
      <c r="A4" s="1" t="s">
        <v>72</v>
      </c>
      <c r="B4" t="s">
        <v>11</v>
      </c>
      <c r="C4" t="s">
        <v>12</v>
      </c>
      <c r="E4" s="1" t="s">
        <v>16</v>
      </c>
      <c r="F4" t="s">
        <v>11</v>
      </c>
      <c r="G4" t="s">
        <v>12</v>
      </c>
      <c r="I4" s="1" t="s">
        <v>16</v>
      </c>
      <c r="J4" t="s">
        <v>11</v>
      </c>
      <c r="K4" t="s">
        <v>12</v>
      </c>
      <c r="M4" s="1" t="s">
        <v>16</v>
      </c>
      <c r="N4" t="s">
        <v>11</v>
      </c>
      <c r="O4" t="s">
        <v>12</v>
      </c>
      <c r="Q4" s="1" t="s">
        <v>16</v>
      </c>
      <c r="R4" t="s">
        <v>11</v>
      </c>
      <c r="S4" t="s">
        <v>12</v>
      </c>
      <c r="U4">
        <v>21</v>
      </c>
    </row>
    <row r="5" spans="1:21" x14ac:dyDescent="0.3">
      <c r="A5" s="2">
        <v>20</v>
      </c>
      <c r="B5">
        <v>4.2833333333333335E-4</v>
      </c>
      <c r="C5">
        <v>1.1786666666666666E-3</v>
      </c>
      <c r="E5" s="2">
        <v>20</v>
      </c>
      <c r="F5">
        <v>-7.7563355343307157</v>
      </c>
      <c r="G5">
        <v>-6.7460416833760393</v>
      </c>
      <c r="I5" s="2">
        <v>20</v>
      </c>
      <c r="J5">
        <v>1</v>
      </c>
      <c r="K5">
        <v>1</v>
      </c>
      <c r="M5" s="2">
        <v>20</v>
      </c>
      <c r="N5">
        <v>58.216124830000005</v>
      </c>
      <c r="O5">
        <v>54.622642074999987</v>
      </c>
      <c r="Q5" s="2">
        <v>20</v>
      </c>
      <c r="R5">
        <v>42.833333333333336</v>
      </c>
      <c r="S5">
        <v>117.86666666666666</v>
      </c>
      <c r="U5">
        <v>22</v>
      </c>
    </row>
    <row r="6" spans="1:21" x14ac:dyDescent="0.3">
      <c r="A6" s="2">
        <v>21</v>
      </c>
      <c r="B6">
        <v>4.818333333333333E-4</v>
      </c>
      <c r="C6">
        <v>1.3456666666666667E-3</v>
      </c>
      <c r="E6" s="2">
        <v>21</v>
      </c>
      <c r="F6">
        <v>-7.6405356860315825</v>
      </c>
      <c r="G6">
        <v>-6.6138639994183412</v>
      </c>
      <c r="I6" s="2">
        <v>21</v>
      </c>
      <c r="J6">
        <v>0.99957171416666668</v>
      </c>
      <c r="K6">
        <v>0.99882146066666666</v>
      </c>
      <c r="M6" s="2">
        <v>21</v>
      </c>
      <c r="N6">
        <v>57.240849956666665</v>
      </c>
      <c r="O6">
        <v>53.686454873333332</v>
      </c>
      <c r="Q6" s="2">
        <v>21</v>
      </c>
      <c r="R6">
        <v>48.161666666666662</v>
      </c>
      <c r="S6">
        <v>134.405</v>
      </c>
      <c r="U6">
        <v>23</v>
      </c>
    </row>
    <row r="7" spans="1:21" x14ac:dyDescent="0.3">
      <c r="A7" s="2">
        <v>22</v>
      </c>
      <c r="B7">
        <v>4.9583333333333337E-4</v>
      </c>
      <c r="C7">
        <v>1.3994999999999999E-3</v>
      </c>
      <c r="E7" s="2">
        <v>22</v>
      </c>
      <c r="F7">
        <v>-7.6113133307526963</v>
      </c>
      <c r="G7">
        <v>-6.5739174724611402</v>
      </c>
      <c r="I7" s="2">
        <v>22</v>
      </c>
      <c r="J7">
        <v>0.99909013150000003</v>
      </c>
      <c r="K7">
        <v>0.99747743483333329</v>
      </c>
      <c r="M7" s="2">
        <v>22</v>
      </c>
      <c r="N7">
        <v>56.268189628333339</v>
      </c>
      <c r="O7">
        <v>52.758062256666669</v>
      </c>
      <c r="Q7" s="2">
        <v>22</v>
      </c>
      <c r="R7">
        <v>49.536666666666662</v>
      </c>
      <c r="S7">
        <v>139.595</v>
      </c>
      <c r="U7">
        <v>24</v>
      </c>
    </row>
    <row r="8" spans="1:21" x14ac:dyDescent="0.3">
      <c r="A8" s="2">
        <v>23</v>
      </c>
      <c r="B8">
        <v>5.4483333333333326E-4</v>
      </c>
      <c r="C8">
        <v>1.4541666666666668E-3</v>
      </c>
      <c r="E8" s="2">
        <v>23</v>
      </c>
      <c r="F8">
        <v>-7.5186019812916136</v>
      </c>
      <c r="G8">
        <v>-6.5363268134022698</v>
      </c>
      <c r="I8" s="2">
        <v>23</v>
      </c>
      <c r="J8">
        <v>0.99859486566666666</v>
      </c>
      <c r="K8">
        <v>0.99608151033333325</v>
      </c>
      <c r="M8" s="2">
        <v>23</v>
      </c>
      <c r="N8">
        <v>55.295839766666667</v>
      </c>
      <c r="O8">
        <v>51.831244171666668</v>
      </c>
      <c r="Q8" s="2">
        <v>23</v>
      </c>
      <c r="R8">
        <v>54.406666666666673</v>
      </c>
      <c r="S8">
        <v>144.845</v>
      </c>
      <c r="U8">
        <v>25</v>
      </c>
    </row>
    <row r="9" spans="1:21" x14ac:dyDescent="0.3">
      <c r="A9" s="2">
        <v>24</v>
      </c>
      <c r="B9">
        <v>5.5533333333333335E-4</v>
      </c>
      <c r="C9">
        <v>1.5211666666666665E-3</v>
      </c>
      <c r="E9" s="2">
        <v>24</v>
      </c>
      <c r="F9">
        <v>-7.4985075022001197</v>
      </c>
      <c r="G9">
        <v>-6.4912831478777564</v>
      </c>
      <c r="I9" s="2">
        <v>24</v>
      </c>
      <c r="J9">
        <v>0.99805083899999991</v>
      </c>
      <c r="K9">
        <v>0.99463297049999999</v>
      </c>
      <c r="M9" s="2">
        <v>24</v>
      </c>
      <c r="N9">
        <v>54.325696633333337</v>
      </c>
      <c r="O9">
        <v>50.905942199999998</v>
      </c>
      <c r="Q9" s="2">
        <v>24</v>
      </c>
      <c r="R9">
        <v>55.425000000000004</v>
      </c>
      <c r="S9">
        <v>151.29666666666665</v>
      </c>
      <c r="U9">
        <v>26</v>
      </c>
    </row>
    <row r="10" spans="1:21" x14ac:dyDescent="0.3">
      <c r="A10" s="2">
        <v>25</v>
      </c>
      <c r="B10">
        <v>6.0516666666666672E-4</v>
      </c>
      <c r="C10">
        <v>1.5776666666666667E-3</v>
      </c>
      <c r="E10" s="2">
        <v>25</v>
      </c>
      <c r="F10">
        <v>-7.4137068203971515</v>
      </c>
      <c r="G10">
        <v>-6.4546689401858757</v>
      </c>
      <c r="I10" s="2">
        <v>25</v>
      </c>
      <c r="J10">
        <v>0.99749656666666675</v>
      </c>
      <c r="K10">
        <v>0.9931199666666668</v>
      </c>
      <c r="M10" s="2">
        <v>25</v>
      </c>
      <c r="N10">
        <v>53.355594443333331</v>
      </c>
      <c r="O10">
        <v>49.98267576333334</v>
      </c>
      <c r="Q10" s="2">
        <v>25</v>
      </c>
      <c r="R10">
        <v>60.363333333333337</v>
      </c>
      <c r="S10">
        <v>156.67666666666665</v>
      </c>
      <c r="U10">
        <v>27</v>
      </c>
    </row>
    <row r="11" spans="1:21" x14ac:dyDescent="0.3">
      <c r="A11" s="2">
        <v>26</v>
      </c>
      <c r="B11">
        <v>6.2899999999999989E-4</v>
      </c>
      <c r="C11">
        <v>1.6103333333333334E-3</v>
      </c>
      <c r="E11" s="2">
        <v>26</v>
      </c>
      <c r="F11">
        <v>-7.3742962363203448</v>
      </c>
      <c r="G11">
        <v>-6.4347400113029556</v>
      </c>
      <c r="I11" s="2">
        <v>26</v>
      </c>
      <c r="J11">
        <v>0.99689284600000005</v>
      </c>
      <c r="K11">
        <v>0.99155336616666656</v>
      </c>
      <c r="M11" s="2">
        <v>26</v>
      </c>
      <c r="N11">
        <v>52.387588878333332</v>
      </c>
      <c r="O11">
        <v>49.060795643333329</v>
      </c>
      <c r="Q11" s="2">
        <v>26</v>
      </c>
      <c r="R11">
        <v>62.701666666666661</v>
      </c>
      <c r="S11">
        <v>159.66666666666666</v>
      </c>
      <c r="U11">
        <v>28</v>
      </c>
    </row>
    <row r="12" spans="1:21" x14ac:dyDescent="0.3">
      <c r="A12" s="2">
        <v>27</v>
      </c>
      <c r="B12">
        <v>6.8883333333333329E-4</v>
      </c>
      <c r="C12">
        <v>1.6959999999999998E-3</v>
      </c>
      <c r="E12" s="2">
        <v>27</v>
      </c>
      <c r="F12">
        <v>-7.2842710252323251</v>
      </c>
      <c r="G12">
        <v>-6.3830457917147854</v>
      </c>
      <c r="I12" s="2">
        <v>27</v>
      </c>
      <c r="J12">
        <v>0.99626578333333338</v>
      </c>
      <c r="K12">
        <v>0.98995650350000008</v>
      </c>
      <c r="M12" s="2">
        <v>27</v>
      </c>
      <c r="N12">
        <v>51.420235504999994</v>
      </c>
      <c r="O12">
        <v>48.139062943333329</v>
      </c>
      <c r="Q12" s="2">
        <v>27</v>
      </c>
      <c r="R12">
        <v>68.624999999999986</v>
      </c>
      <c r="S12">
        <v>167.88666666666666</v>
      </c>
      <c r="U12">
        <v>29</v>
      </c>
    </row>
    <row r="13" spans="1:21" x14ac:dyDescent="0.3">
      <c r="A13" s="2">
        <v>28</v>
      </c>
      <c r="B13">
        <v>7.2866666666666663E-4</v>
      </c>
      <c r="C13">
        <v>1.7565E-3</v>
      </c>
      <c r="E13" s="2">
        <v>28</v>
      </c>
      <c r="F13">
        <v>-7.227878894740086</v>
      </c>
      <c r="G13">
        <v>-6.3487268780307256</v>
      </c>
      <c r="I13" s="2">
        <v>28</v>
      </c>
      <c r="J13">
        <v>0.99557954316666664</v>
      </c>
      <c r="K13">
        <v>0.98827773583333334</v>
      </c>
      <c r="M13" s="2">
        <v>28</v>
      </c>
      <c r="N13">
        <v>50.455319043333333</v>
      </c>
      <c r="O13">
        <v>47.219915471666667</v>
      </c>
      <c r="Q13" s="2">
        <v>28</v>
      </c>
      <c r="R13">
        <v>72.543333333333337</v>
      </c>
      <c r="S13">
        <v>173.57666666666668</v>
      </c>
      <c r="U13">
        <v>30</v>
      </c>
    </row>
    <row r="14" spans="1:21" x14ac:dyDescent="0.3">
      <c r="A14" s="2">
        <v>29</v>
      </c>
      <c r="B14">
        <v>7.6833333333333343E-4</v>
      </c>
      <c r="C14">
        <v>1.8030000000000001E-3</v>
      </c>
      <c r="E14" s="2">
        <v>29</v>
      </c>
      <c r="F14">
        <v>-7.1761019742783319</v>
      </c>
      <c r="G14">
        <v>-6.3224396572351749</v>
      </c>
      <c r="I14" s="2">
        <v>29</v>
      </c>
      <c r="J14">
        <v>0.99485418183333341</v>
      </c>
      <c r="K14">
        <v>0.98654206966666658</v>
      </c>
      <c r="M14" s="2">
        <v>29</v>
      </c>
      <c r="N14">
        <v>49.491728016666663</v>
      </c>
      <c r="O14">
        <v>46.302037666666671</v>
      </c>
      <c r="Q14" s="2">
        <v>29</v>
      </c>
      <c r="R14">
        <v>76.433333333333337</v>
      </c>
      <c r="S14">
        <v>177.85833333333335</v>
      </c>
      <c r="U14">
        <v>31</v>
      </c>
    </row>
    <row r="15" spans="1:21" x14ac:dyDescent="0.3">
      <c r="A15" s="2">
        <v>30</v>
      </c>
      <c r="B15">
        <v>8.3633333333333335E-4</v>
      </c>
      <c r="C15">
        <v>1.8511666666666665E-3</v>
      </c>
      <c r="E15" s="2">
        <v>30</v>
      </c>
      <c r="F15">
        <v>-7.0905139280820384</v>
      </c>
      <c r="G15">
        <v>-6.2980899111928972</v>
      </c>
      <c r="I15" s="2">
        <v>30</v>
      </c>
      <c r="J15">
        <v>0.99408987400000004</v>
      </c>
      <c r="K15">
        <v>0.9847634913333333</v>
      </c>
      <c r="M15" s="2">
        <v>30</v>
      </c>
      <c r="N15">
        <v>48.529376848333335</v>
      </c>
      <c r="O15">
        <v>45.384676764999995</v>
      </c>
      <c r="Q15" s="2">
        <v>30</v>
      </c>
      <c r="R15">
        <v>83.135000000000005</v>
      </c>
      <c r="S15">
        <v>182.27166666666665</v>
      </c>
      <c r="U15">
        <v>32</v>
      </c>
    </row>
    <row r="16" spans="1:21" x14ac:dyDescent="0.3">
      <c r="A16" s="2">
        <v>31</v>
      </c>
      <c r="B16">
        <v>8.7733333333333337E-4</v>
      </c>
      <c r="C16">
        <v>1.9091666666666667E-3</v>
      </c>
      <c r="E16" s="2">
        <v>31</v>
      </c>
      <c r="F16">
        <v>-7.0417344372783548</v>
      </c>
      <c r="G16">
        <v>-6.2679023832935528</v>
      </c>
      <c r="I16" s="2">
        <v>31</v>
      </c>
      <c r="J16">
        <v>0.99325847099999998</v>
      </c>
      <c r="K16">
        <v>0.98294053400000003</v>
      </c>
      <c r="M16" s="2">
        <v>31</v>
      </c>
      <c r="N16">
        <v>47.569563196666671</v>
      </c>
      <c r="O16">
        <v>44.467823923333334</v>
      </c>
      <c r="Q16" s="2">
        <v>31</v>
      </c>
      <c r="R16">
        <v>87.136666666666656</v>
      </c>
      <c r="S16">
        <v>187.62999999999997</v>
      </c>
      <c r="U16">
        <v>33</v>
      </c>
    </row>
    <row r="17" spans="1:21" x14ac:dyDescent="0.3">
      <c r="A17" s="2">
        <v>32</v>
      </c>
      <c r="B17">
        <v>9.4916666666666673E-4</v>
      </c>
      <c r="C17">
        <v>1.9695000000000003E-3</v>
      </c>
      <c r="E17" s="2">
        <v>32</v>
      </c>
      <c r="F17">
        <v>-6.9638460219361074</v>
      </c>
      <c r="G17">
        <v>-6.2355117635431823</v>
      </c>
      <c r="I17" s="2">
        <v>32</v>
      </c>
      <c r="J17">
        <v>0.99238710616666659</v>
      </c>
      <c r="K17">
        <v>0.98106442900000002</v>
      </c>
      <c r="M17" s="2">
        <v>32</v>
      </c>
      <c r="N17">
        <v>46.610877733333332</v>
      </c>
      <c r="O17">
        <v>43.551798055000006</v>
      </c>
      <c r="Q17" s="2">
        <v>32</v>
      </c>
      <c r="R17">
        <v>94.188333333333333</v>
      </c>
      <c r="S17">
        <v>193.1866666666667</v>
      </c>
      <c r="U17">
        <v>34</v>
      </c>
    </row>
    <row r="18" spans="1:21" x14ac:dyDescent="0.3">
      <c r="A18" s="2">
        <v>33</v>
      </c>
      <c r="B18">
        <v>1.0088333333333334E-3</v>
      </c>
      <c r="C18">
        <v>2.0295000000000001E-3</v>
      </c>
      <c r="E18" s="2">
        <v>33</v>
      </c>
      <c r="F18">
        <v>-6.9039086021294276</v>
      </c>
      <c r="G18">
        <v>-6.2065393273608995</v>
      </c>
      <c r="I18" s="2">
        <v>33</v>
      </c>
      <c r="J18">
        <v>0.99144533449999994</v>
      </c>
      <c r="K18">
        <v>0.97913262616666674</v>
      </c>
      <c r="M18" s="2">
        <v>33</v>
      </c>
      <c r="N18">
        <v>45.654657903333337</v>
      </c>
      <c r="O18">
        <v>42.636645766666668</v>
      </c>
      <c r="Q18" s="2">
        <v>33</v>
      </c>
      <c r="R18">
        <v>100.01333333333332</v>
      </c>
      <c r="S18">
        <v>198.67</v>
      </c>
      <c r="U18">
        <v>35</v>
      </c>
    </row>
    <row r="19" spans="1:21" x14ac:dyDescent="0.3">
      <c r="A19" s="2">
        <v>34</v>
      </c>
      <c r="B19">
        <v>1.0369999999999999E-3</v>
      </c>
      <c r="C19">
        <v>2.1093333333333333E-3</v>
      </c>
      <c r="E19" s="2">
        <v>34</v>
      </c>
      <c r="F19">
        <v>-6.8750574631565682</v>
      </c>
      <c r="G19">
        <v>-6.1672019065515338</v>
      </c>
      <c r="I19" s="2">
        <v>34</v>
      </c>
      <c r="J19">
        <v>0.99044519299999989</v>
      </c>
      <c r="K19">
        <v>0.97714576450000001</v>
      </c>
      <c r="M19" s="2">
        <v>34</v>
      </c>
      <c r="N19">
        <v>44.700233946666664</v>
      </c>
      <c r="O19">
        <v>41.722222453333337</v>
      </c>
      <c r="Q19" s="2">
        <v>34</v>
      </c>
      <c r="R19">
        <v>102.70333333333333</v>
      </c>
      <c r="S19">
        <v>206.06499999999997</v>
      </c>
      <c r="U19">
        <v>36</v>
      </c>
    </row>
    <row r="20" spans="1:21" x14ac:dyDescent="0.3">
      <c r="A20" s="2">
        <v>35</v>
      </c>
      <c r="B20">
        <v>1.0988333333333334E-3</v>
      </c>
      <c r="C20">
        <v>2.1616666666666668E-3</v>
      </c>
      <c r="E20" s="2">
        <v>35</v>
      </c>
      <c r="F20">
        <v>-6.8175901990179719</v>
      </c>
      <c r="G20">
        <v>-6.1426478645610496</v>
      </c>
      <c r="I20" s="2">
        <v>35</v>
      </c>
      <c r="J20">
        <v>0.9894185405</v>
      </c>
      <c r="K20">
        <v>0.97508529766666674</v>
      </c>
      <c r="M20" s="2">
        <v>35</v>
      </c>
      <c r="N20">
        <v>43.746078044999997</v>
      </c>
      <c r="O20">
        <v>40.809234566666674</v>
      </c>
      <c r="Q20" s="2">
        <v>35</v>
      </c>
      <c r="R20">
        <v>108.71333333333332</v>
      </c>
      <c r="S20">
        <v>210.73</v>
      </c>
      <c r="U20">
        <v>37</v>
      </c>
    </row>
    <row r="21" spans="1:21" x14ac:dyDescent="0.3">
      <c r="A21" s="2">
        <v>36</v>
      </c>
      <c r="B21">
        <v>1.1713333333333333E-3</v>
      </c>
      <c r="C21">
        <v>2.2325000000000001E-3</v>
      </c>
      <c r="E21" s="2">
        <v>36</v>
      </c>
      <c r="F21">
        <v>-6.7527908925679379</v>
      </c>
      <c r="G21">
        <v>-6.111578608785905</v>
      </c>
      <c r="I21" s="2">
        <v>36</v>
      </c>
      <c r="J21">
        <v>0.98833150333333331</v>
      </c>
      <c r="K21">
        <v>0.97297792783333337</v>
      </c>
      <c r="M21" s="2">
        <v>36</v>
      </c>
      <c r="N21">
        <v>42.793624784999999</v>
      </c>
      <c r="O21">
        <v>39.896453968333326</v>
      </c>
      <c r="Q21" s="2">
        <v>36</v>
      </c>
      <c r="R21">
        <v>115.75666666666666</v>
      </c>
      <c r="S21">
        <v>217.15166666666667</v>
      </c>
      <c r="U21">
        <v>38</v>
      </c>
    </row>
    <row r="22" spans="1:21" x14ac:dyDescent="0.3">
      <c r="A22" s="2">
        <v>37</v>
      </c>
      <c r="B22">
        <v>1.2335E-3</v>
      </c>
      <c r="C22">
        <v>2.3341666666666667E-3</v>
      </c>
      <c r="E22" s="2">
        <v>37</v>
      </c>
      <c r="F22">
        <v>-6.7028048437793615</v>
      </c>
      <c r="G22">
        <v>-6.0675803989196417</v>
      </c>
      <c r="I22" s="2">
        <v>37</v>
      </c>
      <c r="J22">
        <v>0.98717372599999997</v>
      </c>
      <c r="K22">
        <v>0.97080629899999993</v>
      </c>
      <c r="M22" s="2">
        <v>37</v>
      </c>
      <c r="N22">
        <v>41.843206379999998</v>
      </c>
      <c r="O22">
        <v>38.984481306666659</v>
      </c>
      <c r="Q22" s="2">
        <v>37</v>
      </c>
      <c r="R22">
        <v>121.755</v>
      </c>
      <c r="S22">
        <v>226.52166666666668</v>
      </c>
      <c r="U22">
        <v>39</v>
      </c>
    </row>
    <row r="23" spans="1:21" x14ac:dyDescent="0.3">
      <c r="A23" s="2">
        <v>38</v>
      </c>
      <c r="B23">
        <v>1.3030000000000001E-3</v>
      </c>
      <c r="C23">
        <v>2.4086666666666666E-3</v>
      </c>
      <c r="E23" s="2">
        <v>38</v>
      </c>
      <c r="F23">
        <v>-6.6466566003087211</v>
      </c>
      <c r="G23">
        <v>-6.0354836097715605</v>
      </c>
      <c r="I23" s="2">
        <v>38</v>
      </c>
      <c r="J23">
        <v>0.98595610716666682</v>
      </c>
      <c r="K23">
        <v>0.96854131066666671</v>
      </c>
      <c r="M23" s="2">
        <v>38</v>
      </c>
      <c r="N23">
        <v>40.89423861833334</v>
      </c>
      <c r="O23">
        <v>38.07437435166667</v>
      </c>
      <c r="Q23" s="2">
        <v>38</v>
      </c>
      <c r="R23">
        <v>128.45833333333334</v>
      </c>
      <c r="S23">
        <v>233.20333333333335</v>
      </c>
      <c r="U23">
        <v>40</v>
      </c>
    </row>
    <row r="24" spans="1:21" x14ac:dyDescent="0.3">
      <c r="A24" s="2">
        <v>39</v>
      </c>
      <c r="B24">
        <v>1.3905E-3</v>
      </c>
      <c r="C24">
        <v>2.525333333333333E-3</v>
      </c>
      <c r="E24" s="2">
        <v>39</v>
      </c>
      <c r="F24">
        <v>-6.5826477513909181</v>
      </c>
      <c r="G24">
        <v>-5.9903505009988756</v>
      </c>
      <c r="I24" s="2">
        <v>39</v>
      </c>
      <c r="J24">
        <v>0.98467172866666663</v>
      </c>
      <c r="K24">
        <v>0.96620939133333328</v>
      </c>
      <c r="M24" s="2">
        <v>39</v>
      </c>
      <c r="N24">
        <v>39.946908228333335</v>
      </c>
      <c r="O24">
        <v>37.164967130000001</v>
      </c>
      <c r="Q24" s="2">
        <v>39</v>
      </c>
      <c r="R24">
        <v>136.90166666666667</v>
      </c>
      <c r="S24">
        <v>243.88499999999999</v>
      </c>
      <c r="U24">
        <v>41</v>
      </c>
    </row>
    <row r="25" spans="1:21" x14ac:dyDescent="0.3">
      <c r="A25" s="2">
        <v>40</v>
      </c>
      <c r="B25">
        <v>1.4555E-3</v>
      </c>
      <c r="C25">
        <v>2.6098333333333334E-3</v>
      </c>
      <c r="E25" s="2">
        <v>40</v>
      </c>
      <c r="F25">
        <v>-6.5356663061987819</v>
      </c>
      <c r="G25">
        <v>-5.9573127844781508</v>
      </c>
      <c r="I25" s="2">
        <v>40</v>
      </c>
      <c r="J25">
        <v>0.98330288366666663</v>
      </c>
      <c r="K25">
        <v>0.9637705316666666</v>
      </c>
      <c r="M25" s="2">
        <v>40</v>
      </c>
      <c r="N25">
        <v>39.001802428333335</v>
      </c>
      <c r="O25">
        <v>36.257634913333334</v>
      </c>
      <c r="Q25" s="2">
        <v>40</v>
      </c>
      <c r="R25">
        <v>143.10166666666666</v>
      </c>
      <c r="S25">
        <v>251.40666666666667</v>
      </c>
      <c r="U25">
        <v>42</v>
      </c>
    </row>
    <row r="26" spans="1:21" x14ac:dyDescent="0.3">
      <c r="A26" s="2">
        <v>41</v>
      </c>
      <c r="B26">
        <v>1.5560000000000001E-3</v>
      </c>
      <c r="C26">
        <v>2.7163333333333332E-3</v>
      </c>
      <c r="E26" s="2">
        <v>41</v>
      </c>
      <c r="F26">
        <v>-6.4707265495949855</v>
      </c>
      <c r="G26">
        <v>-5.9167935691179574</v>
      </c>
      <c r="I26" s="2">
        <v>41</v>
      </c>
      <c r="J26">
        <v>0.9818719079999999</v>
      </c>
      <c r="K26">
        <v>0.96125654383333325</v>
      </c>
      <c r="M26" s="2">
        <v>41</v>
      </c>
      <c r="N26">
        <v>38.057896071666661</v>
      </c>
      <c r="O26">
        <v>35.351059691666663</v>
      </c>
      <c r="Q26" s="2">
        <v>41</v>
      </c>
      <c r="R26">
        <v>152.75666666666666</v>
      </c>
      <c r="S26">
        <v>260.96499999999997</v>
      </c>
      <c r="U26">
        <v>43</v>
      </c>
    </row>
    <row r="27" spans="1:21" x14ac:dyDescent="0.3">
      <c r="A27" s="2">
        <v>42</v>
      </c>
      <c r="B27">
        <v>1.655E-3</v>
      </c>
      <c r="C27">
        <v>2.8173333333333336E-3</v>
      </c>
      <c r="E27" s="2">
        <v>42</v>
      </c>
      <c r="F27">
        <v>-6.4063601600380364</v>
      </c>
      <c r="G27">
        <v>-5.8789572484672092</v>
      </c>
      <c r="I27" s="2">
        <v>42</v>
      </c>
      <c r="J27">
        <v>0.98034451283333335</v>
      </c>
      <c r="K27">
        <v>0.95864681483333325</v>
      </c>
      <c r="M27" s="2">
        <v>42</v>
      </c>
      <c r="N27">
        <v>37.116382701666666</v>
      </c>
      <c r="O27">
        <v>34.445829980000006</v>
      </c>
      <c r="Q27" s="2">
        <v>42</v>
      </c>
      <c r="R27">
        <v>162.22833333333332</v>
      </c>
      <c r="S27">
        <v>269.94</v>
      </c>
      <c r="U27">
        <v>44</v>
      </c>
    </row>
    <row r="28" spans="1:21" x14ac:dyDescent="0.3">
      <c r="A28" s="2">
        <v>43</v>
      </c>
      <c r="B28">
        <v>1.7886666666666667E-3</v>
      </c>
      <c r="C28">
        <v>2.9823333333333334E-3</v>
      </c>
      <c r="E28" s="2">
        <v>43</v>
      </c>
      <c r="F28">
        <v>-6.3287312083415328</v>
      </c>
      <c r="G28">
        <v>-5.8216031602647602</v>
      </c>
      <c r="I28" s="2">
        <v>43</v>
      </c>
      <c r="J28">
        <v>0.97872213699999999</v>
      </c>
      <c r="K28">
        <v>0.95594747800000002</v>
      </c>
      <c r="M28" s="2">
        <v>43</v>
      </c>
      <c r="N28">
        <v>36.177057353333332</v>
      </c>
      <c r="O28">
        <v>33.54159095</v>
      </c>
      <c r="Q28" s="2">
        <v>43</v>
      </c>
      <c r="R28">
        <v>175.0383333333333</v>
      </c>
      <c r="S28">
        <v>284.93333333333334</v>
      </c>
      <c r="U28">
        <v>45</v>
      </c>
    </row>
    <row r="29" spans="1:21" x14ac:dyDescent="0.3">
      <c r="A29" s="2">
        <v>44</v>
      </c>
      <c r="B29">
        <v>1.9033333333333333E-3</v>
      </c>
      <c r="C29">
        <v>3.1849999999999999E-3</v>
      </c>
      <c r="E29" s="2">
        <v>44</v>
      </c>
      <c r="F29">
        <v>-6.2668763212484251</v>
      </c>
      <c r="G29">
        <v>-5.7544001834366618</v>
      </c>
      <c r="I29" s="2">
        <v>44</v>
      </c>
      <c r="J29">
        <v>0.97697152333333337</v>
      </c>
      <c r="K29">
        <v>0.95309818283333347</v>
      </c>
      <c r="M29" s="2">
        <v>44</v>
      </c>
      <c r="N29">
        <v>35.240964438333336</v>
      </c>
      <c r="O29">
        <v>32.640278113333338</v>
      </c>
      <c r="Q29" s="2">
        <v>44</v>
      </c>
      <c r="R29">
        <v>185.92666666666665</v>
      </c>
      <c r="S29">
        <v>303.40000000000003</v>
      </c>
      <c r="U29">
        <v>46</v>
      </c>
    </row>
    <row r="30" spans="1:21" x14ac:dyDescent="0.3">
      <c r="A30" s="2">
        <v>45</v>
      </c>
      <c r="B30">
        <v>2.0801666666666668E-3</v>
      </c>
      <c r="C30">
        <v>3.4056666666666667E-3</v>
      </c>
      <c r="E30" s="2">
        <v>45</v>
      </c>
      <c r="F30">
        <v>-6.1772908286413815</v>
      </c>
      <c r="G30">
        <v>-5.6864791341868122</v>
      </c>
      <c r="I30" s="2">
        <v>45</v>
      </c>
      <c r="J30">
        <v>0.97511221166666673</v>
      </c>
      <c r="K30">
        <v>0.95006408500000006</v>
      </c>
      <c r="M30" s="2">
        <v>45</v>
      </c>
      <c r="N30">
        <v>34.307181426666666</v>
      </c>
      <c r="O30">
        <v>31.742835113333332</v>
      </c>
      <c r="Q30" s="2">
        <v>45</v>
      </c>
      <c r="R30">
        <v>202.81333333333336</v>
      </c>
      <c r="S30">
        <v>323.39333333333337</v>
      </c>
      <c r="U30">
        <v>47</v>
      </c>
    </row>
    <row r="31" spans="1:21" x14ac:dyDescent="0.3">
      <c r="A31" s="2">
        <v>46</v>
      </c>
      <c r="B31">
        <v>2.2733333333333334E-3</v>
      </c>
      <c r="C31">
        <v>3.7003333333333333E-3</v>
      </c>
      <c r="E31" s="2">
        <v>46</v>
      </c>
      <c r="F31">
        <v>-6.0882597912630674</v>
      </c>
      <c r="G31">
        <v>-5.6033447341703955</v>
      </c>
      <c r="I31" s="2">
        <v>46</v>
      </c>
      <c r="J31">
        <v>0.97308391750000001</v>
      </c>
      <c r="K31">
        <v>0.94683022650000004</v>
      </c>
      <c r="M31" s="2">
        <v>46</v>
      </c>
      <c r="N31">
        <v>33.377627781666668</v>
      </c>
      <c r="O31">
        <v>30.849477323333332</v>
      </c>
      <c r="Q31" s="2">
        <v>46</v>
      </c>
      <c r="R31">
        <v>221.18833333333336</v>
      </c>
      <c r="S31">
        <v>350.17333333333335</v>
      </c>
      <c r="U31">
        <v>48</v>
      </c>
    </row>
    <row r="32" spans="1:21" x14ac:dyDescent="0.3">
      <c r="A32" s="2">
        <v>47</v>
      </c>
      <c r="B32">
        <v>2.4328333333333333E-3</v>
      </c>
      <c r="C32">
        <v>3.9755000000000007E-3</v>
      </c>
      <c r="E32" s="2">
        <v>47</v>
      </c>
      <c r="F32">
        <v>-6.0208966102531116</v>
      </c>
      <c r="G32">
        <v>-5.532023398307409</v>
      </c>
      <c r="I32" s="2">
        <v>47</v>
      </c>
      <c r="J32">
        <v>0.97087201249999999</v>
      </c>
      <c r="K32">
        <v>0.94332832016666668</v>
      </c>
      <c r="M32" s="2">
        <v>47</v>
      </c>
      <c r="N32">
        <v>32.452509765000002</v>
      </c>
      <c r="O32">
        <v>29.962068228333333</v>
      </c>
      <c r="Q32" s="2">
        <v>47</v>
      </c>
      <c r="R32">
        <v>236.16166666666666</v>
      </c>
      <c r="S32">
        <v>374.79500000000002</v>
      </c>
      <c r="U32">
        <v>49</v>
      </c>
    </row>
    <row r="33" spans="1:21" x14ac:dyDescent="0.3">
      <c r="A33" s="2">
        <v>48</v>
      </c>
      <c r="B33">
        <v>2.6595E-3</v>
      </c>
      <c r="C33">
        <v>4.3126666666666669E-3</v>
      </c>
      <c r="E33" s="2">
        <v>48</v>
      </c>
      <c r="F33">
        <v>-5.9313410764927577</v>
      </c>
      <c r="G33">
        <v>-5.450883379415747</v>
      </c>
      <c r="I33" s="2">
        <v>48</v>
      </c>
      <c r="J33">
        <v>0.96851046666666651</v>
      </c>
      <c r="K33">
        <v>0.93958054516666678</v>
      </c>
      <c r="M33" s="2">
        <v>48</v>
      </c>
      <c r="N33">
        <v>31.530394845</v>
      </c>
      <c r="O33">
        <v>29.079506640000002</v>
      </c>
      <c r="Q33" s="2">
        <v>48</v>
      </c>
      <c r="R33">
        <v>257.54333333333335</v>
      </c>
      <c r="S33">
        <v>404.95166666666665</v>
      </c>
      <c r="U33">
        <v>50</v>
      </c>
    </row>
    <row r="34" spans="1:21" x14ac:dyDescent="0.3">
      <c r="A34" s="2">
        <v>49</v>
      </c>
      <c r="B34">
        <v>2.894833333333333E-3</v>
      </c>
      <c r="C34">
        <v>4.7073333333333333E-3</v>
      </c>
      <c r="E34" s="2">
        <v>49</v>
      </c>
      <c r="F34">
        <v>-5.8463932073739953</v>
      </c>
      <c r="G34">
        <v>-5.3623331670249952</v>
      </c>
      <c r="I34" s="2">
        <v>49</v>
      </c>
      <c r="J34">
        <v>0.96593498383333343</v>
      </c>
      <c r="K34">
        <v>0.93553093766666684</v>
      </c>
      <c r="M34" s="2">
        <v>49</v>
      </c>
      <c r="N34">
        <v>30.613107561666666</v>
      </c>
      <c r="O34">
        <v>28.203131556666666</v>
      </c>
      <c r="Q34" s="2">
        <v>49</v>
      </c>
      <c r="R34">
        <v>279.58833333333337</v>
      </c>
      <c r="S34">
        <v>440.13333333333338</v>
      </c>
      <c r="U34">
        <v>51</v>
      </c>
    </row>
    <row r="35" spans="1:21" x14ac:dyDescent="0.3">
      <c r="A35" s="2">
        <v>50</v>
      </c>
      <c r="B35">
        <v>3.1653333333333338E-3</v>
      </c>
      <c r="C35">
        <v>5.1138333333333339E-3</v>
      </c>
      <c r="E35" s="2">
        <v>50</v>
      </c>
      <c r="F35">
        <v>-5.7565968231479125</v>
      </c>
      <c r="G35">
        <v>-5.2782257425761729</v>
      </c>
      <c r="I35" s="2">
        <v>50</v>
      </c>
      <c r="J35">
        <v>0.96313926449999998</v>
      </c>
      <c r="K35">
        <v>0.93112964466666659</v>
      </c>
      <c r="M35" s="2">
        <v>50</v>
      </c>
      <c r="N35">
        <v>29.700494251666665</v>
      </c>
      <c r="O35">
        <v>27.333997438333338</v>
      </c>
      <c r="Q35" s="2">
        <v>50</v>
      </c>
      <c r="R35">
        <v>304.83166666666665</v>
      </c>
      <c r="S35">
        <v>475.92500000000001</v>
      </c>
      <c r="U35">
        <v>52</v>
      </c>
    </row>
    <row r="36" spans="1:21" x14ac:dyDescent="0.3">
      <c r="A36" s="2">
        <v>51</v>
      </c>
      <c r="B36">
        <v>3.4653333333333329E-3</v>
      </c>
      <c r="C36">
        <v>5.6136666666666661E-3</v>
      </c>
      <c r="E36" s="2">
        <v>51</v>
      </c>
      <c r="F36">
        <v>-5.6662029814904082</v>
      </c>
      <c r="G36">
        <v>-5.1850013182618806</v>
      </c>
      <c r="I36" s="2">
        <v>51</v>
      </c>
      <c r="J36">
        <v>0.96009106400000011</v>
      </c>
      <c r="K36">
        <v>0.92637054466666668</v>
      </c>
      <c r="M36" s="2">
        <v>51</v>
      </c>
      <c r="N36">
        <v>28.79318326666667</v>
      </c>
      <c r="O36">
        <v>26.471789181666669</v>
      </c>
      <c r="Q36" s="2">
        <v>51</v>
      </c>
      <c r="R36">
        <v>332.65999999999997</v>
      </c>
      <c r="S36">
        <v>519.76499999999999</v>
      </c>
      <c r="U36">
        <v>53</v>
      </c>
    </row>
    <row r="37" spans="1:21" x14ac:dyDescent="0.3">
      <c r="A37" s="2">
        <v>52</v>
      </c>
      <c r="B37">
        <v>3.7683333333333336E-3</v>
      </c>
      <c r="C37">
        <v>6.1476666666666659E-3</v>
      </c>
      <c r="E37" s="2">
        <v>52</v>
      </c>
      <c r="F37">
        <v>-5.5824131840503961</v>
      </c>
      <c r="G37">
        <v>-5.0941623607978164</v>
      </c>
      <c r="I37" s="2">
        <v>52</v>
      </c>
      <c r="J37">
        <v>0.95676452683333324</v>
      </c>
      <c r="K37">
        <v>0.92117300516666667</v>
      </c>
      <c r="M37" s="2">
        <v>52</v>
      </c>
      <c r="N37">
        <v>27.891531679999996</v>
      </c>
      <c r="O37">
        <v>25.618263265</v>
      </c>
      <c r="Q37" s="2">
        <v>52</v>
      </c>
      <c r="R37">
        <v>360.49166666666673</v>
      </c>
      <c r="S37">
        <v>565.995</v>
      </c>
      <c r="U37">
        <v>54</v>
      </c>
    </row>
    <row r="38" spans="1:21" x14ac:dyDescent="0.3">
      <c r="A38" s="2">
        <v>53</v>
      </c>
      <c r="B38">
        <v>4.1050000000000001E-3</v>
      </c>
      <c r="C38">
        <v>6.6926666666666662E-3</v>
      </c>
      <c r="E38" s="2">
        <v>53</v>
      </c>
      <c r="F38">
        <v>-5.4968908692565677</v>
      </c>
      <c r="G38">
        <v>-5.0091342732149604</v>
      </c>
      <c r="I38" s="2">
        <v>53</v>
      </c>
      <c r="J38">
        <v>0.95315961683333328</v>
      </c>
      <c r="K38">
        <v>0.9155131276666667</v>
      </c>
      <c r="M38" s="2">
        <v>53</v>
      </c>
      <c r="N38">
        <v>26.995103573333335</v>
      </c>
      <c r="O38">
        <v>24.773479976666664</v>
      </c>
      <c r="Q38" s="2">
        <v>53</v>
      </c>
      <c r="R38">
        <v>391.21833333333331</v>
      </c>
      <c r="S38">
        <v>612.38833333333332</v>
      </c>
      <c r="U38">
        <v>55</v>
      </c>
    </row>
    <row r="39" spans="1:21" x14ac:dyDescent="0.3">
      <c r="A39" s="2">
        <v>54</v>
      </c>
      <c r="B39">
        <v>4.4643333333333332E-3</v>
      </c>
      <c r="C39">
        <v>7.3781666666666674E-3</v>
      </c>
      <c r="E39" s="2">
        <v>54</v>
      </c>
      <c r="F39">
        <v>-5.4128882985252913</v>
      </c>
      <c r="G39">
        <v>-4.9113932360052788</v>
      </c>
      <c r="I39" s="2">
        <v>54</v>
      </c>
      <c r="J39">
        <v>0.94924736666666654</v>
      </c>
      <c r="K39">
        <v>0.90938927333333319</v>
      </c>
      <c r="M39" s="2">
        <v>54</v>
      </c>
      <c r="N39">
        <v>26.104276476666666</v>
      </c>
      <c r="O39">
        <v>23.936869570000002</v>
      </c>
      <c r="Q39" s="2">
        <v>54</v>
      </c>
      <c r="R39">
        <v>423.70833333333326</v>
      </c>
      <c r="S39">
        <v>670.58166666666659</v>
      </c>
      <c r="U39">
        <v>56</v>
      </c>
    </row>
    <row r="40" spans="1:21" x14ac:dyDescent="0.3">
      <c r="A40" s="2">
        <v>55</v>
      </c>
      <c r="B40">
        <v>4.8256666666666665E-3</v>
      </c>
      <c r="C40">
        <v>8.0233333333333337E-3</v>
      </c>
      <c r="E40" s="2">
        <v>55</v>
      </c>
      <c r="F40">
        <v>-5.3347138241646865</v>
      </c>
      <c r="G40">
        <v>-4.8271514367541686</v>
      </c>
      <c r="I40" s="2">
        <v>55</v>
      </c>
      <c r="J40">
        <v>0.94501022900000009</v>
      </c>
      <c r="K40">
        <v>0.90268334999999988</v>
      </c>
      <c r="M40" s="2">
        <v>55</v>
      </c>
      <c r="N40">
        <v>25.219053423333332</v>
      </c>
      <c r="O40">
        <v>23.110914073333333</v>
      </c>
      <c r="Q40" s="2">
        <v>55</v>
      </c>
      <c r="R40">
        <v>455.96333333333337</v>
      </c>
      <c r="S40">
        <v>723.8416666666667</v>
      </c>
      <c r="U40">
        <v>57</v>
      </c>
    </row>
    <row r="41" spans="1:21" x14ac:dyDescent="0.3">
      <c r="A41" s="2">
        <v>56</v>
      </c>
      <c r="B41">
        <v>5.2480000000000001E-3</v>
      </c>
      <c r="C41">
        <v>8.6881666666666652E-3</v>
      </c>
      <c r="E41" s="2">
        <v>56</v>
      </c>
      <c r="F41">
        <v>-5.2506856298260489</v>
      </c>
      <c r="G41">
        <v>-4.7479291342496213</v>
      </c>
      <c r="I41" s="2">
        <v>56</v>
      </c>
      <c r="J41">
        <v>0.94045071999999996</v>
      </c>
      <c r="K41">
        <v>0.89544483800000008</v>
      </c>
      <c r="M41" s="2">
        <v>56</v>
      </c>
      <c r="N41">
        <v>24.338877154999995</v>
      </c>
      <c r="O41">
        <v>22.293642758333334</v>
      </c>
      <c r="Q41" s="2">
        <v>56</v>
      </c>
      <c r="R41">
        <v>493.47666666666663</v>
      </c>
      <c r="S41">
        <v>777.47666666666657</v>
      </c>
      <c r="U41">
        <v>58</v>
      </c>
    </row>
    <row r="42" spans="1:21" x14ac:dyDescent="0.3">
      <c r="A42" s="2">
        <v>57</v>
      </c>
      <c r="B42">
        <v>5.7128333333333337E-3</v>
      </c>
      <c r="C42">
        <v>9.4568333333333327E-3</v>
      </c>
      <c r="E42" s="2">
        <v>57</v>
      </c>
      <c r="F42">
        <v>-5.1661703006261526</v>
      </c>
      <c r="G42">
        <v>-4.6626557267958608</v>
      </c>
      <c r="I42" s="2">
        <v>57</v>
      </c>
      <c r="J42">
        <v>0.93551596616666666</v>
      </c>
      <c r="K42">
        <v>0.88767024249999993</v>
      </c>
      <c r="M42" s="2">
        <v>57</v>
      </c>
      <c r="N42">
        <v>23.464603956666668</v>
      </c>
      <c r="O42">
        <v>21.484461539999998</v>
      </c>
      <c r="Q42" s="2">
        <v>57</v>
      </c>
      <c r="R42">
        <v>534.34</v>
      </c>
      <c r="S42">
        <v>838.96</v>
      </c>
      <c r="U42">
        <v>59</v>
      </c>
    </row>
    <row r="43" spans="1:21" x14ac:dyDescent="0.3">
      <c r="A43" s="2">
        <v>58</v>
      </c>
      <c r="B43">
        <v>6.1039999999999992E-3</v>
      </c>
      <c r="C43">
        <v>1.0157833333333333E-2</v>
      </c>
      <c r="E43" s="2">
        <v>58</v>
      </c>
      <c r="F43">
        <v>-5.0998012632786294</v>
      </c>
      <c r="G43">
        <v>-4.5915464731930937</v>
      </c>
      <c r="I43" s="2">
        <v>58</v>
      </c>
      <c r="J43">
        <v>0.93017261566666665</v>
      </c>
      <c r="K43">
        <v>0.87928070450000007</v>
      </c>
      <c r="M43" s="2">
        <v>58</v>
      </c>
      <c r="N43">
        <v>22.596497934999999</v>
      </c>
      <c r="O43">
        <v>20.684632728333337</v>
      </c>
      <c r="Q43" s="2">
        <v>58</v>
      </c>
      <c r="R43">
        <v>567.66833333333329</v>
      </c>
      <c r="S43">
        <v>892.52</v>
      </c>
      <c r="U43">
        <v>60</v>
      </c>
    </row>
    <row r="44" spans="1:21" x14ac:dyDescent="0.3">
      <c r="A44" s="2">
        <v>59</v>
      </c>
      <c r="B44">
        <v>6.562000000000001E-3</v>
      </c>
      <c r="C44">
        <v>1.1026833333333333E-2</v>
      </c>
      <c r="E44" s="2">
        <v>59</v>
      </c>
      <c r="F44">
        <v>-5.0279569336045862</v>
      </c>
      <c r="G44">
        <v>-4.5094471340431346</v>
      </c>
      <c r="I44" s="2">
        <v>59</v>
      </c>
      <c r="J44">
        <v>0.92449580766666672</v>
      </c>
      <c r="K44">
        <v>0.87035525866666674</v>
      </c>
      <c r="M44" s="2">
        <v>59</v>
      </c>
      <c r="N44">
        <v>21.732156836666665</v>
      </c>
      <c r="O44">
        <v>19.891577191666666</v>
      </c>
      <c r="Q44" s="2">
        <v>59</v>
      </c>
      <c r="R44">
        <v>606.5</v>
      </c>
      <c r="S44">
        <v>959.00833333333333</v>
      </c>
      <c r="U44">
        <v>61</v>
      </c>
    </row>
    <row r="45" spans="1:21" x14ac:dyDescent="0.3">
      <c r="A45" s="2">
        <v>60</v>
      </c>
      <c r="B45">
        <v>7.068500000000001E-3</v>
      </c>
      <c r="C45">
        <v>1.1771166666666666E-2</v>
      </c>
      <c r="E45" s="2">
        <v>60</v>
      </c>
      <c r="F45">
        <v>-4.9537483407137008</v>
      </c>
      <c r="G45">
        <v>-4.4439086935405339</v>
      </c>
      <c r="I45" s="2">
        <v>60</v>
      </c>
      <c r="J45">
        <v>0.9184308756666667</v>
      </c>
      <c r="K45">
        <v>0.86076517283333331</v>
      </c>
      <c r="M45" s="2">
        <v>60</v>
      </c>
      <c r="N45">
        <v>20.872337968333333</v>
      </c>
      <c r="O45">
        <v>19.107583195</v>
      </c>
      <c r="Q45" s="2">
        <v>60</v>
      </c>
      <c r="R45">
        <v>649.01333333333332</v>
      </c>
      <c r="S45">
        <v>1012.4499999999999</v>
      </c>
      <c r="U45">
        <v>62</v>
      </c>
    </row>
    <row r="46" spans="1:21" x14ac:dyDescent="0.3">
      <c r="A46" s="2">
        <v>61</v>
      </c>
      <c r="B46">
        <v>7.5674999999999987E-3</v>
      </c>
      <c r="C46">
        <v>1.2798833333333334E-2</v>
      </c>
      <c r="E46" s="2">
        <v>61</v>
      </c>
      <c r="F46">
        <v>-4.8857697332502319</v>
      </c>
      <c r="G46">
        <v>-4.3607700445266735</v>
      </c>
      <c r="I46" s="2">
        <v>61</v>
      </c>
      <c r="J46">
        <v>0.91194075783333328</v>
      </c>
      <c r="K46">
        <v>0.85064071716666678</v>
      </c>
      <c r="M46" s="2">
        <v>61</v>
      </c>
      <c r="N46">
        <v>20.017302638333337</v>
      </c>
      <c r="O46">
        <v>18.329025343333335</v>
      </c>
      <c r="Q46" s="2">
        <v>61</v>
      </c>
      <c r="R46">
        <v>689.89166666666677</v>
      </c>
      <c r="S46">
        <v>1087.7116666666668</v>
      </c>
      <c r="U46">
        <v>63</v>
      </c>
    </row>
    <row r="47" spans="1:21" x14ac:dyDescent="0.3">
      <c r="A47" s="2">
        <v>62</v>
      </c>
      <c r="B47">
        <v>8.126166666666667E-3</v>
      </c>
      <c r="C47">
        <v>1.3711666666666669E-2</v>
      </c>
      <c r="E47" s="2">
        <v>62</v>
      </c>
      <c r="F47">
        <v>-4.8142667752395418</v>
      </c>
      <c r="G47">
        <v>-4.2915346088528148</v>
      </c>
      <c r="I47" s="2">
        <v>62</v>
      </c>
      <c r="J47">
        <v>0.90504172516666659</v>
      </c>
      <c r="K47">
        <v>0.8397635828333333</v>
      </c>
      <c r="M47" s="2">
        <v>62</v>
      </c>
      <c r="N47">
        <v>19.166059233333332</v>
      </c>
      <c r="O47">
        <v>17.559936493333332</v>
      </c>
      <c r="Q47" s="2">
        <v>62</v>
      </c>
      <c r="R47">
        <v>735.21</v>
      </c>
      <c r="S47">
        <v>1150.4183333333333</v>
      </c>
      <c r="U47">
        <v>64</v>
      </c>
    </row>
    <row r="48" spans="1:21" x14ac:dyDescent="0.3">
      <c r="A48" s="2">
        <v>63</v>
      </c>
      <c r="B48">
        <v>8.7308333333333335E-3</v>
      </c>
      <c r="C48">
        <v>1.4830499999999998E-2</v>
      </c>
      <c r="E48" s="2">
        <v>63</v>
      </c>
      <c r="F48">
        <v>-4.7426617703975866</v>
      </c>
      <c r="G48">
        <v>-4.2132476715623266</v>
      </c>
      <c r="I48" s="2">
        <v>63</v>
      </c>
      <c r="J48">
        <v>0.89768970233333345</v>
      </c>
      <c r="K48">
        <v>0.82825929349999994</v>
      </c>
      <c r="M48" s="2">
        <v>63</v>
      </c>
      <c r="N48">
        <v>18.318915551666667</v>
      </c>
      <c r="O48">
        <v>16.796888603333333</v>
      </c>
      <c r="Q48" s="2">
        <v>63</v>
      </c>
      <c r="R48">
        <v>783.46333333333325</v>
      </c>
      <c r="S48">
        <v>1227.1333333333332</v>
      </c>
      <c r="U48">
        <v>65</v>
      </c>
    </row>
    <row r="49" spans="1:21" x14ac:dyDescent="0.3">
      <c r="A49" s="2">
        <v>64</v>
      </c>
      <c r="B49">
        <v>9.3340000000000003E-3</v>
      </c>
      <c r="C49">
        <v>1.5714333333333334E-2</v>
      </c>
      <c r="E49" s="2">
        <v>64</v>
      </c>
      <c r="F49">
        <v>-4.6757915501146883</v>
      </c>
      <c r="G49">
        <v>-4.1555344145947499</v>
      </c>
      <c r="I49" s="2">
        <v>64</v>
      </c>
      <c r="J49">
        <v>0.88985479233333342</v>
      </c>
      <c r="K49">
        <v>0.81598808749999996</v>
      </c>
      <c r="M49" s="2">
        <v>64</v>
      </c>
      <c r="N49">
        <v>17.475791015000002</v>
      </c>
      <c r="O49">
        <v>16.041976348333336</v>
      </c>
      <c r="Q49" s="2">
        <v>64</v>
      </c>
      <c r="R49">
        <v>830.25333333333344</v>
      </c>
      <c r="S49">
        <v>1280.8383333333334</v>
      </c>
      <c r="U49">
        <v>66</v>
      </c>
    </row>
    <row r="50" spans="1:21" x14ac:dyDescent="0.3">
      <c r="A50" s="2">
        <v>65</v>
      </c>
      <c r="B50">
        <v>9.9798333333333336E-3</v>
      </c>
      <c r="C50">
        <v>1.6664833333333334E-2</v>
      </c>
      <c r="E50" s="2">
        <v>65</v>
      </c>
      <c r="F50">
        <v>-4.6087296126762176</v>
      </c>
      <c r="G50">
        <v>-4.0962593366112854</v>
      </c>
      <c r="I50" s="2">
        <v>65</v>
      </c>
      <c r="J50">
        <v>0.8815523331666667</v>
      </c>
      <c r="K50">
        <v>0.80317961516666669</v>
      </c>
      <c r="M50" s="2">
        <v>65</v>
      </c>
      <c r="N50">
        <v>16.635660453333333</v>
      </c>
      <c r="O50">
        <v>15.289861378333333</v>
      </c>
      <c r="Q50" s="2">
        <v>65</v>
      </c>
      <c r="R50">
        <v>879.4083333333333</v>
      </c>
      <c r="S50">
        <v>1337.0883333333334</v>
      </c>
      <c r="U50">
        <v>67</v>
      </c>
    </row>
    <row r="51" spans="1:21" x14ac:dyDescent="0.3">
      <c r="A51" s="2">
        <v>66</v>
      </c>
      <c r="B51">
        <v>1.0722000000000001E-2</v>
      </c>
      <c r="C51">
        <v>1.7775666666666665E-2</v>
      </c>
      <c r="E51" s="2">
        <v>66</v>
      </c>
      <c r="F51">
        <v>-4.5369511738158144</v>
      </c>
      <c r="G51">
        <v>-4.032456369752361</v>
      </c>
      <c r="I51" s="2">
        <v>66</v>
      </c>
      <c r="J51">
        <v>0.87275812916666673</v>
      </c>
      <c r="K51">
        <v>0.78980872350000009</v>
      </c>
      <c r="M51" s="2">
        <v>66</v>
      </c>
      <c r="N51">
        <v>15.798246098333335</v>
      </c>
      <c r="O51">
        <v>14.540297356666668</v>
      </c>
      <c r="Q51" s="2">
        <v>66</v>
      </c>
      <c r="R51">
        <v>935.36666666666667</v>
      </c>
      <c r="S51">
        <v>1402.1266666666668</v>
      </c>
      <c r="U51">
        <v>68</v>
      </c>
    </row>
    <row r="52" spans="1:21" x14ac:dyDescent="0.3">
      <c r="A52" s="2">
        <v>67</v>
      </c>
      <c r="B52">
        <v>1.1653166666666666E-2</v>
      </c>
      <c r="C52">
        <v>1.8869499999999997E-2</v>
      </c>
      <c r="E52" s="2">
        <v>67</v>
      </c>
      <c r="F52">
        <v>-4.4536322609121646</v>
      </c>
      <c r="G52">
        <v>-3.972564204140737</v>
      </c>
      <c r="I52" s="2">
        <v>67</v>
      </c>
      <c r="J52">
        <v>0.86340441183333327</v>
      </c>
      <c r="K52">
        <v>0.77578750466666657</v>
      </c>
      <c r="M52" s="2">
        <v>67</v>
      </c>
      <c r="N52">
        <v>14.963980906666668</v>
      </c>
      <c r="O52">
        <v>13.794141181666667</v>
      </c>
      <c r="Q52" s="2">
        <v>67</v>
      </c>
      <c r="R52">
        <v>1005.6866666666668</v>
      </c>
      <c r="S52">
        <v>1461.8950000000002</v>
      </c>
      <c r="U52">
        <v>69</v>
      </c>
    </row>
    <row r="53" spans="1:21" x14ac:dyDescent="0.3">
      <c r="A53" s="2">
        <v>68</v>
      </c>
      <c r="B53">
        <v>1.2615833333333335E-2</v>
      </c>
      <c r="C53">
        <v>1.9995333333333334E-2</v>
      </c>
      <c r="E53" s="2">
        <v>68</v>
      </c>
      <c r="F53">
        <v>-4.3743059503118378</v>
      </c>
      <c r="G53">
        <v>-3.9149792623763364</v>
      </c>
      <c r="I53" s="2">
        <v>68</v>
      </c>
      <c r="J53">
        <v>0.85334744866666645</v>
      </c>
      <c r="K53">
        <v>0.76116852700000004</v>
      </c>
      <c r="M53" s="2">
        <v>68</v>
      </c>
      <c r="N53">
        <v>14.134448449999999</v>
      </c>
      <c r="O53">
        <v>13.049582805</v>
      </c>
      <c r="Q53" s="2">
        <v>68</v>
      </c>
      <c r="R53">
        <v>1076.0266666666666</v>
      </c>
      <c r="S53">
        <v>1519.5999999999997</v>
      </c>
      <c r="U53">
        <v>70</v>
      </c>
    </row>
    <row r="54" spans="1:21" x14ac:dyDescent="0.3">
      <c r="A54" s="2">
        <v>69</v>
      </c>
      <c r="B54">
        <v>1.3840666666666668E-2</v>
      </c>
      <c r="C54">
        <v>2.160833333333333E-2</v>
      </c>
      <c r="E54" s="2">
        <v>69</v>
      </c>
      <c r="F54">
        <v>-4.2813656783032981</v>
      </c>
      <c r="G54">
        <v>-3.8368664533621253</v>
      </c>
      <c r="I54" s="2">
        <v>69</v>
      </c>
      <c r="J54">
        <v>0.84258716283333335</v>
      </c>
      <c r="K54">
        <v>0.74597253083333337</v>
      </c>
      <c r="M54" s="2">
        <v>69</v>
      </c>
      <c r="N54">
        <v>13.308584695</v>
      </c>
      <c r="O54">
        <v>12.30539143</v>
      </c>
      <c r="Q54" s="2">
        <v>69</v>
      </c>
      <c r="R54">
        <v>1165.7283333333332</v>
      </c>
      <c r="S54">
        <v>1609.6899999999998</v>
      </c>
      <c r="U54">
        <v>71</v>
      </c>
    </row>
    <row r="55" spans="1:21" x14ac:dyDescent="0.3">
      <c r="A55" s="2">
        <v>70</v>
      </c>
      <c r="B55">
        <v>1.5202E-2</v>
      </c>
      <c r="C55">
        <v>2.3233333333333332E-2</v>
      </c>
      <c r="E55" s="2">
        <v>70</v>
      </c>
      <c r="F55">
        <v>-4.187184212417173</v>
      </c>
      <c r="G55">
        <v>-3.7640129211195945</v>
      </c>
      <c r="I55" s="2">
        <v>70</v>
      </c>
      <c r="J55">
        <v>0.83092998150000008</v>
      </c>
      <c r="K55">
        <v>0.72987568849999995</v>
      </c>
      <c r="M55" s="2">
        <v>70</v>
      </c>
      <c r="N55">
        <v>12.488285839999998</v>
      </c>
      <c r="O55">
        <v>11.565892755</v>
      </c>
      <c r="Q55" s="2">
        <v>70</v>
      </c>
      <c r="R55">
        <v>1262.6866666666667</v>
      </c>
      <c r="S55">
        <v>1693.3783333333333</v>
      </c>
      <c r="U55">
        <v>72</v>
      </c>
    </row>
    <row r="56" spans="1:21" x14ac:dyDescent="0.3">
      <c r="A56" s="2">
        <v>71</v>
      </c>
      <c r="B56">
        <v>1.6760500000000001E-2</v>
      </c>
      <c r="C56">
        <v>2.5381833333333336E-2</v>
      </c>
      <c r="E56" s="2">
        <v>71</v>
      </c>
      <c r="F56">
        <v>-4.0899402490870962</v>
      </c>
      <c r="G56">
        <v>-3.6754342237972737</v>
      </c>
      <c r="I56" s="2">
        <v>71</v>
      </c>
      <c r="J56">
        <v>0.81830326966666667</v>
      </c>
      <c r="K56">
        <v>0.71294194150000001</v>
      </c>
      <c r="M56" s="2">
        <v>71</v>
      </c>
      <c r="N56">
        <v>11.673286568333333</v>
      </c>
      <c r="O56">
        <v>10.828904013333334</v>
      </c>
      <c r="Q56" s="2">
        <v>71</v>
      </c>
      <c r="R56">
        <v>1370.825</v>
      </c>
      <c r="S56">
        <v>1807.1933333333334</v>
      </c>
      <c r="U56">
        <v>73</v>
      </c>
    </row>
    <row r="57" spans="1:21" x14ac:dyDescent="0.3">
      <c r="A57" s="2">
        <v>72</v>
      </c>
      <c r="B57">
        <v>1.8548166666666668E-2</v>
      </c>
      <c r="C57">
        <v>2.7446166666666671E-2</v>
      </c>
      <c r="E57" s="2">
        <v>72</v>
      </c>
      <c r="F57">
        <v>-3.9885820316131397</v>
      </c>
      <c r="G57">
        <v>-3.5973272090941379</v>
      </c>
      <c r="I57" s="2">
        <v>72</v>
      </c>
      <c r="J57">
        <v>0.80459492083333328</v>
      </c>
      <c r="K57">
        <v>0.69487005049999995</v>
      </c>
      <c r="M57" s="2">
        <v>72</v>
      </c>
      <c r="N57">
        <v>10.863680994999998</v>
      </c>
      <c r="O57">
        <v>10.09770309</v>
      </c>
      <c r="Q57" s="2">
        <v>72</v>
      </c>
      <c r="R57">
        <v>1491.59</v>
      </c>
      <c r="S57">
        <v>1904.375</v>
      </c>
      <c r="U57">
        <v>74</v>
      </c>
    </row>
    <row r="58" spans="1:21" x14ac:dyDescent="0.3">
      <c r="A58" s="2">
        <v>73</v>
      </c>
      <c r="B58">
        <v>2.0342166666666665E-2</v>
      </c>
      <c r="C58">
        <v>2.9928666666666669E-2</v>
      </c>
      <c r="E58" s="2">
        <v>73</v>
      </c>
      <c r="F58">
        <v>-3.8954617055636689</v>
      </c>
      <c r="G58">
        <v>-3.5095993810359034</v>
      </c>
      <c r="I58" s="2">
        <v>73</v>
      </c>
      <c r="J58">
        <v>0.7896790423333333</v>
      </c>
      <c r="K58">
        <v>0.67582625799999996</v>
      </c>
      <c r="M58" s="2">
        <v>73</v>
      </c>
      <c r="N58">
        <v>10.059471689833332</v>
      </c>
      <c r="O58">
        <v>9.3683635379999988</v>
      </c>
      <c r="Q58" s="2">
        <v>73</v>
      </c>
      <c r="R58">
        <v>1605.8533333333332</v>
      </c>
      <c r="S58">
        <v>2020.7433333333336</v>
      </c>
      <c r="U58">
        <v>75</v>
      </c>
    </row>
    <row r="59" spans="1:21" x14ac:dyDescent="0.3">
      <c r="A59" s="2">
        <v>74</v>
      </c>
      <c r="B59">
        <v>2.2552666666666665E-2</v>
      </c>
      <c r="C59">
        <v>3.3101333333333337E-2</v>
      </c>
      <c r="E59" s="2">
        <v>74</v>
      </c>
      <c r="F59">
        <v>-3.7936781313403891</v>
      </c>
      <c r="G59">
        <v>-3.4104693431318722</v>
      </c>
      <c r="I59" s="2">
        <v>74</v>
      </c>
      <c r="J59">
        <v>0.77362036483333341</v>
      </c>
      <c r="K59">
        <v>0.65561880733333344</v>
      </c>
      <c r="M59" s="2">
        <v>74</v>
      </c>
      <c r="N59">
        <v>9.2579317068333342</v>
      </c>
      <c r="O59">
        <v>8.6418481779999983</v>
      </c>
      <c r="Q59" s="2">
        <v>74</v>
      </c>
      <c r="R59">
        <v>1743.3500000000001</v>
      </c>
      <c r="S59">
        <v>2165.978333333333</v>
      </c>
      <c r="U59">
        <v>76</v>
      </c>
    </row>
    <row r="60" spans="1:21" x14ac:dyDescent="0.3">
      <c r="A60" s="2">
        <v>75</v>
      </c>
      <c r="B60">
        <v>2.4773166666666669E-2</v>
      </c>
      <c r="C60">
        <v>3.5888999999999997E-2</v>
      </c>
      <c r="E60" s="2">
        <v>75</v>
      </c>
      <c r="F60">
        <v>-3.6987322316153599</v>
      </c>
      <c r="G60">
        <v>-3.3283027062546</v>
      </c>
      <c r="I60" s="2">
        <v>75</v>
      </c>
      <c r="J60">
        <v>0.75618670366666674</v>
      </c>
      <c r="K60">
        <v>0.63395903816666666</v>
      </c>
      <c r="M60" s="2">
        <v>75</v>
      </c>
      <c r="N60">
        <v>8.459918562166667</v>
      </c>
      <c r="O60">
        <v>7.9203521950000004</v>
      </c>
      <c r="Q60" s="2">
        <v>75</v>
      </c>
      <c r="R60">
        <v>1872.2666666666667</v>
      </c>
      <c r="S60">
        <v>2272.1600000000003</v>
      </c>
      <c r="U60">
        <v>77</v>
      </c>
    </row>
    <row r="61" spans="1:21" x14ac:dyDescent="0.3">
      <c r="A61" s="2">
        <v>76</v>
      </c>
      <c r="B61">
        <v>2.7224666666666671E-2</v>
      </c>
      <c r="C61">
        <v>3.9368333333333332E-2</v>
      </c>
      <c r="E61" s="2">
        <v>76</v>
      </c>
      <c r="F61">
        <v>-3.6048475560072375</v>
      </c>
      <c r="G61">
        <v>-3.2365331622787998</v>
      </c>
      <c r="I61" s="2">
        <v>76</v>
      </c>
      <c r="J61">
        <v>0.73746395333333348</v>
      </c>
      <c r="K61">
        <v>0.61123753483333332</v>
      </c>
      <c r="M61" s="2">
        <v>76</v>
      </c>
      <c r="N61">
        <v>7.6620657405000001</v>
      </c>
      <c r="O61">
        <v>7.1964303933333333</v>
      </c>
      <c r="Q61" s="2">
        <v>76</v>
      </c>
      <c r="R61">
        <v>2006.2116666666668</v>
      </c>
      <c r="S61">
        <v>2401.7066666666669</v>
      </c>
      <c r="U61">
        <v>78</v>
      </c>
    </row>
    <row r="62" spans="1:21" x14ac:dyDescent="0.3">
      <c r="A62" s="2">
        <v>77</v>
      </c>
      <c r="B62">
        <v>3.0119666666666666E-2</v>
      </c>
      <c r="C62">
        <v>4.3183666666666669E-2</v>
      </c>
      <c r="E62" s="2">
        <v>77</v>
      </c>
      <c r="F62">
        <v>-3.5034609211081378</v>
      </c>
      <c r="G62">
        <v>-3.143624214823177</v>
      </c>
      <c r="I62" s="2">
        <v>77</v>
      </c>
      <c r="J62">
        <v>0.71740190266666659</v>
      </c>
      <c r="K62">
        <v>0.58722056550000001</v>
      </c>
      <c r="M62" s="2">
        <v>77</v>
      </c>
      <c r="N62">
        <v>6.8624411366666669</v>
      </c>
      <c r="O62">
        <v>6.4706783236666672</v>
      </c>
      <c r="Q62" s="2">
        <v>77</v>
      </c>
      <c r="R62">
        <v>2159.2800000000002</v>
      </c>
      <c r="S62">
        <v>2531.2383333333337</v>
      </c>
      <c r="U62">
        <v>79</v>
      </c>
    </row>
    <row r="63" spans="1:21" x14ac:dyDescent="0.3">
      <c r="A63" s="2">
        <v>78</v>
      </c>
      <c r="B63">
        <v>3.3440499999999998E-2</v>
      </c>
      <c r="C63">
        <v>4.7255500000000006E-2</v>
      </c>
      <c r="E63" s="2">
        <v>78</v>
      </c>
      <c r="F63">
        <v>-3.3992186454943201</v>
      </c>
      <c r="G63">
        <v>-3.0542257900406717</v>
      </c>
      <c r="I63" s="2">
        <v>78</v>
      </c>
      <c r="J63">
        <v>0.69580922499999998</v>
      </c>
      <c r="K63">
        <v>0.56190829016666666</v>
      </c>
      <c r="M63" s="2">
        <v>78</v>
      </c>
      <c r="N63">
        <v>6.0599728186666662</v>
      </c>
      <c r="O63">
        <v>5.7400037450000001</v>
      </c>
      <c r="Q63" s="2">
        <v>78</v>
      </c>
      <c r="R63">
        <v>2324.73</v>
      </c>
      <c r="S63">
        <v>2649</v>
      </c>
      <c r="U63">
        <v>80</v>
      </c>
    </row>
    <row r="64" spans="1:21" x14ac:dyDescent="0.3">
      <c r="A64" s="2">
        <v>79</v>
      </c>
      <c r="B64">
        <v>3.725966666666667E-2</v>
      </c>
      <c r="C64">
        <v>5.2110666666666666E-2</v>
      </c>
      <c r="E64" s="2">
        <v>79</v>
      </c>
      <c r="F64">
        <v>-3.2909747228488553</v>
      </c>
      <c r="G64">
        <v>-2.956033798800576</v>
      </c>
      <c r="I64" s="2">
        <v>79</v>
      </c>
      <c r="J64">
        <v>0.67256204516666662</v>
      </c>
      <c r="K64">
        <v>0.535418332</v>
      </c>
      <c r="M64" s="2">
        <v>79</v>
      </c>
      <c r="N64">
        <v>5.2522770763333329</v>
      </c>
      <c r="O64">
        <v>4.9997493926666667</v>
      </c>
      <c r="Q64" s="2">
        <v>79</v>
      </c>
      <c r="R64">
        <v>2503.6016666666669</v>
      </c>
      <c r="S64">
        <v>2783.6450000000004</v>
      </c>
      <c r="U64">
        <v>81</v>
      </c>
    </row>
    <row r="65" spans="1:21" x14ac:dyDescent="0.3">
      <c r="A65" s="2">
        <v>80</v>
      </c>
      <c r="B65">
        <v>4.1592833333333329E-2</v>
      </c>
      <c r="C65">
        <v>5.7446166666666659E-2</v>
      </c>
      <c r="E65" s="2">
        <v>80</v>
      </c>
      <c r="F65">
        <v>-3.1807774214093372</v>
      </c>
      <c r="G65">
        <v>-2.8582160942430108</v>
      </c>
      <c r="I65" s="2">
        <v>80</v>
      </c>
      <c r="J65">
        <v>0.64752613866666664</v>
      </c>
      <c r="K65">
        <v>0.50758191983333334</v>
      </c>
      <c r="M65" s="2">
        <v>80</v>
      </c>
      <c r="N65">
        <v>4.436152563666667</v>
      </c>
      <c r="O65">
        <v>4.2470114823333338</v>
      </c>
      <c r="Q65" s="2">
        <v>80</v>
      </c>
      <c r="R65">
        <v>2690.7116666666666</v>
      </c>
      <c r="S65">
        <v>2909.4500000000003</v>
      </c>
      <c r="U65">
        <v>82</v>
      </c>
    </row>
    <row r="66" spans="1:21" x14ac:dyDescent="0.3">
      <c r="A66" s="2">
        <v>81</v>
      </c>
      <c r="B66">
        <v>4.6303833333333329E-2</v>
      </c>
      <c r="C66">
        <v>6.3666500000000001E-2</v>
      </c>
      <c r="E66" s="2">
        <v>81</v>
      </c>
      <c r="F66">
        <v>-3.07368784536204</v>
      </c>
      <c r="G66">
        <v>-2.7554311677185233</v>
      </c>
      <c r="I66" s="2">
        <v>81</v>
      </c>
      <c r="J66">
        <v>0.62061897133333332</v>
      </c>
      <c r="K66">
        <v>0.47848741600000005</v>
      </c>
      <c r="M66" s="2">
        <v>81</v>
      </c>
      <c r="N66">
        <v>3.6069407176666672</v>
      </c>
      <c r="O66">
        <v>3.4753026158333338</v>
      </c>
      <c r="Q66" s="2">
        <v>81</v>
      </c>
      <c r="R66">
        <v>2870.4533333333334</v>
      </c>
      <c r="S66">
        <v>3039.4683333333328</v>
      </c>
      <c r="U66">
        <v>83</v>
      </c>
    </row>
    <row r="67" spans="1:21" x14ac:dyDescent="0.3">
      <c r="A67" s="2">
        <v>82</v>
      </c>
      <c r="B67">
        <v>5.2160333333333329E-2</v>
      </c>
      <c r="C67">
        <v>7.0405333333333334E-2</v>
      </c>
      <c r="E67" s="2">
        <v>82</v>
      </c>
      <c r="F67">
        <v>-2.9543806580568268</v>
      </c>
      <c r="G67">
        <v>-2.6545434602433646</v>
      </c>
      <c r="I67" s="2">
        <v>82</v>
      </c>
      <c r="J67">
        <v>0.59191441766666675</v>
      </c>
      <c r="K67">
        <v>0.4480927395</v>
      </c>
      <c r="M67" s="2">
        <v>82</v>
      </c>
      <c r="N67">
        <v>2.7577643164999999</v>
      </c>
      <c r="O67">
        <v>2.6775552321666667</v>
      </c>
      <c r="Q67" s="2">
        <v>82</v>
      </c>
      <c r="R67">
        <v>3084.0033333333336</v>
      </c>
      <c r="S67">
        <v>3147.7316666666666</v>
      </c>
      <c r="U67">
        <v>84</v>
      </c>
    </row>
    <row r="68" spans="1:21" x14ac:dyDescent="0.3">
      <c r="A68" s="2">
        <v>83</v>
      </c>
      <c r="B68">
        <v>5.8236833333333328E-2</v>
      </c>
      <c r="C68">
        <v>7.8240000000000018E-2</v>
      </c>
      <c r="E68" s="2">
        <v>83</v>
      </c>
      <c r="F68">
        <v>-2.8441876100060495</v>
      </c>
      <c r="G68">
        <v>-2.5494606396790966</v>
      </c>
      <c r="I68" s="2">
        <v>83</v>
      </c>
      <c r="J68">
        <v>0.56107444650000005</v>
      </c>
      <c r="K68">
        <v>0.416615397</v>
      </c>
      <c r="M68" s="2">
        <v>83</v>
      </c>
      <c r="N68">
        <v>1.8819981929999996</v>
      </c>
      <c r="O68">
        <v>1.8424487771666669</v>
      </c>
      <c r="Q68" s="2">
        <v>83</v>
      </c>
      <c r="R68">
        <v>3263.5583333333329</v>
      </c>
      <c r="S68">
        <v>3250.4233333333327</v>
      </c>
    </row>
    <row r="69" spans="1:21" x14ac:dyDescent="0.3">
      <c r="A69" s="2">
        <v>84</v>
      </c>
      <c r="B69">
        <v>6.5091833333333335E-2</v>
      </c>
      <c r="C69">
        <v>8.722566666666666E-2</v>
      </c>
      <c r="E69" s="2">
        <v>84</v>
      </c>
      <c r="F69">
        <v>-2.7330890586156342</v>
      </c>
      <c r="G69">
        <v>-2.4404718983805735</v>
      </c>
      <c r="I69" s="2">
        <v>84</v>
      </c>
      <c r="J69">
        <v>0.52843887016666669</v>
      </c>
      <c r="K69">
        <v>0.38411113449999995</v>
      </c>
      <c r="M69" s="2">
        <v>84</v>
      </c>
      <c r="N69">
        <v>0.96745408333333327</v>
      </c>
      <c r="O69">
        <v>0.95638716666666657</v>
      </c>
      <c r="Q69" s="2">
        <v>84</v>
      </c>
      <c r="R69">
        <v>3434.7249999999999</v>
      </c>
      <c r="S69">
        <v>3341.1433333333339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0FCE0-F96B-4606-A8DD-41A0EA9B770A}">
  <dimension ref="A1"/>
  <sheetViews>
    <sheetView workbookViewId="0">
      <selection activeCell="V13" sqref="V13"/>
    </sheetView>
  </sheetViews>
  <sheetFormatPr defaultRowHeight="14.4" x14ac:dyDescent="0.3"/>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57BA3-08EB-4A03-9FE1-50FB64DED56C}">
  <dimension ref="I2:AD9"/>
  <sheetViews>
    <sheetView showGridLines="0" topLeftCell="A5" zoomScaleNormal="100" workbookViewId="0">
      <selection activeCell="I9" sqref="I9"/>
    </sheetView>
  </sheetViews>
  <sheetFormatPr defaultRowHeight="14.4" x14ac:dyDescent="0.3"/>
  <cols>
    <col min="9" max="9" width="12.6640625" bestFit="1" customWidth="1"/>
  </cols>
  <sheetData>
    <row r="2" spans="9:30" ht="15.6" x14ac:dyDescent="0.3">
      <c r="AA2" s="4" t="str">
        <f>"Female Life Expectancy at Age " &amp; I9</f>
        <v>Female Life Expectancy at Age 20</v>
      </c>
      <c r="AB2" s="4" t="str">
        <f>"Male Life Expectancy at Age " &amp; I9</f>
        <v>Male Life Expectancy at Age 20</v>
      </c>
      <c r="AC2" s="4" t="str">
        <f>"Female Survival at Age " &amp; I9</f>
        <v>Female Survival at Age 20</v>
      </c>
      <c r="AD2" s="4" t="str">
        <f>"Male Survival at Age " &amp; I9</f>
        <v>Male Survival at Age 20</v>
      </c>
    </row>
    <row r="3" spans="9:30" x14ac:dyDescent="0.3">
      <c r="AA3" t="str">
        <f>TEXT(_xlfn.XLOOKUP($I$9,Analysis!$M$5:$M$69,Analysis!$N$5:$N$69),"0.00")&amp;" yrs"</f>
        <v>58.22 yrs</v>
      </c>
      <c r="AB3" t="str">
        <f>TEXT(_xlfn.XLOOKUP($I$9,Analysis!$M$5:$M$69,Analysis!$O$5:$O$69),"0.00")&amp;" yrs"</f>
        <v>54.62 yrs</v>
      </c>
      <c r="AC3" s="3" t="str">
        <f>TEXT(_xlfn.XLOOKUP($I$9,Analysis!$I$5:$I$69,Analysis!$J$5:$J$69),"0.00%")</f>
        <v>100.00%</v>
      </c>
      <c r="AD3" t="str">
        <f>TEXT(_xlfn.XLOOKUP($I$9,Analysis!$I$5:$I$69,Analysis!$K$5:$K$69),"0.00%")</f>
        <v>100.00%</v>
      </c>
    </row>
    <row r="7" spans="9:30" ht="15" thickBot="1" x14ac:dyDescent="0.35"/>
    <row r="8" spans="9:30" ht="15.6" x14ac:dyDescent="0.3">
      <c r="I8" s="5" t="s">
        <v>23</v>
      </c>
    </row>
    <row r="9" spans="9:30" ht="16.2" thickBot="1" x14ac:dyDescent="0.35">
      <c r="I9" s="6">
        <v>20</v>
      </c>
    </row>
  </sheetData>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8C70F667-DA9F-4E54-9AA4-8C8EE98D8385}">
          <x14:formula1>
            <xm:f>Analysis!$U$3:$U$67</xm:f>
          </x14:formula1>
          <xm:sqref>I9</xm:sqref>
        </x14:dataValidation>
      </x14:dataValidations>
    </ex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3E397E-A003-4358-9A73-357D51C4058A}">
  <dimension ref="A1:W136"/>
  <sheetViews>
    <sheetView topLeftCell="A130" zoomScaleNormal="100" workbookViewId="0">
      <selection activeCell="R154" sqref="R154"/>
    </sheetView>
  </sheetViews>
  <sheetFormatPr defaultRowHeight="14.4" x14ac:dyDescent="0.3"/>
  <cols>
    <col min="1" max="1" width="18.5546875" bestFit="1" customWidth="1"/>
    <col min="2" max="7" width="9" bestFit="1" customWidth="1"/>
    <col min="8" max="8" width="12" bestFit="1" customWidth="1"/>
    <col min="9" max="9" width="18.5546875" bestFit="1" customWidth="1"/>
    <col min="10" max="15" width="9" bestFit="1" customWidth="1"/>
    <col min="17" max="17" width="18.5546875" bestFit="1" customWidth="1"/>
    <col min="18" max="23" width="9" bestFit="1" customWidth="1"/>
  </cols>
  <sheetData>
    <row r="1" spans="1:23" x14ac:dyDescent="0.3">
      <c r="A1" s="1" t="s">
        <v>2</v>
      </c>
      <c r="B1" t="s">
        <v>13</v>
      </c>
      <c r="I1" s="1" t="s">
        <v>2</v>
      </c>
      <c r="J1" t="s">
        <v>12</v>
      </c>
      <c r="Q1" s="1" t="s">
        <v>2</v>
      </c>
      <c r="R1" t="s">
        <v>11</v>
      </c>
    </row>
    <row r="3" spans="1:23" x14ac:dyDescent="0.3">
      <c r="A3" s="1" t="s">
        <v>46</v>
      </c>
      <c r="B3" s="1" t="s">
        <v>0</v>
      </c>
      <c r="I3" s="1" t="s">
        <v>46</v>
      </c>
      <c r="J3" s="1" t="s">
        <v>0</v>
      </c>
      <c r="Q3" s="1" t="s">
        <v>47</v>
      </c>
      <c r="R3" s="1" t="s">
        <v>0</v>
      </c>
    </row>
    <row r="4" spans="1:23" x14ac:dyDescent="0.3">
      <c r="A4" s="1" t="s">
        <v>16</v>
      </c>
      <c r="B4">
        <v>2015</v>
      </c>
      <c r="C4">
        <v>2016</v>
      </c>
      <c r="D4">
        <v>2017</v>
      </c>
      <c r="E4">
        <v>2018</v>
      </c>
      <c r="F4">
        <v>2019</v>
      </c>
      <c r="G4">
        <v>2020</v>
      </c>
      <c r="I4" s="1" t="s">
        <v>16</v>
      </c>
      <c r="J4">
        <v>2015</v>
      </c>
      <c r="K4">
        <v>2016</v>
      </c>
      <c r="L4">
        <v>2017</v>
      </c>
      <c r="M4">
        <v>2018</v>
      </c>
      <c r="N4">
        <v>2019</v>
      </c>
      <c r="O4">
        <v>2020</v>
      </c>
      <c r="Q4" s="1" t="s">
        <v>16</v>
      </c>
      <c r="R4">
        <v>2015</v>
      </c>
      <c r="S4">
        <v>2016</v>
      </c>
      <c r="T4">
        <v>2017</v>
      </c>
      <c r="U4">
        <v>2018</v>
      </c>
      <c r="V4">
        <v>2019</v>
      </c>
      <c r="W4">
        <v>2020</v>
      </c>
    </row>
    <row r="5" spans="1:23" x14ac:dyDescent="0.3">
      <c r="A5" s="2">
        <v>20</v>
      </c>
      <c r="B5">
        <v>7.7099999999999998E-4</v>
      </c>
      <c r="C5">
        <v>8.1700000000000002E-4</v>
      </c>
      <c r="D5">
        <v>8.2700000000000004E-4</v>
      </c>
      <c r="E5">
        <v>7.6599999999999997E-4</v>
      </c>
      <c r="F5">
        <v>7.76E-4</v>
      </c>
      <c r="G5">
        <v>9.1699999999999995E-4</v>
      </c>
      <c r="I5" s="2">
        <v>20</v>
      </c>
      <c r="J5">
        <v>1.116E-3</v>
      </c>
      <c r="K5">
        <v>1.1839999999999999E-3</v>
      </c>
      <c r="L5">
        <v>1.204E-3</v>
      </c>
      <c r="M5">
        <v>1.09E-3</v>
      </c>
      <c r="N5">
        <v>1.1230000000000001E-3</v>
      </c>
      <c r="O5">
        <v>1.3550000000000001E-3</v>
      </c>
      <c r="Q5" s="2">
        <v>20</v>
      </c>
      <c r="R5">
        <v>4.08E-4</v>
      </c>
      <c r="S5">
        <v>4.3100000000000001E-4</v>
      </c>
      <c r="T5">
        <v>4.3300000000000001E-4</v>
      </c>
      <c r="U5">
        <v>4.26E-4</v>
      </c>
      <c r="V5">
        <v>4.1300000000000001E-4</v>
      </c>
      <c r="W5">
        <v>4.5899999999999999E-4</v>
      </c>
    </row>
    <row r="6" spans="1:23" x14ac:dyDescent="0.3">
      <c r="A6" s="2">
        <v>21</v>
      </c>
      <c r="B6">
        <v>8.6300000000000005E-4</v>
      </c>
      <c r="C6">
        <v>9.5299999999999996E-4</v>
      </c>
      <c r="D6">
        <v>9.01E-4</v>
      </c>
      <c r="E6">
        <v>8.6700000000000004E-4</v>
      </c>
      <c r="F6">
        <v>8.9300000000000002E-4</v>
      </c>
      <c r="G6">
        <v>1.0679999999999999E-3</v>
      </c>
      <c r="I6" s="2">
        <v>21</v>
      </c>
      <c r="J6">
        <v>1.245E-3</v>
      </c>
      <c r="K6">
        <v>1.3979999999999999E-3</v>
      </c>
      <c r="L6">
        <v>1.294E-3</v>
      </c>
      <c r="M6">
        <v>1.2650000000000001E-3</v>
      </c>
      <c r="N6">
        <v>1.3129999999999999E-3</v>
      </c>
      <c r="O6">
        <v>1.5590000000000001E-3</v>
      </c>
      <c r="Q6" s="2">
        <v>21</v>
      </c>
      <c r="R6">
        <v>4.5800000000000002E-4</v>
      </c>
      <c r="S6">
        <v>4.84E-4</v>
      </c>
      <c r="T6">
        <v>4.8899999999999996E-4</v>
      </c>
      <c r="U6">
        <v>4.5100000000000001E-4</v>
      </c>
      <c r="V6">
        <v>4.5399999999999998E-4</v>
      </c>
      <c r="W6">
        <v>5.5500000000000005E-4</v>
      </c>
    </row>
    <row r="7" spans="1:23" x14ac:dyDescent="0.3">
      <c r="A7" s="2">
        <v>22</v>
      </c>
      <c r="B7">
        <v>9.1699999999999995E-4</v>
      </c>
      <c r="C7">
        <v>9.7799999999999992E-4</v>
      </c>
      <c r="D7">
        <v>9.5100000000000002E-4</v>
      </c>
      <c r="E7">
        <v>9.1399999999999999E-4</v>
      </c>
      <c r="F7">
        <v>9.0300000000000005E-4</v>
      </c>
      <c r="G7">
        <v>1.091E-3</v>
      </c>
      <c r="I7" s="2">
        <v>22</v>
      </c>
      <c r="J7">
        <v>1.3439999999999999E-3</v>
      </c>
      <c r="K7">
        <v>1.423E-3</v>
      </c>
      <c r="L7">
        <v>1.372E-3</v>
      </c>
      <c r="M7">
        <v>1.3290000000000001E-3</v>
      </c>
      <c r="N7">
        <v>1.325E-3</v>
      </c>
      <c r="O7">
        <v>1.604E-3</v>
      </c>
      <c r="Q7" s="2">
        <v>22</v>
      </c>
      <c r="R7">
        <v>4.6500000000000003E-4</v>
      </c>
      <c r="S7">
        <v>5.0799999999999999E-4</v>
      </c>
      <c r="T7">
        <v>5.0500000000000002E-4</v>
      </c>
      <c r="U7">
        <v>4.7800000000000002E-4</v>
      </c>
      <c r="V7">
        <v>4.6299999999999998E-4</v>
      </c>
      <c r="W7">
        <v>5.5599999999999996E-4</v>
      </c>
    </row>
    <row r="8" spans="1:23" x14ac:dyDescent="0.3">
      <c r="A8" s="2">
        <v>23</v>
      </c>
      <c r="B8">
        <v>9.3300000000000002E-4</v>
      </c>
      <c r="C8">
        <v>1.0369999999999999E-3</v>
      </c>
      <c r="D8">
        <v>1.0169999999999999E-3</v>
      </c>
      <c r="E8">
        <v>9.5799999999999998E-4</v>
      </c>
      <c r="F8">
        <v>9.5500000000000001E-4</v>
      </c>
      <c r="G8">
        <v>1.1659999999999999E-3</v>
      </c>
      <c r="I8" s="2">
        <v>23</v>
      </c>
      <c r="J8">
        <v>1.361E-3</v>
      </c>
      <c r="K8">
        <v>1.5039999999999999E-3</v>
      </c>
      <c r="L8">
        <v>1.4610000000000001E-3</v>
      </c>
      <c r="M8">
        <v>1.3799999999999999E-3</v>
      </c>
      <c r="N8">
        <v>1.341E-3</v>
      </c>
      <c r="O8">
        <v>1.678E-3</v>
      </c>
      <c r="Q8" s="2">
        <v>23</v>
      </c>
      <c r="R8">
        <v>4.8000000000000001E-4</v>
      </c>
      <c r="S8">
        <v>5.4199999999999995E-4</v>
      </c>
      <c r="T8">
        <v>5.5000000000000003E-4</v>
      </c>
      <c r="U8">
        <v>5.13E-4</v>
      </c>
      <c r="V8">
        <v>5.5099999999999995E-4</v>
      </c>
      <c r="W8">
        <v>6.3299999999999999E-4</v>
      </c>
    </row>
    <row r="9" spans="1:23" x14ac:dyDescent="0.3">
      <c r="A9" s="2">
        <v>24</v>
      </c>
      <c r="B9">
        <v>9.7199999999999999E-4</v>
      </c>
      <c r="C9">
        <v>1.0640000000000001E-3</v>
      </c>
      <c r="D9">
        <v>1.0709999999999999E-3</v>
      </c>
      <c r="E9">
        <v>1.008E-3</v>
      </c>
      <c r="F9">
        <v>9.7900000000000005E-4</v>
      </c>
      <c r="G9">
        <v>1.207E-3</v>
      </c>
      <c r="I9" s="2">
        <v>24</v>
      </c>
      <c r="J9">
        <v>1.4159999999999999E-3</v>
      </c>
      <c r="K9">
        <v>1.5640000000000001E-3</v>
      </c>
      <c r="L9">
        <v>1.549E-3</v>
      </c>
      <c r="M9">
        <v>1.4530000000000001E-3</v>
      </c>
      <c r="N9">
        <v>1.395E-3</v>
      </c>
      <c r="O9">
        <v>1.75E-3</v>
      </c>
      <c r="Q9" s="2">
        <v>24</v>
      </c>
      <c r="R9">
        <v>5.0900000000000001E-4</v>
      </c>
      <c r="S9">
        <v>5.3799999999999996E-4</v>
      </c>
      <c r="T9">
        <v>5.6499999999999996E-4</v>
      </c>
      <c r="U9">
        <v>5.3899999999999998E-4</v>
      </c>
      <c r="V9">
        <v>5.4199999999999995E-4</v>
      </c>
      <c r="W9">
        <v>6.3900000000000003E-4</v>
      </c>
    </row>
    <row r="10" spans="1:23" x14ac:dyDescent="0.3">
      <c r="A10" s="2">
        <v>25</v>
      </c>
      <c r="B10">
        <v>1.0059999999999999E-3</v>
      </c>
      <c r="C10">
        <v>1.114E-3</v>
      </c>
      <c r="D10">
        <v>1.1180000000000001E-3</v>
      </c>
      <c r="E10">
        <v>1.052E-3</v>
      </c>
      <c r="F10">
        <v>1.047E-3</v>
      </c>
      <c r="G10">
        <v>1.279E-3</v>
      </c>
      <c r="I10" s="2">
        <v>25</v>
      </c>
      <c r="J10">
        <v>1.4419999999999999E-3</v>
      </c>
      <c r="K10">
        <v>1.6180000000000001E-3</v>
      </c>
      <c r="L10">
        <v>1.596E-3</v>
      </c>
      <c r="M10">
        <v>1.4989999999999999E-3</v>
      </c>
      <c r="N10">
        <v>1.4970000000000001E-3</v>
      </c>
      <c r="O10">
        <v>1.8140000000000001E-3</v>
      </c>
      <c r="Q10" s="2">
        <v>25</v>
      </c>
      <c r="R10">
        <v>5.53E-4</v>
      </c>
      <c r="S10">
        <v>5.9100000000000005E-4</v>
      </c>
      <c r="T10">
        <v>6.1600000000000001E-4</v>
      </c>
      <c r="U10">
        <v>5.7899999999999998E-4</v>
      </c>
      <c r="V10">
        <v>5.7399999999999997E-4</v>
      </c>
      <c r="W10">
        <v>7.18E-4</v>
      </c>
    </row>
    <row r="11" spans="1:23" x14ac:dyDescent="0.3">
      <c r="A11" s="2">
        <v>26</v>
      </c>
      <c r="B11">
        <v>1.003E-3</v>
      </c>
      <c r="C11">
        <v>1.111E-3</v>
      </c>
      <c r="D11">
        <v>1.15E-3</v>
      </c>
      <c r="E11">
        <v>1.106E-3</v>
      </c>
      <c r="F11">
        <v>1.103E-3</v>
      </c>
      <c r="G11">
        <v>1.3090000000000001E-3</v>
      </c>
      <c r="I11" s="2">
        <v>26</v>
      </c>
      <c r="J11">
        <v>1.426E-3</v>
      </c>
      <c r="K11">
        <v>1.573E-3</v>
      </c>
      <c r="L11">
        <v>1.678E-3</v>
      </c>
      <c r="M11">
        <v>1.5579999999999999E-3</v>
      </c>
      <c r="N11">
        <v>1.562E-3</v>
      </c>
      <c r="O11">
        <v>1.8649999999999999E-3</v>
      </c>
      <c r="Q11" s="2">
        <v>26</v>
      </c>
      <c r="R11">
        <v>5.6400000000000005E-4</v>
      </c>
      <c r="S11">
        <v>6.3299999999999999E-4</v>
      </c>
      <c r="T11">
        <v>6.0099999999999997E-4</v>
      </c>
      <c r="U11">
        <v>6.3199999999999997E-4</v>
      </c>
      <c r="V11">
        <v>6.1899999999999998E-4</v>
      </c>
      <c r="W11">
        <v>7.2499999999999995E-4</v>
      </c>
    </row>
    <row r="12" spans="1:23" x14ac:dyDescent="0.3">
      <c r="A12" s="2">
        <v>27</v>
      </c>
      <c r="B12">
        <v>1.067E-3</v>
      </c>
      <c r="C12">
        <v>1.1980000000000001E-3</v>
      </c>
      <c r="D12">
        <v>1.2149999999999999E-3</v>
      </c>
      <c r="E12">
        <v>1.1839999999999999E-3</v>
      </c>
      <c r="F12">
        <v>1.137E-3</v>
      </c>
      <c r="G12">
        <v>1.4109999999999999E-3</v>
      </c>
      <c r="I12" s="2">
        <v>27</v>
      </c>
      <c r="J12">
        <v>1.513E-3</v>
      </c>
      <c r="K12">
        <v>1.696E-3</v>
      </c>
      <c r="L12">
        <v>1.7049999999999999E-3</v>
      </c>
      <c r="M12">
        <v>1.6789999999999999E-3</v>
      </c>
      <c r="N12">
        <v>1.596E-3</v>
      </c>
      <c r="O12">
        <v>1.9870000000000001E-3</v>
      </c>
      <c r="Q12" s="2">
        <v>27</v>
      </c>
      <c r="R12">
        <v>6.0700000000000001E-4</v>
      </c>
      <c r="S12">
        <v>6.8499999999999995E-4</v>
      </c>
      <c r="T12">
        <v>7.0799999999999997E-4</v>
      </c>
      <c r="U12">
        <v>6.7000000000000002E-4</v>
      </c>
      <c r="V12">
        <v>6.5700000000000003E-4</v>
      </c>
      <c r="W12">
        <v>8.0599999999999997E-4</v>
      </c>
    </row>
    <row r="13" spans="1:23" x14ac:dyDescent="0.3">
      <c r="A13" s="2">
        <v>28</v>
      </c>
      <c r="B13">
        <v>1.088E-3</v>
      </c>
      <c r="C13">
        <v>1.2570000000000001E-3</v>
      </c>
      <c r="D13">
        <v>1.2869999999999999E-3</v>
      </c>
      <c r="E13">
        <v>1.214E-3</v>
      </c>
      <c r="F13">
        <v>1.1950000000000001E-3</v>
      </c>
      <c r="G13">
        <v>1.467E-3</v>
      </c>
      <c r="I13" s="2">
        <v>28</v>
      </c>
      <c r="J13">
        <v>1.519E-3</v>
      </c>
      <c r="K13">
        <v>1.7849999999999999E-3</v>
      </c>
      <c r="L13">
        <v>1.786E-3</v>
      </c>
      <c r="M13">
        <v>1.6980000000000001E-3</v>
      </c>
      <c r="N13">
        <v>1.684E-3</v>
      </c>
      <c r="O13">
        <v>2.0669999999999998E-3</v>
      </c>
      <c r="Q13" s="2">
        <v>28</v>
      </c>
      <c r="R13">
        <v>6.4499999999999996E-4</v>
      </c>
      <c r="S13">
        <v>7.1299999999999998E-4</v>
      </c>
      <c r="T13">
        <v>7.7200000000000001E-4</v>
      </c>
      <c r="U13">
        <v>7.1400000000000001E-4</v>
      </c>
      <c r="V13">
        <v>6.8800000000000003E-4</v>
      </c>
      <c r="W13">
        <v>8.4000000000000003E-4</v>
      </c>
    </row>
    <row r="14" spans="1:23" x14ac:dyDescent="0.3">
      <c r="A14" s="2">
        <v>29</v>
      </c>
      <c r="B14">
        <v>1.163E-3</v>
      </c>
      <c r="C14">
        <v>1.2390000000000001E-3</v>
      </c>
      <c r="D14">
        <v>1.286E-3</v>
      </c>
      <c r="E14">
        <v>1.271E-3</v>
      </c>
      <c r="F14">
        <v>1.2470000000000001E-3</v>
      </c>
      <c r="G14">
        <v>1.5560000000000001E-3</v>
      </c>
      <c r="I14" s="2">
        <v>29</v>
      </c>
      <c r="J14">
        <v>1.634E-3</v>
      </c>
      <c r="K14">
        <v>1.7279999999999999E-3</v>
      </c>
      <c r="L14">
        <v>1.807E-3</v>
      </c>
      <c r="M14">
        <v>1.7309999999999999E-3</v>
      </c>
      <c r="N14">
        <v>1.751E-3</v>
      </c>
      <c r="O14">
        <v>2.1670000000000001E-3</v>
      </c>
      <c r="Q14" s="2">
        <v>29</v>
      </c>
      <c r="R14">
        <v>6.7900000000000002E-4</v>
      </c>
      <c r="S14">
        <v>7.36E-4</v>
      </c>
      <c r="T14">
        <v>7.4899999999999999E-4</v>
      </c>
      <c r="U14">
        <v>7.9600000000000005E-4</v>
      </c>
      <c r="V14">
        <v>7.2599999999999997E-4</v>
      </c>
      <c r="W14">
        <v>9.2400000000000002E-4</v>
      </c>
    </row>
    <row r="15" spans="1:23" x14ac:dyDescent="0.3">
      <c r="A15" s="2">
        <v>30</v>
      </c>
      <c r="B15">
        <v>1.1559999999999999E-3</v>
      </c>
      <c r="C15">
        <v>1.294E-3</v>
      </c>
      <c r="D15">
        <v>1.3190000000000001E-3</v>
      </c>
      <c r="E15">
        <v>1.3550000000000001E-3</v>
      </c>
      <c r="F15">
        <v>1.34E-3</v>
      </c>
      <c r="G15">
        <v>1.64E-3</v>
      </c>
      <c r="I15" s="2">
        <v>30</v>
      </c>
      <c r="J15">
        <v>1.5709999999999999E-3</v>
      </c>
      <c r="K15">
        <v>1.7799999999999999E-3</v>
      </c>
      <c r="L15">
        <v>1.8029999999999999E-3</v>
      </c>
      <c r="M15">
        <v>1.8389999999999999E-3</v>
      </c>
      <c r="N15">
        <v>1.8370000000000001E-3</v>
      </c>
      <c r="O15">
        <v>2.2769999999999999E-3</v>
      </c>
      <c r="Q15" s="2">
        <v>30</v>
      </c>
      <c r="R15">
        <v>7.3200000000000001E-4</v>
      </c>
      <c r="S15">
        <v>7.9600000000000005E-4</v>
      </c>
      <c r="T15">
        <v>8.2100000000000001E-4</v>
      </c>
      <c r="U15">
        <v>8.5700000000000001E-4</v>
      </c>
      <c r="V15">
        <v>8.2799999999999996E-4</v>
      </c>
      <c r="W15">
        <v>9.8400000000000007E-4</v>
      </c>
    </row>
    <row r="16" spans="1:23" x14ac:dyDescent="0.3">
      <c r="A16" s="2">
        <v>31</v>
      </c>
      <c r="B16">
        <v>1.219E-3</v>
      </c>
      <c r="C16">
        <v>1.338E-3</v>
      </c>
      <c r="D16">
        <v>1.392E-3</v>
      </c>
      <c r="E16">
        <v>1.348E-3</v>
      </c>
      <c r="F16">
        <v>1.3829999999999999E-3</v>
      </c>
      <c r="G16">
        <v>1.717E-3</v>
      </c>
      <c r="I16" s="2">
        <v>31</v>
      </c>
      <c r="J16">
        <v>1.6609999999999999E-3</v>
      </c>
      <c r="K16">
        <v>1.7960000000000001E-3</v>
      </c>
      <c r="L16">
        <v>1.8929999999999999E-3</v>
      </c>
      <c r="M16">
        <v>1.825E-3</v>
      </c>
      <c r="N16">
        <v>1.877E-3</v>
      </c>
      <c r="O16">
        <v>2.4030000000000002E-3</v>
      </c>
      <c r="Q16" s="2">
        <v>31</v>
      </c>
      <c r="R16">
        <v>7.7200000000000001E-4</v>
      </c>
      <c r="S16">
        <v>8.7100000000000003E-4</v>
      </c>
      <c r="T16">
        <v>8.7699999999999996E-4</v>
      </c>
      <c r="U16">
        <v>8.5800000000000004E-4</v>
      </c>
      <c r="V16">
        <v>8.7500000000000002E-4</v>
      </c>
      <c r="W16">
        <v>1.011E-3</v>
      </c>
    </row>
    <row r="17" spans="1:23" x14ac:dyDescent="0.3">
      <c r="A17" s="2">
        <v>32</v>
      </c>
      <c r="B17">
        <v>1.286E-3</v>
      </c>
      <c r="C17">
        <v>1.4300000000000001E-3</v>
      </c>
      <c r="D17">
        <v>1.4499999999999999E-3</v>
      </c>
      <c r="E17">
        <v>1.421E-3</v>
      </c>
      <c r="F17">
        <v>1.4159999999999999E-3</v>
      </c>
      <c r="G17">
        <v>1.7830000000000001E-3</v>
      </c>
      <c r="I17" s="2">
        <v>32</v>
      </c>
      <c r="J17">
        <v>1.714E-3</v>
      </c>
      <c r="K17">
        <v>1.9250000000000001E-3</v>
      </c>
      <c r="L17">
        <v>1.9710000000000001E-3</v>
      </c>
      <c r="M17">
        <v>1.8860000000000001E-3</v>
      </c>
      <c r="N17">
        <v>1.9059999999999999E-3</v>
      </c>
      <c r="O17">
        <v>2.415E-3</v>
      </c>
      <c r="Q17" s="2">
        <v>32</v>
      </c>
      <c r="R17">
        <v>8.5499999999999997E-4</v>
      </c>
      <c r="S17">
        <v>9.2900000000000003E-4</v>
      </c>
      <c r="T17">
        <v>9.2000000000000003E-4</v>
      </c>
      <c r="U17">
        <v>9.4300000000000004E-4</v>
      </c>
      <c r="V17">
        <v>9.1399999999999999E-4</v>
      </c>
      <c r="W17">
        <v>1.134E-3</v>
      </c>
    </row>
    <row r="18" spans="1:23" x14ac:dyDescent="0.3">
      <c r="A18" s="2">
        <v>33</v>
      </c>
      <c r="B18">
        <v>1.3259999999999999E-3</v>
      </c>
      <c r="C18">
        <v>1.436E-3</v>
      </c>
      <c r="D18">
        <v>1.5349999999999999E-3</v>
      </c>
      <c r="E18">
        <v>1.4519999999999999E-3</v>
      </c>
      <c r="F18">
        <v>1.508E-3</v>
      </c>
      <c r="G18">
        <v>1.8829999999999999E-3</v>
      </c>
      <c r="I18" s="2">
        <v>33</v>
      </c>
      <c r="J18">
        <v>1.761E-3</v>
      </c>
      <c r="K18">
        <v>1.934E-3</v>
      </c>
      <c r="L18">
        <v>2.0539999999999998E-3</v>
      </c>
      <c r="M18">
        <v>1.926E-3</v>
      </c>
      <c r="N18">
        <v>1.9659999999999999E-3</v>
      </c>
      <c r="O18">
        <v>2.5360000000000001E-3</v>
      </c>
      <c r="Q18" s="2">
        <v>33</v>
      </c>
      <c r="R18">
        <v>8.8900000000000003E-4</v>
      </c>
      <c r="S18">
        <v>9.3400000000000004E-4</v>
      </c>
      <c r="T18">
        <v>1.011E-3</v>
      </c>
      <c r="U18">
        <v>9.6900000000000003E-4</v>
      </c>
      <c r="V18">
        <v>1.0380000000000001E-3</v>
      </c>
      <c r="W18">
        <v>1.212E-3</v>
      </c>
    </row>
    <row r="19" spans="1:23" x14ac:dyDescent="0.3">
      <c r="A19" s="2">
        <v>34</v>
      </c>
      <c r="B19">
        <v>1.3860000000000001E-3</v>
      </c>
      <c r="C19">
        <v>1.519E-3</v>
      </c>
      <c r="D19">
        <v>1.5740000000000001E-3</v>
      </c>
      <c r="E19">
        <v>1.516E-3</v>
      </c>
      <c r="F19">
        <v>1.537E-3</v>
      </c>
      <c r="G19">
        <v>1.9239999999999999E-3</v>
      </c>
      <c r="I19" s="2">
        <v>34</v>
      </c>
      <c r="J19">
        <v>1.8420000000000001E-3</v>
      </c>
      <c r="K19">
        <v>2.0279999999999999E-3</v>
      </c>
      <c r="L19">
        <v>2.098E-3</v>
      </c>
      <c r="M19">
        <v>2.0149999999999999E-3</v>
      </c>
      <c r="N19">
        <v>2.0660000000000001E-3</v>
      </c>
      <c r="O19">
        <v>2.6069999999999999E-3</v>
      </c>
      <c r="Q19" s="2">
        <v>34</v>
      </c>
      <c r="R19">
        <v>9.3000000000000005E-4</v>
      </c>
      <c r="S19">
        <v>1.0089999999999999E-3</v>
      </c>
      <c r="T19">
        <v>1.047E-3</v>
      </c>
      <c r="U19">
        <v>1.0120000000000001E-3</v>
      </c>
      <c r="V19">
        <v>9.990000000000001E-4</v>
      </c>
      <c r="W19">
        <v>1.225E-3</v>
      </c>
    </row>
    <row r="20" spans="1:23" x14ac:dyDescent="0.3">
      <c r="A20" s="2">
        <v>35</v>
      </c>
      <c r="B20">
        <v>1.3910000000000001E-3</v>
      </c>
      <c r="C20">
        <v>1.5809999999999999E-3</v>
      </c>
      <c r="D20">
        <v>1.614E-3</v>
      </c>
      <c r="E20">
        <v>1.6199999999999999E-3</v>
      </c>
      <c r="F20">
        <v>1.621E-3</v>
      </c>
      <c r="G20">
        <v>1.967E-3</v>
      </c>
      <c r="I20" s="2">
        <v>35</v>
      </c>
      <c r="J20">
        <v>1.8309999999999999E-3</v>
      </c>
      <c r="K20">
        <v>2.081E-3</v>
      </c>
      <c r="L20">
        <v>2.1320000000000002E-3</v>
      </c>
      <c r="M20">
        <v>2.1389999999999998E-3</v>
      </c>
      <c r="N20">
        <v>2.1549999999999998E-3</v>
      </c>
      <c r="O20">
        <v>2.6319999999999998E-3</v>
      </c>
      <c r="Q20" s="2">
        <v>35</v>
      </c>
      <c r="R20">
        <v>9.4700000000000003E-4</v>
      </c>
      <c r="S20">
        <v>1.08E-3</v>
      </c>
      <c r="T20">
        <v>1.0950000000000001E-3</v>
      </c>
      <c r="U20">
        <v>1.0970000000000001E-3</v>
      </c>
      <c r="V20">
        <v>1.083E-3</v>
      </c>
      <c r="W20">
        <v>1.291E-3</v>
      </c>
    </row>
    <row r="21" spans="1:23" x14ac:dyDescent="0.3">
      <c r="A21" s="2">
        <v>36</v>
      </c>
      <c r="B21">
        <v>1.5070000000000001E-3</v>
      </c>
      <c r="C21">
        <v>1.606E-3</v>
      </c>
      <c r="D21">
        <v>1.6850000000000001E-3</v>
      </c>
      <c r="E21">
        <v>1.65E-3</v>
      </c>
      <c r="F21">
        <v>1.6750000000000001E-3</v>
      </c>
      <c r="G21">
        <v>2.0950000000000001E-3</v>
      </c>
      <c r="I21" s="2">
        <v>36</v>
      </c>
      <c r="J21">
        <v>1.923E-3</v>
      </c>
      <c r="K21">
        <v>2.078E-3</v>
      </c>
      <c r="L21">
        <v>2.2300000000000002E-3</v>
      </c>
      <c r="M21">
        <v>2.1480000000000002E-3</v>
      </c>
      <c r="N21">
        <v>2.215E-3</v>
      </c>
      <c r="O21">
        <v>2.8010000000000001E-3</v>
      </c>
      <c r="Q21" s="2">
        <v>36</v>
      </c>
      <c r="R21">
        <v>1.091E-3</v>
      </c>
      <c r="S21">
        <v>1.129E-3</v>
      </c>
      <c r="T21">
        <v>1.14E-3</v>
      </c>
      <c r="U21">
        <v>1.15E-3</v>
      </c>
      <c r="V21">
        <v>1.1329999999999999E-3</v>
      </c>
      <c r="W21">
        <v>1.3849999999999999E-3</v>
      </c>
    </row>
    <row r="22" spans="1:23" x14ac:dyDescent="0.3">
      <c r="A22" s="2">
        <v>37</v>
      </c>
      <c r="B22">
        <v>1.544E-3</v>
      </c>
      <c r="C22">
        <v>1.7060000000000001E-3</v>
      </c>
      <c r="D22">
        <v>1.725E-3</v>
      </c>
      <c r="E22">
        <v>1.73E-3</v>
      </c>
      <c r="F22">
        <v>1.7639999999999999E-3</v>
      </c>
      <c r="G22">
        <v>2.2339999999999999E-3</v>
      </c>
      <c r="I22" s="2">
        <v>37</v>
      </c>
      <c r="J22">
        <v>1.9970000000000001E-3</v>
      </c>
      <c r="K22">
        <v>2.2260000000000001E-3</v>
      </c>
      <c r="L22">
        <v>2.232E-3</v>
      </c>
      <c r="M22">
        <v>2.2650000000000001E-3</v>
      </c>
      <c r="N22">
        <v>2.323E-3</v>
      </c>
      <c r="O22">
        <v>2.9619999999999998E-3</v>
      </c>
      <c r="Q22" s="2">
        <v>37</v>
      </c>
      <c r="R22">
        <v>1.093E-3</v>
      </c>
      <c r="S22">
        <v>1.188E-3</v>
      </c>
      <c r="T22">
        <v>1.2149999999999999E-3</v>
      </c>
      <c r="U22">
        <v>1.1969999999999999E-3</v>
      </c>
      <c r="V22">
        <v>1.2049999999999999E-3</v>
      </c>
      <c r="W22">
        <v>1.503E-3</v>
      </c>
    </row>
    <row r="23" spans="1:23" x14ac:dyDescent="0.3">
      <c r="A23" s="2">
        <v>38</v>
      </c>
      <c r="B23">
        <v>1.616E-3</v>
      </c>
      <c r="C23">
        <v>1.7830000000000001E-3</v>
      </c>
      <c r="D23">
        <v>1.784E-3</v>
      </c>
      <c r="E23">
        <v>1.784E-3</v>
      </c>
      <c r="F23">
        <v>1.8990000000000001E-3</v>
      </c>
      <c r="G23">
        <v>2.2629999999999998E-3</v>
      </c>
      <c r="I23" s="2">
        <v>38</v>
      </c>
      <c r="J23">
        <v>2.0460000000000001E-3</v>
      </c>
      <c r="K23">
        <v>2.2769999999999999E-3</v>
      </c>
      <c r="L23">
        <v>2.349E-3</v>
      </c>
      <c r="M23">
        <v>2.3280000000000002E-3</v>
      </c>
      <c r="N23">
        <v>2.457E-3</v>
      </c>
      <c r="O23">
        <v>2.9949999999999998E-3</v>
      </c>
      <c r="Q23" s="2">
        <v>38</v>
      </c>
      <c r="R23">
        <v>1.1919999999999999E-3</v>
      </c>
      <c r="S23">
        <v>1.2930000000000001E-3</v>
      </c>
      <c r="T23">
        <v>1.2210000000000001E-3</v>
      </c>
      <c r="U23">
        <v>1.238E-3</v>
      </c>
      <c r="V23">
        <v>1.343E-3</v>
      </c>
      <c r="W23">
        <v>1.531E-3</v>
      </c>
    </row>
    <row r="24" spans="1:23" x14ac:dyDescent="0.3">
      <c r="A24" s="2">
        <v>39</v>
      </c>
      <c r="B24">
        <v>1.671E-3</v>
      </c>
      <c r="C24">
        <v>1.8320000000000001E-3</v>
      </c>
      <c r="D24">
        <v>1.895E-3</v>
      </c>
      <c r="E24">
        <v>1.9499999999999999E-3</v>
      </c>
      <c r="F24">
        <v>1.9269999999999999E-3</v>
      </c>
      <c r="G24">
        <v>2.4629999999999999E-3</v>
      </c>
      <c r="I24" s="2">
        <v>39</v>
      </c>
      <c r="J24">
        <v>2.15E-3</v>
      </c>
      <c r="K24">
        <v>2.3500000000000001E-3</v>
      </c>
      <c r="L24">
        <v>2.4260000000000002E-3</v>
      </c>
      <c r="M24">
        <v>2.4970000000000001E-3</v>
      </c>
      <c r="N24">
        <v>2.4459999999999998E-3</v>
      </c>
      <c r="O24">
        <v>3.2829999999999999E-3</v>
      </c>
      <c r="Q24" s="2">
        <v>39</v>
      </c>
      <c r="R24">
        <v>1.1969999999999999E-3</v>
      </c>
      <c r="S24">
        <v>1.32E-3</v>
      </c>
      <c r="T24">
        <v>1.3680000000000001E-3</v>
      </c>
      <c r="U24">
        <v>1.405E-3</v>
      </c>
      <c r="V24">
        <v>1.407E-3</v>
      </c>
      <c r="W24">
        <v>1.6459999999999999E-3</v>
      </c>
    </row>
    <row r="25" spans="1:23" x14ac:dyDescent="0.3">
      <c r="A25" s="2">
        <v>40</v>
      </c>
      <c r="B25">
        <v>1.725E-3</v>
      </c>
      <c r="C25">
        <v>1.8990000000000001E-3</v>
      </c>
      <c r="D25">
        <v>1.9959999999999999E-3</v>
      </c>
      <c r="E25">
        <v>1.9610000000000001E-3</v>
      </c>
      <c r="F25">
        <v>2.104E-3</v>
      </c>
      <c r="G25">
        <v>2.4989999999999999E-3</v>
      </c>
      <c r="I25" s="2">
        <v>40</v>
      </c>
      <c r="J25">
        <v>2.153E-3</v>
      </c>
      <c r="K25">
        <v>2.3930000000000002E-3</v>
      </c>
      <c r="L25">
        <v>2.5560000000000001E-3</v>
      </c>
      <c r="M25">
        <v>2.5089999999999999E-3</v>
      </c>
      <c r="N25">
        <v>2.7499999999999998E-3</v>
      </c>
      <c r="O25">
        <v>3.2980000000000002E-3</v>
      </c>
      <c r="Q25" s="2">
        <v>40</v>
      </c>
      <c r="R25">
        <v>1.3010000000000001E-3</v>
      </c>
      <c r="S25">
        <v>1.4109999999999999E-3</v>
      </c>
      <c r="T25">
        <v>1.4419999999999999E-3</v>
      </c>
      <c r="U25">
        <v>1.4170000000000001E-3</v>
      </c>
      <c r="V25">
        <v>1.4630000000000001E-3</v>
      </c>
      <c r="W25">
        <v>1.699E-3</v>
      </c>
    </row>
    <row r="26" spans="1:23" x14ac:dyDescent="0.3">
      <c r="A26" s="2">
        <v>41</v>
      </c>
      <c r="B26">
        <v>1.9090000000000001E-3</v>
      </c>
      <c r="C26">
        <v>1.957E-3</v>
      </c>
      <c r="D26">
        <v>2.0639999999999999E-3</v>
      </c>
      <c r="E26">
        <v>2.0530000000000001E-3</v>
      </c>
      <c r="F26">
        <v>2.1029999999999998E-3</v>
      </c>
      <c r="G26">
        <v>2.712E-3</v>
      </c>
      <c r="I26" s="2">
        <v>41</v>
      </c>
      <c r="J26">
        <v>2.369E-3</v>
      </c>
      <c r="K26">
        <v>2.4849999999999998E-3</v>
      </c>
      <c r="L26">
        <v>2.6180000000000001E-3</v>
      </c>
      <c r="M26">
        <v>2.6259999999999999E-3</v>
      </c>
      <c r="N26">
        <v>2.6900000000000001E-3</v>
      </c>
      <c r="O26">
        <v>3.5100000000000001E-3</v>
      </c>
      <c r="Q26" s="2">
        <v>41</v>
      </c>
      <c r="R26">
        <v>1.456E-3</v>
      </c>
      <c r="S26">
        <v>1.4339999999999999E-3</v>
      </c>
      <c r="T26">
        <v>1.5169999999999999E-3</v>
      </c>
      <c r="U26">
        <v>1.4890000000000001E-3</v>
      </c>
      <c r="V26">
        <v>1.521E-3</v>
      </c>
      <c r="W26">
        <v>1.9189999999999999E-3</v>
      </c>
    </row>
    <row r="27" spans="1:23" x14ac:dyDescent="0.3">
      <c r="A27" s="2">
        <v>42</v>
      </c>
      <c r="B27">
        <v>2.068E-3</v>
      </c>
      <c r="C27">
        <v>2.098E-3</v>
      </c>
      <c r="D27">
        <v>2.1329999999999999E-3</v>
      </c>
      <c r="E27">
        <v>2.1450000000000002E-3</v>
      </c>
      <c r="F27">
        <v>2.212E-3</v>
      </c>
      <c r="G27">
        <v>2.738E-3</v>
      </c>
      <c r="I27" s="2">
        <v>42</v>
      </c>
      <c r="J27">
        <v>2.5400000000000002E-3</v>
      </c>
      <c r="K27">
        <v>2.5899999999999999E-3</v>
      </c>
      <c r="L27">
        <v>2.6340000000000001E-3</v>
      </c>
      <c r="M27">
        <v>2.7060000000000001E-3</v>
      </c>
      <c r="N27">
        <v>2.8670000000000002E-3</v>
      </c>
      <c r="O27">
        <v>3.5669999999999999E-3</v>
      </c>
      <c r="Q27" s="2">
        <v>42</v>
      </c>
      <c r="R27">
        <v>1.6050000000000001E-3</v>
      </c>
      <c r="S27">
        <v>1.614E-3</v>
      </c>
      <c r="T27">
        <v>1.6360000000000001E-3</v>
      </c>
      <c r="U27">
        <v>1.5920000000000001E-3</v>
      </c>
      <c r="V27">
        <v>1.5659999999999999E-3</v>
      </c>
      <c r="W27">
        <v>1.9170000000000001E-3</v>
      </c>
    </row>
    <row r="28" spans="1:23" x14ac:dyDescent="0.3">
      <c r="A28" s="2">
        <v>43</v>
      </c>
      <c r="B28">
        <v>2.1679999999999998E-3</v>
      </c>
      <c r="C28">
        <v>2.3519999999999999E-3</v>
      </c>
      <c r="D28">
        <v>2.3040000000000001E-3</v>
      </c>
      <c r="E28">
        <v>2.2369999999999998E-3</v>
      </c>
      <c r="F28">
        <v>2.317E-3</v>
      </c>
      <c r="G28">
        <v>2.908E-3</v>
      </c>
      <c r="I28" s="2">
        <v>43</v>
      </c>
      <c r="J28">
        <v>2.6570000000000001E-3</v>
      </c>
      <c r="K28">
        <v>2.9499999999999999E-3</v>
      </c>
      <c r="L28">
        <v>2.8519999999999999E-3</v>
      </c>
      <c r="M28">
        <v>2.7720000000000002E-3</v>
      </c>
      <c r="N28">
        <v>2.905E-3</v>
      </c>
      <c r="O28">
        <v>3.7580000000000001E-3</v>
      </c>
      <c r="Q28" s="2">
        <v>43</v>
      </c>
      <c r="R28">
        <v>1.686E-3</v>
      </c>
      <c r="S28">
        <v>1.768E-3</v>
      </c>
      <c r="T28">
        <v>1.7639999999999999E-3</v>
      </c>
      <c r="U28">
        <v>1.707E-3</v>
      </c>
      <c r="V28">
        <v>1.7359999999999999E-3</v>
      </c>
      <c r="W28">
        <v>2.0709999999999999E-3</v>
      </c>
    </row>
    <row r="29" spans="1:23" x14ac:dyDescent="0.3">
      <c r="A29" s="2">
        <v>44</v>
      </c>
      <c r="B29">
        <v>2.3999999999999998E-3</v>
      </c>
      <c r="C29">
        <v>2.47E-3</v>
      </c>
      <c r="D29">
        <v>2.4260000000000002E-3</v>
      </c>
      <c r="E29">
        <v>2.4610000000000001E-3</v>
      </c>
      <c r="F29">
        <v>2.4030000000000002E-3</v>
      </c>
      <c r="G29">
        <v>3.0720000000000001E-3</v>
      </c>
      <c r="I29" s="2">
        <v>44</v>
      </c>
      <c r="J29">
        <v>2.9420000000000002E-3</v>
      </c>
      <c r="K29">
        <v>3.0720000000000001E-3</v>
      </c>
      <c r="L29">
        <v>3.029E-3</v>
      </c>
      <c r="M29">
        <v>3.107E-3</v>
      </c>
      <c r="N29">
        <v>3.0249999999999999E-3</v>
      </c>
      <c r="O29">
        <v>3.9350000000000001E-3</v>
      </c>
      <c r="Q29" s="2">
        <v>44</v>
      </c>
      <c r="R29">
        <v>1.867E-3</v>
      </c>
      <c r="S29">
        <v>1.8799999999999999E-3</v>
      </c>
      <c r="T29">
        <v>1.8370000000000001E-3</v>
      </c>
      <c r="U29">
        <v>1.825E-3</v>
      </c>
      <c r="V29">
        <v>1.7880000000000001E-3</v>
      </c>
      <c r="W29">
        <v>2.2230000000000001E-3</v>
      </c>
    </row>
    <row r="30" spans="1:23" x14ac:dyDescent="0.3">
      <c r="A30" s="2">
        <v>45</v>
      </c>
      <c r="B30">
        <v>2.5110000000000002E-3</v>
      </c>
      <c r="C30">
        <v>2.6589999999999999E-3</v>
      </c>
      <c r="D30">
        <v>2.6909999999999998E-3</v>
      </c>
      <c r="E30">
        <v>2.6919999999999999E-3</v>
      </c>
      <c r="F30">
        <v>2.65E-3</v>
      </c>
      <c r="G30">
        <v>3.2200000000000002E-3</v>
      </c>
      <c r="I30" s="2">
        <v>45</v>
      </c>
      <c r="J30">
        <v>3.0400000000000002E-3</v>
      </c>
      <c r="K30">
        <v>3.2450000000000001E-3</v>
      </c>
      <c r="L30">
        <v>3.3930000000000002E-3</v>
      </c>
      <c r="M30">
        <v>3.359E-3</v>
      </c>
      <c r="N30">
        <v>3.32E-3</v>
      </c>
      <c r="O30">
        <v>4.0769999999999999E-3</v>
      </c>
      <c r="Q30" s="2">
        <v>45</v>
      </c>
      <c r="R30">
        <v>1.9870000000000001E-3</v>
      </c>
      <c r="S30">
        <v>2.085E-3</v>
      </c>
      <c r="T30">
        <v>2.003E-3</v>
      </c>
      <c r="U30">
        <v>2.0400000000000001E-3</v>
      </c>
      <c r="V30">
        <v>1.993E-3</v>
      </c>
      <c r="W30">
        <v>2.3730000000000001E-3</v>
      </c>
    </row>
    <row r="31" spans="1:23" x14ac:dyDescent="0.3">
      <c r="A31" s="2">
        <v>46</v>
      </c>
      <c r="B31">
        <v>2.8340000000000001E-3</v>
      </c>
      <c r="C31">
        <v>2.8270000000000001E-3</v>
      </c>
      <c r="D31">
        <v>2.9030000000000002E-3</v>
      </c>
      <c r="E31">
        <v>2.9269999999999999E-3</v>
      </c>
      <c r="F31">
        <v>2.879E-3</v>
      </c>
      <c r="G31">
        <v>3.509E-3</v>
      </c>
      <c r="I31" s="2">
        <v>46</v>
      </c>
      <c r="J31">
        <v>3.4550000000000002E-3</v>
      </c>
      <c r="K31">
        <v>3.4520000000000002E-3</v>
      </c>
      <c r="L31">
        <v>3.594E-3</v>
      </c>
      <c r="M31">
        <v>3.6280000000000001E-3</v>
      </c>
      <c r="N31">
        <v>3.614E-3</v>
      </c>
      <c r="O31">
        <v>4.4590000000000003E-3</v>
      </c>
      <c r="Q31" s="2">
        <v>46</v>
      </c>
      <c r="R31">
        <v>2.2209999999999999E-3</v>
      </c>
      <c r="S31">
        <v>2.209E-3</v>
      </c>
      <c r="T31">
        <v>2.2269999999999998E-3</v>
      </c>
      <c r="U31">
        <v>2.2409999999999999E-3</v>
      </c>
      <c r="V31">
        <v>2.163E-3</v>
      </c>
      <c r="W31">
        <v>2.5790000000000001E-3</v>
      </c>
    </row>
    <row r="32" spans="1:23" x14ac:dyDescent="0.3">
      <c r="A32" s="2">
        <v>47</v>
      </c>
      <c r="B32">
        <v>3.019E-3</v>
      </c>
      <c r="C32">
        <v>3.0730000000000002E-3</v>
      </c>
      <c r="D32">
        <v>3.0959999999999998E-3</v>
      </c>
      <c r="E32">
        <v>3.0799999999999998E-3</v>
      </c>
      <c r="F32">
        <v>3.0999999999999999E-3</v>
      </c>
      <c r="G32">
        <v>3.8080000000000002E-3</v>
      </c>
      <c r="I32" s="2">
        <v>47</v>
      </c>
      <c r="J32">
        <v>3.6679999999999998E-3</v>
      </c>
      <c r="K32">
        <v>3.797E-3</v>
      </c>
      <c r="L32">
        <v>3.8170000000000001E-3</v>
      </c>
      <c r="M32">
        <v>3.8449999999999999E-3</v>
      </c>
      <c r="N32">
        <v>3.8860000000000001E-3</v>
      </c>
      <c r="O32">
        <v>4.8399999999999997E-3</v>
      </c>
      <c r="Q32" s="2">
        <v>47</v>
      </c>
      <c r="R32">
        <v>2.3809999999999999E-3</v>
      </c>
      <c r="S32">
        <v>2.3609999999999998E-3</v>
      </c>
      <c r="T32">
        <v>2.3860000000000001E-3</v>
      </c>
      <c r="U32">
        <v>2.3340000000000001E-3</v>
      </c>
      <c r="V32">
        <v>2.3310000000000002E-3</v>
      </c>
      <c r="W32">
        <v>2.8040000000000001E-3</v>
      </c>
    </row>
    <row r="33" spans="1:23" x14ac:dyDescent="0.3">
      <c r="A33" s="2">
        <v>48</v>
      </c>
      <c r="B33">
        <v>3.369E-3</v>
      </c>
      <c r="C33">
        <v>3.395E-3</v>
      </c>
      <c r="D33">
        <v>3.3549999999999999E-3</v>
      </c>
      <c r="E33">
        <v>3.2599999999999999E-3</v>
      </c>
      <c r="F33">
        <v>3.359E-3</v>
      </c>
      <c r="G33">
        <v>4.1260000000000003E-3</v>
      </c>
      <c r="I33" s="2">
        <v>48</v>
      </c>
      <c r="J33">
        <v>4.0699999999999998E-3</v>
      </c>
      <c r="K33">
        <v>4.1729999999999996E-3</v>
      </c>
      <c r="L33">
        <v>4.1200000000000004E-3</v>
      </c>
      <c r="M33">
        <v>4.0410000000000003E-3</v>
      </c>
      <c r="N33">
        <v>4.182E-3</v>
      </c>
      <c r="O33">
        <v>5.2900000000000004E-3</v>
      </c>
      <c r="Q33" s="2">
        <v>48</v>
      </c>
      <c r="R33">
        <v>2.6830000000000001E-3</v>
      </c>
      <c r="S33">
        <v>2.6310000000000001E-3</v>
      </c>
      <c r="T33">
        <v>2.604E-3</v>
      </c>
      <c r="U33">
        <v>2.4919999999999999E-3</v>
      </c>
      <c r="V33">
        <v>2.5560000000000001E-3</v>
      </c>
      <c r="W33">
        <v>2.9910000000000002E-3</v>
      </c>
    </row>
    <row r="34" spans="1:23" x14ac:dyDescent="0.3">
      <c r="A34" s="2">
        <v>49</v>
      </c>
      <c r="B34">
        <v>3.7399999999999998E-3</v>
      </c>
      <c r="C34">
        <v>3.7559999999999998E-3</v>
      </c>
      <c r="D34">
        <v>3.6340000000000001E-3</v>
      </c>
      <c r="E34">
        <v>3.6449999999999998E-3</v>
      </c>
      <c r="F34">
        <v>3.558E-3</v>
      </c>
      <c r="G34">
        <v>4.4099999999999999E-3</v>
      </c>
      <c r="I34" s="2">
        <v>49</v>
      </c>
      <c r="J34">
        <v>4.5929999999999999E-3</v>
      </c>
      <c r="K34">
        <v>4.5690000000000001E-3</v>
      </c>
      <c r="L34">
        <v>4.4619999999999998E-3</v>
      </c>
      <c r="M34">
        <v>4.5589999999999997E-3</v>
      </c>
      <c r="N34">
        <v>4.4159999999999998E-3</v>
      </c>
      <c r="O34">
        <v>5.6449999999999998E-3</v>
      </c>
      <c r="Q34" s="2">
        <v>49</v>
      </c>
      <c r="R34">
        <v>2.9069999999999999E-3</v>
      </c>
      <c r="S34">
        <v>2.9640000000000001E-3</v>
      </c>
      <c r="T34">
        <v>2.8240000000000001E-3</v>
      </c>
      <c r="U34">
        <v>2.7490000000000001E-3</v>
      </c>
      <c r="V34">
        <v>2.7160000000000001E-3</v>
      </c>
      <c r="W34">
        <v>3.209E-3</v>
      </c>
    </row>
    <row r="35" spans="1:23" x14ac:dyDescent="0.3">
      <c r="A35" s="2">
        <v>50</v>
      </c>
      <c r="B35">
        <v>4.0489999999999996E-3</v>
      </c>
      <c r="C35">
        <v>4.1149999999999997E-3</v>
      </c>
      <c r="D35">
        <v>4.0540000000000003E-3</v>
      </c>
      <c r="E35">
        <v>3.9300000000000003E-3</v>
      </c>
      <c r="F35">
        <v>3.9430000000000003E-3</v>
      </c>
      <c r="G35">
        <v>4.6769999999999997E-3</v>
      </c>
      <c r="I35" s="2">
        <v>50</v>
      </c>
      <c r="J35">
        <v>4.9550000000000002E-3</v>
      </c>
      <c r="K35">
        <v>5.0390000000000001E-3</v>
      </c>
      <c r="L35">
        <v>4.9740000000000001E-3</v>
      </c>
      <c r="M35">
        <v>4.875E-3</v>
      </c>
      <c r="N35">
        <v>4.908E-3</v>
      </c>
      <c r="O35">
        <v>5.9319999999999998E-3</v>
      </c>
      <c r="Q35" s="2">
        <v>50</v>
      </c>
      <c r="R35">
        <v>3.166E-3</v>
      </c>
      <c r="S35">
        <v>3.2139999999999998E-3</v>
      </c>
      <c r="T35">
        <v>3.16E-3</v>
      </c>
      <c r="U35">
        <v>3.006E-3</v>
      </c>
      <c r="V35">
        <v>2.9989999999999999E-3</v>
      </c>
      <c r="W35">
        <v>3.447E-3</v>
      </c>
    </row>
    <row r="36" spans="1:23" x14ac:dyDescent="0.3">
      <c r="A36" s="2">
        <v>51</v>
      </c>
      <c r="B36">
        <v>4.4679999999999997E-3</v>
      </c>
      <c r="C36">
        <v>4.3920000000000001E-3</v>
      </c>
      <c r="D36">
        <v>4.4879999999999998E-3</v>
      </c>
      <c r="E36">
        <v>4.3579999999999999E-3</v>
      </c>
      <c r="F36">
        <v>4.2950000000000002E-3</v>
      </c>
      <c r="G36">
        <v>5.1460000000000004E-3</v>
      </c>
      <c r="I36" s="2">
        <v>51</v>
      </c>
      <c r="J36">
        <v>5.522E-3</v>
      </c>
      <c r="K36">
        <v>5.3559999999999997E-3</v>
      </c>
      <c r="L36">
        <v>5.5589999999999997E-3</v>
      </c>
      <c r="M36">
        <v>5.3489999999999996E-3</v>
      </c>
      <c r="N36">
        <v>5.3889999999999997E-3</v>
      </c>
      <c r="O36">
        <v>6.5069999999999998E-3</v>
      </c>
      <c r="Q36" s="2">
        <v>51</v>
      </c>
      <c r="R36">
        <v>3.4480000000000001E-3</v>
      </c>
      <c r="S36">
        <v>3.454E-3</v>
      </c>
      <c r="T36">
        <v>3.447E-3</v>
      </c>
      <c r="U36">
        <v>3.3969999999999998E-3</v>
      </c>
      <c r="V36">
        <v>3.228E-3</v>
      </c>
      <c r="W36">
        <v>3.8180000000000002E-3</v>
      </c>
    </row>
    <row r="37" spans="1:23" x14ac:dyDescent="0.3">
      <c r="A37" s="2">
        <v>52</v>
      </c>
      <c r="B37">
        <v>4.9040000000000004E-3</v>
      </c>
      <c r="C37">
        <v>4.8979999999999996E-3</v>
      </c>
      <c r="D37">
        <v>4.7499999999999999E-3</v>
      </c>
      <c r="E37">
        <v>4.764E-3</v>
      </c>
      <c r="F37">
        <v>4.6950000000000004E-3</v>
      </c>
      <c r="G37">
        <v>5.6230000000000004E-3</v>
      </c>
      <c r="I37" s="2">
        <v>52</v>
      </c>
      <c r="J37">
        <v>6.0179999999999999E-3</v>
      </c>
      <c r="K37">
        <v>6.0679999999999996E-3</v>
      </c>
      <c r="L37">
        <v>5.8469999999999998E-3</v>
      </c>
      <c r="M37">
        <v>5.9189999999999998E-3</v>
      </c>
      <c r="N37">
        <v>5.8950000000000001E-3</v>
      </c>
      <c r="O37">
        <v>7.1390000000000004E-3</v>
      </c>
      <c r="Q37" s="2">
        <v>52</v>
      </c>
      <c r="R37">
        <v>3.8310000000000002E-3</v>
      </c>
      <c r="S37">
        <v>3.7699999999999999E-3</v>
      </c>
      <c r="T37">
        <v>3.6849999999999999E-3</v>
      </c>
      <c r="U37">
        <v>3.643E-3</v>
      </c>
      <c r="V37">
        <v>3.5330000000000001E-3</v>
      </c>
      <c r="W37">
        <v>4.1479999999999998E-3</v>
      </c>
    </row>
    <row r="38" spans="1:23" x14ac:dyDescent="0.3">
      <c r="A38" s="2">
        <v>53</v>
      </c>
      <c r="B38">
        <v>5.378E-3</v>
      </c>
      <c r="C38">
        <v>5.3740000000000003E-3</v>
      </c>
      <c r="D38">
        <v>5.2490000000000002E-3</v>
      </c>
      <c r="E38">
        <v>5.1029999999999999E-3</v>
      </c>
      <c r="F38">
        <v>5.0610000000000004E-3</v>
      </c>
      <c r="G38">
        <v>6.0860000000000003E-3</v>
      </c>
      <c r="I38" s="2">
        <v>53</v>
      </c>
      <c r="J38">
        <v>6.6429999999999996E-3</v>
      </c>
      <c r="K38">
        <v>6.6179999999999998E-3</v>
      </c>
      <c r="L38">
        <v>6.5469999999999999E-3</v>
      </c>
      <c r="M38">
        <v>6.3590000000000001E-3</v>
      </c>
      <c r="N38">
        <v>6.2709999999999997E-3</v>
      </c>
      <c r="O38">
        <v>7.718E-3</v>
      </c>
      <c r="Q38" s="2">
        <v>53</v>
      </c>
      <c r="R38">
        <v>4.1640000000000002E-3</v>
      </c>
      <c r="S38">
        <v>4.1790000000000004E-3</v>
      </c>
      <c r="T38">
        <v>4.0000000000000001E-3</v>
      </c>
      <c r="U38">
        <v>3.8869999999999998E-3</v>
      </c>
      <c r="V38">
        <v>3.8899999999999998E-3</v>
      </c>
      <c r="W38">
        <v>4.5100000000000001E-3</v>
      </c>
    </row>
    <row r="39" spans="1:23" x14ac:dyDescent="0.3">
      <c r="A39" s="2">
        <v>54</v>
      </c>
      <c r="B39">
        <v>5.8310000000000002E-3</v>
      </c>
      <c r="C39">
        <v>5.8669999999999998E-3</v>
      </c>
      <c r="D39">
        <v>5.7600000000000004E-3</v>
      </c>
      <c r="E39">
        <v>5.6699999999999997E-3</v>
      </c>
      <c r="F39">
        <v>5.5560000000000002E-3</v>
      </c>
      <c r="G39">
        <v>6.6639999999999998E-3</v>
      </c>
      <c r="I39" s="2">
        <v>54</v>
      </c>
      <c r="J39">
        <v>7.2849999999999998E-3</v>
      </c>
      <c r="K39">
        <v>7.2870000000000001E-3</v>
      </c>
      <c r="L39">
        <v>7.175E-3</v>
      </c>
      <c r="M39">
        <v>7.0780000000000001E-3</v>
      </c>
      <c r="N39">
        <v>6.9719999999999999E-3</v>
      </c>
      <c r="O39">
        <v>8.4720000000000004E-3</v>
      </c>
      <c r="Q39" s="2">
        <v>54</v>
      </c>
      <c r="R39">
        <v>4.4419999999999998E-3</v>
      </c>
      <c r="S39">
        <v>4.5079999999999999E-3</v>
      </c>
      <c r="T39">
        <v>4.4050000000000001E-3</v>
      </c>
      <c r="U39">
        <v>4.3200000000000001E-3</v>
      </c>
      <c r="V39">
        <v>4.1910000000000003E-3</v>
      </c>
      <c r="W39">
        <v>4.9199999999999999E-3</v>
      </c>
    </row>
    <row r="40" spans="1:23" x14ac:dyDescent="0.3">
      <c r="A40" s="2">
        <v>55</v>
      </c>
      <c r="B40">
        <v>6.1590000000000004E-3</v>
      </c>
      <c r="C40">
        <v>6.3660000000000001E-3</v>
      </c>
      <c r="D40">
        <v>6.3350000000000004E-3</v>
      </c>
      <c r="E40">
        <v>6.215E-3</v>
      </c>
      <c r="F40">
        <v>6.1250000000000002E-3</v>
      </c>
      <c r="G40">
        <v>7.1310000000000002E-3</v>
      </c>
      <c r="I40" s="2">
        <v>55</v>
      </c>
      <c r="J40">
        <v>7.6839999999999999E-3</v>
      </c>
      <c r="K40">
        <v>7.9260000000000008E-3</v>
      </c>
      <c r="L40">
        <v>7.8910000000000004E-3</v>
      </c>
      <c r="M40">
        <v>7.8009999999999998E-3</v>
      </c>
      <c r="N40">
        <v>7.7349999999999997E-3</v>
      </c>
      <c r="O40">
        <v>9.103E-3</v>
      </c>
      <c r="Q40" s="2">
        <v>55</v>
      </c>
      <c r="R40">
        <v>4.6979999999999999E-3</v>
      </c>
      <c r="S40">
        <v>4.8799999999999998E-3</v>
      </c>
      <c r="T40">
        <v>4.8520000000000004E-3</v>
      </c>
      <c r="U40">
        <v>4.7029999999999997E-3</v>
      </c>
      <c r="V40">
        <v>4.5859999999999998E-3</v>
      </c>
      <c r="W40">
        <v>5.2350000000000001E-3</v>
      </c>
    </row>
    <row r="41" spans="1:23" x14ac:dyDescent="0.3">
      <c r="A41" s="2">
        <v>56</v>
      </c>
      <c r="B41">
        <v>6.8329999999999997E-3</v>
      </c>
      <c r="C41">
        <v>6.6860000000000001E-3</v>
      </c>
      <c r="D41">
        <v>6.7819999999999998E-3</v>
      </c>
      <c r="E41">
        <v>6.8209999999999998E-3</v>
      </c>
      <c r="F41">
        <v>6.6420000000000003E-3</v>
      </c>
      <c r="G41">
        <v>7.7840000000000001E-3</v>
      </c>
      <c r="I41" s="2">
        <v>56</v>
      </c>
      <c r="J41">
        <v>8.5030000000000001E-3</v>
      </c>
      <c r="K41">
        <v>8.2839999999999997E-3</v>
      </c>
      <c r="L41">
        <v>8.4620000000000008E-3</v>
      </c>
      <c r="M41">
        <v>8.515E-3</v>
      </c>
      <c r="N41">
        <v>8.3730000000000002E-3</v>
      </c>
      <c r="O41">
        <v>9.9919999999999991E-3</v>
      </c>
      <c r="Q41" s="2">
        <v>56</v>
      </c>
      <c r="R41">
        <v>5.2459999999999998E-3</v>
      </c>
      <c r="S41">
        <v>5.1609999999999998E-3</v>
      </c>
      <c r="T41">
        <v>5.189E-3</v>
      </c>
      <c r="U41">
        <v>5.2119999999999996E-3</v>
      </c>
      <c r="V41">
        <v>4.9969999999999997E-3</v>
      </c>
      <c r="W41">
        <v>5.6829999999999997E-3</v>
      </c>
    </row>
    <row r="42" spans="1:23" x14ac:dyDescent="0.3">
      <c r="A42" s="2">
        <v>57</v>
      </c>
      <c r="B42">
        <v>7.3839999999999999E-3</v>
      </c>
      <c r="C42">
        <v>7.4419999999999998E-3</v>
      </c>
      <c r="D42">
        <v>7.2779999999999997E-3</v>
      </c>
      <c r="E42">
        <v>7.358E-3</v>
      </c>
      <c r="F42">
        <v>7.2899999999999996E-3</v>
      </c>
      <c r="G42">
        <v>8.4480000000000006E-3</v>
      </c>
      <c r="I42" s="2">
        <v>57</v>
      </c>
      <c r="J42">
        <v>9.2689999999999995E-3</v>
      </c>
      <c r="K42">
        <v>9.3399999999999993E-3</v>
      </c>
      <c r="L42">
        <v>9.0290000000000006E-3</v>
      </c>
      <c r="M42">
        <v>9.2589999999999999E-3</v>
      </c>
      <c r="N42">
        <v>9.1590000000000005E-3</v>
      </c>
      <c r="O42">
        <v>1.0685E-2</v>
      </c>
      <c r="Q42" s="2">
        <v>57</v>
      </c>
      <c r="R42">
        <v>5.6010000000000001E-3</v>
      </c>
      <c r="S42">
        <v>5.6480000000000002E-3</v>
      </c>
      <c r="T42">
        <v>5.6129999999999999E-3</v>
      </c>
      <c r="U42">
        <v>5.5630000000000002E-3</v>
      </c>
      <c r="V42">
        <v>5.522E-3</v>
      </c>
      <c r="W42">
        <v>6.3299999999999997E-3</v>
      </c>
    </row>
    <row r="43" spans="1:23" x14ac:dyDescent="0.3">
      <c r="A43" s="2">
        <v>58</v>
      </c>
      <c r="B43">
        <v>7.8630000000000002E-3</v>
      </c>
      <c r="C43">
        <v>7.9089999999999994E-3</v>
      </c>
      <c r="D43">
        <v>7.9360000000000003E-3</v>
      </c>
      <c r="E43">
        <v>7.7720000000000003E-3</v>
      </c>
      <c r="F43">
        <v>7.8320000000000004E-3</v>
      </c>
      <c r="G43">
        <v>9.1120000000000003E-3</v>
      </c>
      <c r="I43" s="2">
        <v>58</v>
      </c>
      <c r="J43">
        <v>9.8510000000000004E-3</v>
      </c>
      <c r="K43">
        <v>9.9330000000000009E-3</v>
      </c>
      <c r="L43">
        <v>9.9159999999999995E-3</v>
      </c>
      <c r="M43">
        <v>9.757E-3</v>
      </c>
      <c r="N43">
        <v>9.835E-3</v>
      </c>
      <c r="O43">
        <v>1.1655E-2</v>
      </c>
      <c r="Q43" s="2">
        <v>58</v>
      </c>
      <c r="R43">
        <v>5.9959999999999996E-3</v>
      </c>
      <c r="S43">
        <v>6.0039999999999998E-3</v>
      </c>
      <c r="T43">
        <v>6.0699999999999999E-3</v>
      </c>
      <c r="U43">
        <v>5.8929999999999998E-3</v>
      </c>
      <c r="V43">
        <v>5.947E-3</v>
      </c>
      <c r="W43">
        <v>6.7140000000000003E-3</v>
      </c>
    </row>
    <row r="44" spans="1:23" x14ac:dyDescent="0.3">
      <c r="A44" s="2">
        <v>59</v>
      </c>
      <c r="B44">
        <v>8.463E-3</v>
      </c>
      <c r="C44">
        <v>8.5599999999999999E-3</v>
      </c>
      <c r="D44">
        <v>8.5430000000000002E-3</v>
      </c>
      <c r="E44">
        <v>8.5330000000000007E-3</v>
      </c>
      <c r="F44">
        <v>8.3119999999999999E-3</v>
      </c>
      <c r="G44">
        <v>9.9170000000000005E-3</v>
      </c>
      <c r="I44" s="2">
        <v>59</v>
      </c>
      <c r="J44">
        <v>1.0711999999999999E-2</v>
      </c>
      <c r="K44">
        <v>1.0812E-2</v>
      </c>
      <c r="L44">
        <v>1.0753E-2</v>
      </c>
      <c r="M44">
        <v>1.0756E-2</v>
      </c>
      <c r="N44">
        <v>1.0493000000000001E-2</v>
      </c>
      <c r="O44">
        <v>1.2635E-2</v>
      </c>
      <c r="Q44" s="2">
        <v>59</v>
      </c>
      <c r="R44">
        <v>6.3660000000000001E-3</v>
      </c>
      <c r="S44">
        <v>6.4559999999999999E-3</v>
      </c>
      <c r="T44">
        <v>6.4739999999999997E-3</v>
      </c>
      <c r="U44">
        <v>6.45E-3</v>
      </c>
      <c r="V44">
        <v>6.2550000000000001E-3</v>
      </c>
      <c r="W44">
        <v>7.3709999999999999E-3</v>
      </c>
    </row>
    <row r="45" spans="1:23" x14ac:dyDescent="0.3">
      <c r="A45" s="2">
        <v>60</v>
      </c>
      <c r="B45">
        <v>8.8990000000000007E-3</v>
      </c>
      <c r="C45">
        <v>9.1579999999999995E-3</v>
      </c>
      <c r="D45">
        <v>9.1889999999999993E-3</v>
      </c>
      <c r="E45">
        <v>9.0860000000000003E-3</v>
      </c>
      <c r="F45">
        <v>9.0980000000000002E-3</v>
      </c>
      <c r="G45">
        <v>1.0591E-2</v>
      </c>
      <c r="I45" s="2">
        <v>60</v>
      </c>
      <c r="J45">
        <v>1.1331000000000001E-2</v>
      </c>
      <c r="K45">
        <v>1.1526E-2</v>
      </c>
      <c r="L45">
        <v>1.1566999999999999E-2</v>
      </c>
      <c r="M45">
        <v>1.1455999999999999E-2</v>
      </c>
      <c r="N45">
        <v>1.1351E-2</v>
      </c>
      <c r="O45">
        <v>1.3396E-2</v>
      </c>
      <c r="Q45" s="2">
        <v>60</v>
      </c>
      <c r="R45">
        <v>6.6400000000000001E-3</v>
      </c>
      <c r="S45">
        <v>6.9610000000000002E-3</v>
      </c>
      <c r="T45">
        <v>6.9779999999999998E-3</v>
      </c>
      <c r="U45">
        <v>6.8780000000000004E-3</v>
      </c>
      <c r="V45">
        <v>6.9959999999999996E-3</v>
      </c>
      <c r="W45">
        <v>7.9579999999999998E-3</v>
      </c>
    </row>
    <row r="46" spans="1:23" x14ac:dyDescent="0.3">
      <c r="A46" s="2">
        <v>61</v>
      </c>
      <c r="B46">
        <v>9.6679999999999995E-3</v>
      </c>
      <c r="C46">
        <v>9.7000000000000003E-3</v>
      </c>
      <c r="D46">
        <v>9.8279999999999999E-3</v>
      </c>
      <c r="E46">
        <v>9.8250000000000004E-3</v>
      </c>
      <c r="F46">
        <v>9.8510000000000004E-3</v>
      </c>
      <c r="G46">
        <v>1.1611E-2</v>
      </c>
      <c r="I46" s="2">
        <v>61</v>
      </c>
      <c r="J46">
        <v>1.2316000000000001E-2</v>
      </c>
      <c r="K46">
        <v>1.2407E-2</v>
      </c>
      <c r="L46">
        <v>1.2382000000000001E-2</v>
      </c>
      <c r="M46">
        <v>1.2425E-2</v>
      </c>
      <c r="N46">
        <v>1.2416999999999999E-2</v>
      </c>
      <c r="O46">
        <v>1.4846E-2</v>
      </c>
      <c r="Q46" s="2">
        <v>61</v>
      </c>
      <c r="R46">
        <v>7.2350000000000001E-3</v>
      </c>
      <c r="S46">
        <v>7.1980000000000004E-3</v>
      </c>
      <c r="T46">
        <v>7.4710000000000002E-3</v>
      </c>
      <c r="U46">
        <v>7.4209999999999996E-3</v>
      </c>
      <c r="V46">
        <v>7.4710000000000002E-3</v>
      </c>
      <c r="W46">
        <v>8.6090000000000003E-3</v>
      </c>
    </row>
    <row r="47" spans="1:23" x14ac:dyDescent="0.3">
      <c r="A47" s="2">
        <v>62</v>
      </c>
      <c r="B47">
        <v>1.0444999999999999E-2</v>
      </c>
      <c r="C47">
        <v>1.0527999999999999E-2</v>
      </c>
      <c r="D47">
        <v>1.0333999999999999E-2</v>
      </c>
      <c r="E47">
        <v>1.0593999999999999E-2</v>
      </c>
      <c r="F47">
        <v>1.0579E-2</v>
      </c>
      <c r="G47">
        <v>1.2312999999999999E-2</v>
      </c>
      <c r="I47" s="2">
        <v>62</v>
      </c>
      <c r="J47">
        <v>1.3252E-2</v>
      </c>
      <c r="K47">
        <v>1.333E-2</v>
      </c>
      <c r="L47">
        <v>1.3093E-2</v>
      </c>
      <c r="M47">
        <v>1.3495E-2</v>
      </c>
      <c r="N47">
        <v>1.3386E-2</v>
      </c>
      <c r="O47">
        <v>1.5713999999999999E-2</v>
      </c>
      <c r="Q47" s="2">
        <v>62</v>
      </c>
      <c r="R47">
        <v>7.8779999999999996E-3</v>
      </c>
      <c r="S47">
        <v>7.9690000000000004E-3</v>
      </c>
      <c r="T47">
        <v>7.7999999999999996E-3</v>
      </c>
      <c r="U47">
        <v>7.9340000000000001E-3</v>
      </c>
      <c r="V47">
        <v>7.9989999999999992E-3</v>
      </c>
      <c r="W47">
        <v>9.1769999999999994E-3</v>
      </c>
    </row>
    <row r="48" spans="1:23" x14ac:dyDescent="0.3">
      <c r="A48" s="2">
        <v>63</v>
      </c>
      <c r="B48">
        <v>1.137E-2</v>
      </c>
      <c r="C48">
        <v>1.1187000000000001E-2</v>
      </c>
      <c r="D48">
        <v>1.1304E-2</v>
      </c>
      <c r="E48">
        <v>1.1273E-2</v>
      </c>
      <c r="F48">
        <v>1.1351E-2</v>
      </c>
      <c r="G48">
        <v>1.3346999999999999E-2</v>
      </c>
      <c r="I48" s="2">
        <v>63</v>
      </c>
      <c r="J48">
        <v>1.4531000000000001E-2</v>
      </c>
      <c r="K48">
        <v>1.4167000000000001E-2</v>
      </c>
      <c r="L48">
        <v>1.438E-2</v>
      </c>
      <c r="M48">
        <v>1.4375000000000001E-2</v>
      </c>
      <c r="N48">
        <v>1.4442E-2</v>
      </c>
      <c r="O48">
        <v>1.7087999999999999E-2</v>
      </c>
      <c r="Q48" s="2">
        <v>63</v>
      </c>
      <c r="R48">
        <v>8.4880000000000008E-3</v>
      </c>
      <c r="S48">
        <v>8.4790000000000004E-3</v>
      </c>
      <c r="T48">
        <v>8.5129999999999997E-3</v>
      </c>
      <c r="U48">
        <v>8.4419999999999999E-3</v>
      </c>
      <c r="V48">
        <v>8.5330000000000007E-3</v>
      </c>
      <c r="W48">
        <v>9.9299999999999996E-3</v>
      </c>
    </row>
    <row r="49" spans="1:23" x14ac:dyDescent="0.3">
      <c r="A49" s="2">
        <v>64</v>
      </c>
      <c r="B49">
        <v>1.1882E-2</v>
      </c>
      <c r="C49">
        <v>1.2119E-2</v>
      </c>
      <c r="D49">
        <v>1.209E-2</v>
      </c>
      <c r="E49">
        <v>1.2011000000000001E-2</v>
      </c>
      <c r="F49">
        <v>1.1880999999999999E-2</v>
      </c>
      <c r="G49">
        <v>1.4199E-2</v>
      </c>
      <c r="I49" s="2">
        <v>64</v>
      </c>
      <c r="J49">
        <v>1.5035E-2</v>
      </c>
      <c r="K49">
        <v>1.5343000000000001E-2</v>
      </c>
      <c r="L49">
        <v>1.5337999999999999E-2</v>
      </c>
      <c r="M49">
        <v>1.536E-2</v>
      </c>
      <c r="N49">
        <v>1.5014E-2</v>
      </c>
      <c r="O49">
        <v>1.8196E-2</v>
      </c>
      <c r="Q49" s="2">
        <v>64</v>
      </c>
      <c r="R49">
        <v>9.0320000000000001E-3</v>
      </c>
      <c r="S49">
        <v>9.1990000000000006E-3</v>
      </c>
      <c r="T49">
        <v>9.162E-3</v>
      </c>
      <c r="U49">
        <v>8.992E-3</v>
      </c>
      <c r="V49">
        <v>9.0390000000000002E-3</v>
      </c>
      <c r="W49">
        <v>1.0580000000000001E-2</v>
      </c>
    </row>
    <row r="50" spans="1:23" x14ac:dyDescent="0.3">
      <c r="A50" s="2">
        <v>65</v>
      </c>
      <c r="B50">
        <v>1.2604000000000001E-2</v>
      </c>
      <c r="C50">
        <v>1.2801999999999999E-2</v>
      </c>
      <c r="D50">
        <v>1.2933999999999999E-2</v>
      </c>
      <c r="E50">
        <v>1.2878000000000001E-2</v>
      </c>
      <c r="F50">
        <v>1.2759E-2</v>
      </c>
      <c r="G50">
        <v>1.4888999999999999E-2</v>
      </c>
      <c r="I50" s="2">
        <v>65</v>
      </c>
      <c r="J50">
        <v>1.5859000000000002E-2</v>
      </c>
      <c r="K50">
        <v>1.6204E-2</v>
      </c>
      <c r="L50">
        <v>1.6298E-2</v>
      </c>
      <c r="M50">
        <v>1.6357E-2</v>
      </c>
      <c r="N50">
        <v>1.6324000000000002E-2</v>
      </c>
      <c r="O50">
        <v>1.8946999999999999E-2</v>
      </c>
      <c r="Q50" s="2">
        <v>65</v>
      </c>
      <c r="R50">
        <v>9.6609999999999994E-3</v>
      </c>
      <c r="S50">
        <v>9.7479999999999997E-3</v>
      </c>
      <c r="T50">
        <v>9.9100000000000004E-3</v>
      </c>
      <c r="U50">
        <v>9.7610000000000006E-3</v>
      </c>
      <c r="V50">
        <v>9.5650000000000006E-3</v>
      </c>
      <c r="W50">
        <v>1.1233999999999999E-2</v>
      </c>
    </row>
    <row r="51" spans="1:23" x14ac:dyDescent="0.3">
      <c r="A51" s="2">
        <v>66</v>
      </c>
      <c r="B51">
        <v>1.3657000000000001E-2</v>
      </c>
      <c r="C51">
        <v>1.3424999999999999E-2</v>
      </c>
      <c r="D51">
        <v>1.358E-2</v>
      </c>
      <c r="E51">
        <v>1.3833E-2</v>
      </c>
      <c r="F51">
        <v>1.3698E-2</v>
      </c>
      <c r="G51">
        <v>1.6102000000000002E-2</v>
      </c>
      <c r="I51" s="2">
        <v>66</v>
      </c>
      <c r="J51">
        <v>1.7044E-2</v>
      </c>
      <c r="K51">
        <v>1.6809000000000001E-2</v>
      </c>
      <c r="L51">
        <v>1.7100000000000001E-2</v>
      </c>
      <c r="M51">
        <v>1.7579000000000001E-2</v>
      </c>
      <c r="N51">
        <v>1.7469999999999999E-2</v>
      </c>
      <c r="O51">
        <v>2.0652E-2</v>
      </c>
      <c r="Q51" s="2">
        <v>66</v>
      </c>
      <c r="R51">
        <v>1.0611000000000001E-2</v>
      </c>
      <c r="S51">
        <v>1.0389000000000001E-2</v>
      </c>
      <c r="T51">
        <v>1.0444E-2</v>
      </c>
      <c r="U51">
        <v>1.0489E-2</v>
      </c>
      <c r="V51">
        <v>1.034E-2</v>
      </c>
      <c r="W51">
        <v>1.2059E-2</v>
      </c>
    </row>
    <row r="52" spans="1:23" x14ac:dyDescent="0.3">
      <c r="A52" s="2">
        <v>67</v>
      </c>
      <c r="B52">
        <v>1.4687E-2</v>
      </c>
      <c r="C52">
        <v>1.4655E-2</v>
      </c>
      <c r="D52">
        <v>1.447E-2</v>
      </c>
      <c r="E52">
        <v>1.4669E-2</v>
      </c>
      <c r="F52">
        <v>1.464E-2</v>
      </c>
      <c r="G52">
        <v>1.7170000000000001E-2</v>
      </c>
      <c r="I52" s="2">
        <v>67</v>
      </c>
      <c r="J52">
        <v>1.8096000000000001E-2</v>
      </c>
      <c r="K52">
        <v>1.8103999999999999E-2</v>
      </c>
      <c r="L52">
        <v>1.8127999999999998E-2</v>
      </c>
      <c r="M52">
        <v>1.8464999999999999E-2</v>
      </c>
      <c r="N52">
        <v>1.8577E-2</v>
      </c>
      <c r="O52">
        <v>2.1846999999999998E-2</v>
      </c>
      <c r="Q52" s="2">
        <v>67</v>
      </c>
      <c r="R52">
        <v>1.1627E-2</v>
      </c>
      <c r="S52">
        <v>1.1577E-2</v>
      </c>
      <c r="T52">
        <v>1.1212E-2</v>
      </c>
      <c r="U52">
        <v>1.1311E-2</v>
      </c>
      <c r="V52">
        <v>1.1150999999999999E-2</v>
      </c>
      <c r="W52">
        <v>1.3041000000000001E-2</v>
      </c>
    </row>
    <row r="53" spans="1:23" x14ac:dyDescent="0.3">
      <c r="A53" s="2">
        <v>68</v>
      </c>
      <c r="B53">
        <v>1.5337E-2</v>
      </c>
      <c r="C53">
        <v>1.5824999999999999E-2</v>
      </c>
      <c r="D53">
        <v>1.5807000000000002E-2</v>
      </c>
      <c r="E53">
        <v>1.545E-2</v>
      </c>
      <c r="F53">
        <v>1.5606999999999999E-2</v>
      </c>
      <c r="G53">
        <v>1.8457999999999999E-2</v>
      </c>
      <c r="I53" s="2">
        <v>68</v>
      </c>
      <c r="J53">
        <v>1.8799E-2</v>
      </c>
      <c r="K53">
        <v>1.949E-2</v>
      </c>
      <c r="L53">
        <v>1.9442999999999998E-2</v>
      </c>
      <c r="M53">
        <v>1.9241000000000001E-2</v>
      </c>
      <c r="N53">
        <v>1.9623999999999999E-2</v>
      </c>
      <c r="O53">
        <v>2.3375E-2</v>
      </c>
      <c r="Q53" s="2">
        <v>68</v>
      </c>
      <c r="R53">
        <v>1.2234E-2</v>
      </c>
      <c r="S53">
        <v>1.256E-2</v>
      </c>
      <c r="T53">
        <v>1.2586E-2</v>
      </c>
      <c r="U53">
        <v>1.2097999999999999E-2</v>
      </c>
      <c r="V53">
        <v>1.2078999999999999E-2</v>
      </c>
      <c r="W53">
        <v>1.4138E-2</v>
      </c>
    </row>
    <row r="54" spans="1:23" x14ac:dyDescent="0.3">
      <c r="A54" s="2">
        <v>69</v>
      </c>
      <c r="B54">
        <v>1.7805999999999999E-2</v>
      </c>
      <c r="C54">
        <v>1.6729000000000001E-2</v>
      </c>
      <c r="D54">
        <v>1.7176E-2</v>
      </c>
      <c r="E54">
        <v>1.7024999999999998E-2</v>
      </c>
      <c r="F54">
        <v>1.653E-2</v>
      </c>
      <c r="G54">
        <v>1.9595999999999999E-2</v>
      </c>
      <c r="I54" s="2">
        <v>69</v>
      </c>
      <c r="J54">
        <v>2.1763999999999999E-2</v>
      </c>
      <c r="K54">
        <v>2.0492E-2</v>
      </c>
      <c r="L54">
        <v>2.0959999999999999E-2</v>
      </c>
      <c r="M54">
        <v>2.1212000000000002E-2</v>
      </c>
      <c r="N54">
        <v>2.0469000000000001E-2</v>
      </c>
      <c r="O54">
        <v>2.4753000000000001E-2</v>
      </c>
      <c r="Q54" s="2">
        <v>69</v>
      </c>
      <c r="R54">
        <v>1.4309000000000001E-2</v>
      </c>
      <c r="S54">
        <v>1.3384E-2</v>
      </c>
      <c r="T54">
        <v>1.3828999999999999E-2</v>
      </c>
      <c r="U54">
        <v>1.3344E-2</v>
      </c>
      <c r="V54">
        <v>1.3070999999999999E-2</v>
      </c>
      <c r="W54">
        <v>1.5107000000000001E-2</v>
      </c>
    </row>
    <row r="55" spans="1:23" x14ac:dyDescent="0.3">
      <c r="A55" s="2">
        <v>70</v>
      </c>
      <c r="B55">
        <v>1.8794000000000002E-2</v>
      </c>
      <c r="C55">
        <v>1.8995999999999999E-2</v>
      </c>
      <c r="D55">
        <v>1.8065999999999999E-2</v>
      </c>
      <c r="E55">
        <v>1.8489999999999999E-2</v>
      </c>
      <c r="F55">
        <v>1.8280999999999999E-2</v>
      </c>
      <c r="G55">
        <v>2.1076999999999999E-2</v>
      </c>
      <c r="I55" s="2">
        <v>70</v>
      </c>
      <c r="J55">
        <v>2.2796E-2</v>
      </c>
      <c r="K55">
        <v>2.3118E-2</v>
      </c>
      <c r="L55">
        <v>2.1933999999999999E-2</v>
      </c>
      <c r="M55">
        <v>2.265E-2</v>
      </c>
      <c r="N55">
        <v>2.2516000000000001E-2</v>
      </c>
      <c r="O55">
        <v>2.6386E-2</v>
      </c>
      <c r="Q55" s="2">
        <v>70</v>
      </c>
      <c r="R55">
        <v>1.5295E-2</v>
      </c>
      <c r="S55">
        <v>1.5384E-2</v>
      </c>
      <c r="T55">
        <v>1.4652E-2</v>
      </c>
      <c r="U55">
        <v>1.4839E-2</v>
      </c>
      <c r="V55">
        <v>1.4584E-2</v>
      </c>
      <c r="W55">
        <v>1.6458E-2</v>
      </c>
    </row>
    <row r="56" spans="1:23" x14ac:dyDescent="0.3">
      <c r="A56" s="2">
        <v>71</v>
      </c>
      <c r="B56">
        <v>2.0983000000000002E-2</v>
      </c>
      <c r="C56">
        <v>2.0302000000000001E-2</v>
      </c>
      <c r="D56">
        <v>2.0728E-2</v>
      </c>
      <c r="E56">
        <v>1.9574999999999999E-2</v>
      </c>
      <c r="F56">
        <v>1.9914000000000001E-2</v>
      </c>
      <c r="G56">
        <v>2.3106999999999999E-2</v>
      </c>
      <c r="I56" s="2">
        <v>71</v>
      </c>
      <c r="J56">
        <v>2.5603999999999998E-2</v>
      </c>
      <c r="K56">
        <v>2.4804E-2</v>
      </c>
      <c r="L56">
        <v>2.5340999999999999E-2</v>
      </c>
      <c r="M56">
        <v>2.3814999999999999E-2</v>
      </c>
      <c r="N56">
        <v>2.4237000000000002E-2</v>
      </c>
      <c r="O56">
        <v>2.8490000000000001E-2</v>
      </c>
      <c r="Q56" s="2">
        <v>71</v>
      </c>
      <c r="R56">
        <v>1.6983999999999999E-2</v>
      </c>
      <c r="S56">
        <v>1.6399E-2</v>
      </c>
      <c r="T56">
        <v>1.6721E-2</v>
      </c>
      <c r="U56">
        <v>1.5862000000000001E-2</v>
      </c>
      <c r="V56">
        <v>1.6147999999999999E-2</v>
      </c>
      <c r="W56">
        <v>1.8449E-2</v>
      </c>
    </row>
    <row r="57" spans="1:23" x14ac:dyDescent="0.3">
      <c r="A57" s="2">
        <v>72</v>
      </c>
      <c r="B57">
        <v>2.2561999999999999E-2</v>
      </c>
      <c r="C57">
        <v>2.2540000000000001E-2</v>
      </c>
      <c r="D57">
        <v>2.2083999999999999E-2</v>
      </c>
      <c r="E57">
        <v>2.2549E-2</v>
      </c>
      <c r="F57">
        <v>2.1037E-2</v>
      </c>
      <c r="G57">
        <v>2.5222999999999999E-2</v>
      </c>
      <c r="I57" s="2">
        <v>72</v>
      </c>
      <c r="J57">
        <v>2.7088000000000001E-2</v>
      </c>
      <c r="K57">
        <v>2.7324999999999999E-2</v>
      </c>
      <c r="L57">
        <v>2.6565999999999999E-2</v>
      </c>
      <c r="M57">
        <v>2.7379000000000001E-2</v>
      </c>
      <c r="N57">
        <v>2.5420999999999999E-2</v>
      </c>
      <c r="O57">
        <v>3.0897999999999998E-2</v>
      </c>
      <c r="Q57" s="2">
        <v>72</v>
      </c>
      <c r="R57">
        <v>1.8676999999999999E-2</v>
      </c>
      <c r="S57">
        <v>1.8439000000000001E-2</v>
      </c>
      <c r="T57">
        <v>1.8232999999999999E-2</v>
      </c>
      <c r="U57">
        <v>1.8388000000000002E-2</v>
      </c>
      <c r="V57">
        <v>1.7229000000000001E-2</v>
      </c>
      <c r="W57">
        <v>2.0323000000000001E-2</v>
      </c>
    </row>
    <row r="58" spans="1:23" x14ac:dyDescent="0.3">
      <c r="A58" s="2">
        <v>73</v>
      </c>
      <c r="B58">
        <v>2.4899000000000001E-2</v>
      </c>
      <c r="C58">
        <v>2.4308E-2</v>
      </c>
      <c r="D58">
        <v>2.4573999999999999E-2</v>
      </c>
      <c r="E58">
        <v>2.3897999999999999E-2</v>
      </c>
      <c r="F58">
        <v>2.4354000000000001E-2</v>
      </c>
      <c r="G58">
        <v>2.6481000000000001E-2</v>
      </c>
      <c r="I58" s="2">
        <v>73</v>
      </c>
      <c r="J58">
        <v>3.0072000000000002E-2</v>
      </c>
      <c r="K58">
        <v>2.9250999999999999E-2</v>
      </c>
      <c r="L58">
        <v>2.9694999999999999E-2</v>
      </c>
      <c r="M58">
        <v>2.8917000000000002E-2</v>
      </c>
      <c r="N58">
        <v>2.937E-2</v>
      </c>
      <c r="O58">
        <v>3.2266999999999997E-2</v>
      </c>
      <c r="Q58" s="2">
        <v>73</v>
      </c>
      <c r="R58">
        <v>2.0521999999999999E-2</v>
      </c>
      <c r="S58">
        <v>2.0105999999999999E-2</v>
      </c>
      <c r="T58">
        <v>2.0223999999999999E-2</v>
      </c>
      <c r="U58">
        <v>1.9625E-2</v>
      </c>
      <c r="V58">
        <v>2.0074000000000002E-2</v>
      </c>
      <c r="W58">
        <v>2.1502E-2</v>
      </c>
    </row>
    <row r="59" spans="1:23" x14ac:dyDescent="0.3">
      <c r="A59" s="2">
        <v>74</v>
      </c>
      <c r="B59">
        <v>2.6991999999999999E-2</v>
      </c>
      <c r="C59">
        <v>2.6957999999999999E-2</v>
      </c>
      <c r="D59">
        <v>2.6623000000000001E-2</v>
      </c>
      <c r="E59">
        <v>2.6768E-2</v>
      </c>
      <c r="F59">
        <v>2.5589000000000001E-2</v>
      </c>
      <c r="G59">
        <v>3.1275999999999998E-2</v>
      </c>
      <c r="I59" s="2">
        <v>74</v>
      </c>
      <c r="J59">
        <v>3.2703999999999997E-2</v>
      </c>
      <c r="K59">
        <v>3.2496999999999998E-2</v>
      </c>
      <c r="L59">
        <v>3.2092000000000002E-2</v>
      </c>
      <c r="M59">
        <v>3.2235E-2</v>
      </c>
      <c r="N59">
        <v>3.0956000000000001E-2</v>
      </c>
      <c r="O59">
        <v>3.8123999999999998E-2</v>
      </c>
      <c r="Q59" s="2">
        <v>74</v>
      </c>
      <c r="R59">
        <v>2.2249999999999999E-2</v>
      </c>
      <c r="S59">
        <v>2.232E-2</v>
      </c>
      <c r="T59">
        <v>2.2020000000000001E-2</v>
      </c>
      <c r="U59">
        <v>2.2169999999999999E-2</v>
      </c>
      <c r="V59">
        <v>2.1066000000000001E-2</v>
      </c>
      <c r="W59">
        <v>2.5489999999999999E-2</v>
      </c>
    </row>
    <row r="60" spans="1:23" x14ac:dyDescent="0.3">
      <c r="A60" s="2">
        <v>75</v>
      </c>
      <c r="B60">
        <v>2.9576000000000002E-2</v>
      </c>
      <c r="C60">
        <v>2.9714999999999998E-2</v>
      </c>
      <c r="D60">
        <v>2.9295999999999999E-2</v>
      </c>
      <c r="E60">
        <v>2.9003999999999999E-2</v>
      </c>
      <c r="F60">
        <v>2.8726000000000002E-2</v>
      </c>
      <c r="G60">
        <v>3.2539999999999999E-2</v>
      </c>
      <c r="I60" s="2">
        <v>75</v>
      </c>
      <c r="J60">
        <v>3.5569999999999997E-2</v>
      </c>
      <c r="K60">
        <v>3.5909999999999997E-2</v>
      </c>
      <c r="L60">
        <v>3.5027000000000003E-2</v>
      </c>
      <c r="M60">
        <v>3.4812999999999997E-2</v>
      </c>
      <c r="N60">
        <v>3.4632000000000003E-2</v>
      </c>
      <c r="O60">
        <v>3.9382E-2</v>
      </c>
      <c r="Q60" s="2">
        <v>75</v>
      </c>
      <c r="R60">
        <v>2.4652E-2</v>
      </c>
      <c r="S60">
        <v>2.4631E-2</v>
      </c>
      <c r="T60">
        <v>2.4548E-2</v>
      </c>
      <c r="U60">
        <v>2.4164000000000001E-2</v>
      </c>
      <c r="V60">
        <v>2.3810999999999999E-2</v>
      </c>
      <c r="W60">
        <v>2.6832999999999999E-2</v>
      </c>
    </row>
    <row r="61" spans="1:23" x14ac:dyDescent="0.3">
      <c r="A61" s="2">
        <v>76</v>
      </c>
      <c r="B61">
        <v>3.2552999999999999E-2</v>
      </c>
      <c r="C61">
        <v>3.1709000000000001E-2</v>
      </c>
      <c r="D61">
        <v>3.2115999999999999E-2</v>
      </c>
      <c r="E61">
        <v>3.2035000000000001E-2</v>
      </c>
      <c r="F61">
        <v>3.1056E-2</v>
      </c>
      <c r="G61">
        <v>3.6658999999999997E-2</v>
      </c>
      <c r="I61" s="2">
        <v>76</v>
      </c>
      <c r="J61">
        <v>3.8983999999999998E-2</v>
      </c>
      <c r="K61">
        <v>3.8378000000000002E-2</v>
      </c>
      <c r="L61">
        <v>3.8533999999999999E-2</v>
      </c>
      <c r="M61">
        <v>3.8443999999999999E-2</v>
      </c>
      <c r="N61">
        <v>3.7276999999999998E-2</v>
      </c>
      <c r="O61">
        <v>4.4593000000000001E-2</v>
      </c>
      <c r="Q61" s="2">
        <v>76</v>
      </c>
      <c r="R61">
        <v>2.7293000000000001E-2</v>
      </c>
      <c r="S61">
        <v>2.6297000000000001E-2</v>
      </c>
      <c r="T61">
        <v>2.6908999999999999E-2</v>
      </c>
      <c r="U61">
        <v>2.6782E-2</v>
      </c>
      <c r="V61">
        <v>2.5933000000000001E-2</v>
      </c>
      <c r="W61">
        <v>3.0134000000000001E-2</v>
      </c>
    </row>
    <row r="62" spans="1:23" x14ac:dyDescent="0.3">
      <c r="A62" s="2">
        <v>77</v>
      </c>
      <c r="B62">
        <v>3.5768000000000001E-2</v>
      </c>
      <c r="C62">
        <v>3.5471000000000003E-2</v>
      </c>
      <c r="D62">
        <v>3.4972000000000003E-2</v>
      </c>
      <c r="E62">
        <v>3.5279999999999999E-2</v>
      </c>
      <c r="F62">
        <v>3.4477000000000001E-2</v>
      </c>
      <c r="G62">
        <v>3.9732999999999997E-2</v>
      </c>
      <c r="I62" s="2">
        <v>77</v>
      </c>
      <c r="J62">
        <v>4.2659000000000002E-2</v>
      </c>
      <c r="K62">
        <v>4.2304000000000001E-2</v>
      </c>
      <c r="L62">
        <v>4.1946999999999998E-2</v>
      </c>
      <c r="M62">
        <v>4.2564999999999999E-2</v>
      </c>
      <c r="N62">
        <v>4.1408E-2</v>
      </c>
      <c r="O62">
        <v>4.8218999999999998E-2</v>
      </c>
      <c r="Q62" s="2">
        <v>77</v>
      </c>
      <c r="R62">
        <v>3.0255000000000001E-2</v>
      </c>
      <c r="S62">
        <v>2.9954000000000001E-2</v>
      </c>
      <c r="T62">
        <v>2.9377E-2</v>
      </c>
      <c r="U62">
        <v>2.9436E-2</v>
      </c>
      <c r="V62">
        <v>2.8867E-2</v>
      </c>
      <c r="W62">
        <v>3.2828999999999997E-2</v>
      </c>
    </row>
    <row r="63" spans="1:23" x14ac:dyDescent="0.3">
      <c r="A63" s="2">
        <v>78</v>
      </c>
      <c r="B63">
        <v>3.9456999999999999E-2</v>
      </c>
      <c r="C63">
        <v>3.8462000000000003E-2</v>
      </c>
      <c r="D63">
        <v>3.9010000000000003E-2</v>
      </c>
      <c r="E63">
        <v>3.7919000000000001E-2</v>
      </c>
      <c r="F63">
        <v>3.7844999999999997E-2</v>
      </c>
      <c r="G63">
        <v>4.4595000000000003E-2</v>
      </c>
      <c r="I63" s="2">
        <v>78</v>
      </c>
      <c r="J63">
        <v>4.7050000000000002E-2</v>
      </c>
      <c r="K63">
        <v>4.564E-2</v>
      </c>
      <c r="L63">
        <v>4.6203000000000001E-2</v>
      </c>
      <c r="M63">
        <v>4.5143999999999997E-2</v>
      </c>
      <c r="N63">
        <v>4.5401999999999998E-2</v>
      </c>
      <c r="O63">
        <v>5.4094000000000003E-2</v>
      </c>
      <c r="Q63" s="2">
        <v>78</v>
      </c>
      <c r="R63">
        <v>3.3500000000000002E-2</v>
      </c>
      <c r="S63">
        <v>3.2798000000000001E-2</v>
      </c>
      <c r="T63">
        <v>3.3273999999999998E-2</v>
      </c>
      <c r="U63">
        <v>3.2194E-2</v>
      </c>
      <c r="V63">
        <v>3.1864999999999997E-2</v>
      </c>
      <c r="W63">
        <v>3.7012000000000003E-2</v>
      </c>
    </row>
    <row r="64" spans="1:23" x14ac:dyDescent="0.3">
      <c r="A64" s="2">
        <v>79</v>
      </c>
      <c r="B64">
        <v>4.3660999999999998E-2</v>
      </c>
      <c r="C64">
        <v>4.3114E-2</v>
      </c>
      <c r="D64">
        <v>4.2979999999999997E-2</v>
      </c>
      <c r="E64">
        <v>4.2550999999999999E-2</v>
      </c>
      <c r="F64">
        <v>4.1445000000000003E-2</v>
      </c>
      <c r="G64">
        <v>4.8794999999999998E-2</v>
      </c>
      <c r="I64" s="2">
        <v>79</v>
      </c>
      <c r="J64">
        <v>5.1577999999999999E-2</v>
      </c>
      <c r="K64">
        <v>5.1254000000000001E-2</v>
      </c>
      <c r="L64">
        <v>5.1189999999999999E-2</v>
      </c>
      <c r="M64">
        <v>5.0523999999999999E-2</v>
      </c>
      <c r="N64">
        <v>4.9322999999999999E-2</v>
      </c>
      <c r="O64">
        <v>5.8795E-2</v>
      </c>
      <c r="Q64" s="2">
        <v>79</v>
      </c>
      <c r="R64">
        <v>3.7574000000000003E-2</v>
      </c>
      <c r="S64">
        <v>3.6822000000000001E-2</v>
      </c>
      <c r="T64">
        <v>3.6586E-2</v>
      </c>
      <c r="U64">
        <v>3.6277999999999998E-2</v>
      </c>
      <c r="V64">
        <v>3.5298000000000003E-2</v>
      </c>
      <c r="W64">
        <v>4.1000000000000002E-2</v>
      </c>
    </row>
    <row r="65" spans="1:23" x14ac:dyDescent="0.3">
      <c r="A65" s="2">
        <v>80</v>
      </c>
      <c r="B65">
        <v>4.8328999999999997E-2</v>
      </c>
      <c r="C65">
        <v>4.7846E-2</v>
      </c>
      <c r="D65">
        <v>4.7891999999999997E-2</v>
      </c>
      <c r="E65">
        <v>4.6836000000000003E-2</v>
      </c>
      <c r="F65">
        <v>4.6330000000000003E-2</v>
      </c>
      <c r="G65">
        <v>5.348E-2</v>
      </c>
      <c r="I65" s="2">
        <v>80</v>
      </c>
      <c r="J65">
        <v>5.7277000000000002E-2</v>
      </c>
      <c r="K65">
        <v>5.6474999999999997E-2</v>
      </c>
      <c r="L65">
        <v>5.6623E-2</v>
      </c>
      <c r="M65">
        <v>5.5569E-2</v>
      </c>
      <c r="N65">
        <v>5.4788999999999997E-2</v>
      </c>
      <c r="O65">
        <v>6.3944000000000001E-2</v>
      </c>
      <c r="Q65" s="2">
        <v>80</v>
      </c>
      <c r="R65">
        <v>4.1634999999999998E-2</v>
      </c>
      <c r="S65">
        <v>4.1318000000000001E-2</v>
      </c>
      <c r="T65">
        <v>4.1239999999999999E-2</v>
      </c>
      <c r="U65">
        <v>4.0136999999999999E-2</v>
      </c>
      <c r="V65">
        <v>3.9782999999999999E-2</v>
      </c>
      <c r="W65">
        <v>4.5443999999999998E-2</v>
      </c>
    </row>
    <row r="66" spans="1:23" x14ac:dyDescent="0.3">
      <c r="A66" s="2">
        <v>81</v>
      </c>
      <c r="B66">
        <v>5.4327E-2</v>
      </c>
      <c r="C66">
        <v>5.2354999999999999E-2</v>
      </c>
      <c r="D66">
        <v>5.2734999999999997E-2</v>
      </c>
      <c r="E66">
        <v>5.2295000000000001E-2</v>
      </c>
      <c r="F66">
        <v>5.1114E-2</v>
      </c>
      <c r="G66">
        <v>5.951E-2</v>
      </c>
      <c r="I66" s="2">
        <v>81</v>
      </c>
      <c r="J66">
        <v>6.4953999999999998E-2</v>
      </c>
      <c r="K66">
        <v>6.1892000000000003E-2</v>
      </c>
      <c r="L66">
        <v>6.2372999999999998E-2</v>
      </c>
      <c r="M66">
        <v>6.1622000000000003E-2</v>
      </c>
      <c r="N66">
        <v>6.0596999999999998E-2</v>
      </c>
      <c r="O66">
        <v>7.0560999999999999E-2</v>
      </c>
      <c r="Q66" s="2">
        <v>81</v>
      </c>
      <c r="R66">
        <v>4.6537000000000002E-2</v>
      </c>
      <c r="S66">
        <v>4.5346999999999998E-2</v>
      </c>
      <c r="T66">
        <v>4.5560000000000003E-2</v>
      </c>
      <c r="U66">
        <v>4.5303000000000003E-2</v>
      </c>
      <c r="V66">
        <v>4.3970000000000002E-2</v>
      </c>
      <c r="W66">
        <v>5.1105999999999999E-2</v>
      </c>
    </row>
    <row r="67" spans="1:23" x14ac:dyDescent="0.3">
      <c r="A67" s="2">
        <v>82</v>
      </c>
      <c r="B67">
        <v>6.0101000000000002E-2</v>
      </c>
      <c r="C67">
        <v>5.9131000000000003E-2</v>
      </c>
      <c r="D67">
        <v>5.8583000000000003E-2</v>
      </c>
      <c r="E67">
        <v>5.8236000000000003E-2</v>
      </c>
      <c r="F67">
        <v>5.7296E-2</v>
      </c>
      <c r="G67">
        <v>6.5676999999999999E-2</v>
      </c>
      <c r="I67" s="2">
        <v>82</v>
      </c>
      <c r="J67">
        <v>7.0662000000000003E-2</v>
      </c>
      <c r="K67">
        <v>6.9303000000000003E-2</v>
      </c>
      <c r="L67">
        <v>6.9241999999999998E-2</v>
      </c>
      <c r="M67">
        <v>6.8403000000000005E-2</v>
      </c>
      <c r="N67">
        <v>6.7365999999999995E-2</v>
      </c>
      <c r="O67">
        <v>7.7455999999999997E-2</v>
      </c>
      <c r="Q67" s="2">
        <v>82</v>
      </c>
      <c r="R67">
        <v>5.2588000000000003E-2</v>
      </c>
      <c r="S67">
        <v>5.1818999999999997E-2</v>
      </c>
      <c r="T67">
        <v>5.0885E-2</v>
      </c>
      <c r="U67">
        <v>5.0799999999999998E-2</v>
      </c>
      <c r="V67">
        <v>4.9896999999999997E-2</v>
      </c>
      <c r="W67">
        <v>5.6973000000000003E-2</v>
      </c>
    </row>
    <row r="68" spans="1:23" x14ac:dyDescent="0.3">
      <c r="A68" s="2">
        <v>83</v>
      </c>
      <c r="B68">
        <v>6.6638000000000003E-2</v>
      </c>
      <c r="C68">
        <v>6.4645999999999995E-2</v>
      </c>
      <c r="D68">
        <v>6.6336999999999993E-2</v>
      </c>
      <c r="E68">
        <v>6.3980999999999996E-2</v>
      </c>
      <c r="F68">
        <v>6.3867999999999994E-2</v>
      </c>
      <c r="G68">
        <v>7.3629E-2</v>
      </c>
      <c r="I68" s="2">
        <v>83</v>
      </c>
      <c r="J68">
        <v>7.8349000000000002E-2</v>
      </c>
      <c r="K68">
        <v>7.6058000000000001E-2</v>
      </c>
      <c r="L68">
        <v>7.8130000000000005E-2</v>
      </c>
      <c r="M68">
        <v>7.4846999999999997E-2</v>
      </c>
      <c r="N68">
        <v>7.4601000000000001E-2</v>
      </c>
      <c r="O68">
        <v>8.7455000000000005E-2</v>
      </c>
      <c r="Q68" s="2">
        <v>83</v>
      </c>
      <c r="R68">
        <v>5.8552E-2</v>
      </c>
      <c r="S68">
        <v>5.6695000000000002E-2</v>
      </c>
      <c r="T68">
        <v>5.8021000000000003E-2</v>
      </c>
      <c r="U68">
        <v>5.6285000000000002E-2</v>
      </c>
      <c r="V68">
        <v>5.6187000000000001E-2</v>
      </c>
      <c r="W68">
        <v>6.3681000000000001E-2</v>
      </c>
    </row>
    <row r="69" spans="1:23" x14ac:dyDescent="0.3">
      <c r="A69" s="2">
        <v>84</v>
      </c>
      <c r="B69">
        <v>7.4259000000000006E-2</v>
      </c>
      <c r="C69">
        <v>7.2273000000000004E-2</v>
      </c>
      <c r="D69">
        <v>7.3280999999999999E-2</v>
      </c>
      <c r="E69">
        <v>7.2687000000000002E-2</v>
      </c>
      <c r="F69">
        <v>7.0162000000000002E-2</v>
      </c>
      <c r="G69">
        <v>8.1861000000000003E-2</v>
      </c>
      <c r="I69" s="2">
        <v>84</v>
      </c>
      <c r="J69">
        <v>8.7590000000000001E-2</v>
      </c>
      <c r="K69">
        <v>8.5274000000000003E-2</v>
      </c>
      <c r="L69">
        <v>8.5924E-2</v>
      </c>
      <c r="M69">
        <v>8.5279999999999995E-2</v>
      </c>
      <c r="N69">
        <v>8.2762000000000002E-2</v>
      </c>
      <c r="O69">
        <v>9.6523999999999999E-2</v>
      </c>
      <c r="Q69" s="2">
        <v>84</v>
      </c>
      <c r="R69">
        <v>6.5357999999999999E-2</v>
      </c>
      <c r="S69">
        <v>6.3501000000000002E-2</v>
      </c>
      <c r="T69">
        <v>6.4652000000000001E-2</v>
      </c>
      <c r="U69">
        <v>6.3991000000000006E-2</v>
      </c>
      <c r="V69">
        <v>6.1448000000000003E-2</v>
      </c>
      <c r="W69">
        <v>7.1600999999999998E-2</v>
      </c>
    </row>
    <row r="71" spans="1:23" x14ac:dyDescent="0.3">
      <c r="A71" s="20" t="s">
        <v>16</v>
      </c>
      <c r="B71" s="21">
        <v>2016</v>
      </c>
      <c r="C71" s="21">
        <v>2017</v>
      </c>
      <c r="D71" s="21">
        <v>2018</v>
      </c>
      <c r="E71" s="21">
        <v>2019</v>
      </c>
      <c r="F71" s="21">
        <v>2020</v>
      </c>
      <c r="I71" s="20" t="s">
        <v>16</v>
      </c>
      <c r="J71" s="21">
        <v>2016</v>
      </c>
      <c r="K71" s="21">
        <v>2017</v>
      </c>
      <c r="L71" s="21">
        <v>2018</v>
      </c>
      <c r="M71" s="21">
        <v>2019</v>
      </c>
      <c r="N71" s="21">
        <v>2020</v>
      </c>
      <c r="Q71" s="20" t="s">
        <v>16</v>
      </c>
      <c r="R71" s="21">
        <v>2016</v>
      </c>
      <c r="S71" s="21">
        <v>2017</v>
      </c>
      <c r="T71" s="21">
        <v>2018</v>
      </c>
      <c r="U71" s="21">
        <v>2019</v>
      </c>
      <c r="V71" s="21">
        <v>2020</v>
      </c>
    </row>
    <row r="72" spans="1:23" x14ac:dyDescent="0.3">
      <c r="A72" s="2">
        <v>20</v>
      </c>
      <c r="B72" s="22">
        <v>5.9662775616083054E-2</v>
      </c>
      <c r="C72" s="22">
        <v>1.2239902080783386E-2</v>
      </c>
      <c r="D72" s="22">
        <v>-7.3760580411124627E-2</v>
      </c>
      <c r="E72" s="22">
        <v>1.30548302872063E-2</v>
      </c>
      <c r="F72" s="22">
        <v>0.18170103092783499</v>
      </c>
      <c r="I72" s="2">
        <v>20</v>
      </c>
      <c r="J72" s="19">
        <v>6.0931899641576984E-2</v>
      </c>
      <c r="K72" s="19">
        <v>1.6891891891891938E-2</v>
      </c>
      <c r="L72" s="19">
        <v>-9.4684385382059755E-2</v>
      </c>
      <c r="M72" s="19">
        <v>3.0275229357798205E-2</v>
      </c>
      <c r="N72" s="19">
        <v>0.2065894924309884</v>
      </c>
      <c r="Q72" s="2">
        <v>20</v>
      </c>
      <c r="R72" s="19">
        <v>5.6372549019607886E-2</v>
      </c>
      <c r="S72" s="19">
        <v>4.6403712296983627E-3</v>
      </c>
      <c r="T72" s="19">
        <v>-1.6166281755196323E-2</v>
      </c>
      <c r="U72" s="19">
        <v>-3.0516431924882608E-2</v>
      </c>
      <c r="V72" s="19">
        <v>0.11138014527845032</v>
      </c>
    </row>
    <row r="73" spans="1:23" x14ac:dyDescent="0.3">
      <c r="A73" s="2">
        <v>21</v>
      </c>
      <c r="B73" s="22">
        <v>0.10428736964078784</v>
      </c>
      <c r="C73" s="22">
        <v>-5.4564533053515177E-2</v>
      </c>
      <c r="D73" s="22">
        <v>-3.7735849056603731E-2</v>
      </c>
      <c r="E73" s="22">
        <v>2.9988465974625123E-2</v>
      </c>
      <c r="F73" s="22">
        <v>0.19596864501679723</v>
      </c>
      <c r="I73" s="2">
        <v>21</v>
      </c>
      <c r="J73" s="19">
        <v>0.12289156626506018</v>
      </c>
      <c r="K73" s="19">
        <v>-7.4391988555078628E-2</v>
      </c>
      <c r="L73" s="19">
        <v>-2.2411128284389448E-2</v>
      </c>
      <c r="M73" s="19">
        <v>3.7944664031620445E-2</v>
      </c>
      <c r="N73" s="19">
        <v>0.18735719725818747</v>
      </c>
      <c r="Q73" s="2">
        <v>21</v>
      </c>
      <c r="R73" s="19">
        <v>5.6768558951965024E-2</v>
      </c>
      <c r="S73" s="19">
        <v>1.033057851239661E-2</v>
      </c>
      <c r="T73" s="19">
        <v>-7.7709611451942634E-2</v>
      </c>
      <c r="U73" s="19">
        <v>6.6518847006651095E-3</v>
      </c>
      <c r="V73" s="19">
        <v>0.22246696035242308</v>
      </c>
    </row>
    <row r="74" spans="1:23" x14ac:dyDescent="0.3">
      <c r="A74" s="2">
        <v>22</v>
      </c>
      <c r="B74" s="22">
        <v>6.6521264994547399E-2</v>
      </c>
      <c r="C74" s="22">
        <v>-2.760736196319008E-2</v>
      </c>
      <c r="D74" s="22">
        <v>-3.8906414300736103E-2</v>
      </c>
      <c r="E74" s="22">
        <v>-1.2035010940918973E-2</v>
      </c>
      <c r="F74" s="22">
        <v>0.20819490586932435</v>
      </c>
      <c r="I74" s="2">
        <v>22</v>
      </c>
      <c r="J74" s="19">
        <v>5.8779761904761967E-2</v>
      </c>
      <c r="K74" s="19">
        <v>-3.5839775122979652E-2</v>
      </c>
      <c r="L74" s="19">
        <v>-3.1341107871720009E-2</v>
      </c>
      <c r="M74" s="19">
        <v>-3.0097817908202383E-3</v>
      </c>
      <c r="N74" s="19">
        <v>0.21056603773584903</v>
      </c>
      <c r="Q74" s="2">
        <v>22</v>
      </c>
      <c r="R74" s="19">
        <v>9.2473118279569805E-2</v>
      </c>
      <c r="S74" s="19">
        <v>-5.9055118110235526E-3</v>
      </c>
      <c r="T74" s="19">
        <v>-5.3465346534653471E-2</v>
      </c>
      <c r="U74" s="19">
        <v>-3.1380753138075396E-2</v>
      </c>
      <c r="V74" s="19">
        <v>0.20086393088552912</v>
      </c>
    </row>
    <row r="75" spans="1:23" x14ac:dyDescent="0.3">
      <c r="A75" s="2">
        <v>23</v>
      </c>
      <c r="B75" s="22">
        <v>0.11146838156484451</v>
      </c>
      <c r="C75" s="22">
        <v>-1.9286403085824546E-2</v>
      </c>
      <c r="D75" s="22">
        <v>-5.8013765978367673E-2</v>
      </c>
      <c r="E75" s="22">
        <v>-3.1315240083506935E-3</v>
      </c>
      <c r="F75" s="22">
        <v>0.22094240837696327</v>
      </c>
      <c r="I75" s="2">
        <v>23</v>
      </c>
      <c r="J75" s="19">
        <v>0.10506980161645842</v>
      </c>
      <c r="K75" s="19">
        <v>-2.8590425531914796E-2</v>
      </c>
      <c r="L75" s="19">
        <v>-5.5441478439425138E-2</v>
      </c>
      <c r="M75" s="19">
        <v>-2.8260869565217374E-2</v>
      </c>
      <c r="N75" s="19">
        <v>0.25130499627143926</v>
      </c>
      <c r="Q75" s="2">
        <v>23</v>
      </c>
      <c r="R75" s="19">
        <v>0.12916666666666654</v>
      </c>
      <c r="S75" s="19">
        <v>1.4760147601476176E-2</v>
      </c>
      <c r="T75" s="19">
        <v>-6.7272727272727331E-2</v>
      </c>
      <c r="U75" s="19">
        <v>7.4074074074073973E-2</v>
      </c>
      <c r="V75" s="19">
        <v>0.14882032667876596</v>
      </c>
    </row>
    <row r="76" spans="1:23" x14ac:dyDescent="0.3">
      <c r="A76" s="2">
        <v>24</v>
      </c>
      <c r="B76" s="22">
        <v>9.4650205761316941E-2</v>
      </c>
      <c r="C76" s="22">
        <v>6.5789473684209065E-3</v>
      </c>
      <c r="D76" s="22">
        <v>-5.8823529411764622E-2</v>
      </c>
      <c r="E76" s="22">
        <v>-2.8769841269841216E-2</v>
      </c>
      <c r="F76" s="22">
        <v>0.23289070480081706</v>
      </c>
      <c r="I76" s="2">
        <v>24</v>
      </c>
      <c r="J76" s="19">
        <v>0.10451977401129953</v>
      </c>
      <c r="K76" s="19">
        <v>-9.5907928388747048E-3</v>
      </c>
      <c r="L76" s="19">
        <v>-6.1975468043899258E-2</v>
      </c>
      <c r="M76" s="19">
        <v>-3.9917412250516246E-2</v>
      </c>
      <c r="N76" s="19">
        <v>0.25448028673835132</v>
      </c>
      <c r="Q76" s="2">
        <v>24</v>
      </c>
      <c r="R76" s="19">
        <v>5.6974459724950778E-2</v>
      </c>
      <c r="S76" s="19">
        <v>5.0185873605947971E-2</v>
      </c>
      <c r="T76" s="19">
        <v>-4.6017699115044219E-2</v>
      </c>
      <c r="U76" s="19">
        <v>5.5658627087197855E-3</v>
      </c>
      <c r="V76" s="19">
        <v>0.17896678966789684</v>
      </c>
    </row>
    <row r="77" spans="1:23" x14ac:dyDescent="0.3">
      <c r="A77" s="2">
        <v>25</v>
      </c>
      <c r="B77" s="22">
        <v>0.10735586481113323</v>
      </c>
      <c r="C77" s="22">
        <v>3.590664272890572E-3</v>
      </c>
      <c r="D77" s="22">
        <v>-5.9033989266547481E-2</v>
      </c>
      <c r="E77" s="22">
        <v>-4.7528517110266288E-3</v>
      </c>
      <c r="F77" s="22">
        <v>0.22158548233046801</v>
      </c>
      <c r="I77" s="2">
        <v>25</v>
      </c>
      <c r="J77" s="19">
        <v>0.12205270457697653</v>
      </c>
      <c r="K77" s="19">
        <v>-1.3597033374536526E-2</v>
      </c>
      <c r="L77" s="19">
        <v>-6.0776942355889776E-2</v>
      </c>
      <c r="M77" s="19">
        <v>-1.3342228152100279E-3</v>
      </c>
      <c r="N77" s="19">
        <v>0.21175684702738812</v>
      </c>
      <c r="Q77" s="2">
        <v>25</v>
      </c>
      <c r="R77" s="19">
        <v>6.8716094032549829E-2</v>
      </c>
      <c r="S77" s="19">
        <v>4.2301184433164052E-2</v>
      </c>
      <c r="T77" s="19">
        <v>-6.0064935064935113E-2</v>
      </c>
      <c r="U77" s="19">
        <v>-8.6355785837651348E-3</v>
      </c>
      <c r="V77" s="19">
        <v>0.25087108013937287</v>
      </c>
    </row>
    <row r="78" spans="1:23" x14ac:dyDescent="0.3">
      <c r="A78" s="2">
        <v>26</v>
      </c>
      <c r="B78" s="22">
        <v>0.10767696909272186</v>
      </c>
      <c r="C78" s="22">
        <v>3.510351035103508E-2</v>
      </c>
      <c r="D78" s="22">
        <v>-3.8260869565217376E-2</v>
      </c>
      <c r="E78" s="22">
        <v>-2.7124773960216677E-3</v>
      </c>
      <c r="F78" s="22">
        <v>0.18676337262012693</v>
      </c>
      <c r="I78" s="2">
        <v>26</v>
      </c>
      <c r="J78" s="19">
        <v>0.10308555399719495</v>
      </c>
      <c r="K78" s="19">
        <v>6.6751430387794061E-2</v>
      </c>
      <c r="L78" s="19">
        <v>-7.1513706793802201E-2</v>
      </c>
      <c r="M78" s="19">
        <v>2.5673940949936442E-3</v>
      </c>
      <c r="N78" s="19">
        <v>0.19398207426376432</v>
      </c>
      <c r="Q78" s="2">
        <v>26</v>
      </c>
      <c r="R78" s="19">
        <v>0.12234042553191478</v>
      </c>
      <c r="S78" s="19">
        <v>-5.0552922590837317E-2</v>
      </c>
      <c r="T78" s="19">
        <v>5.1580698835274538E-2</v>
      </c>
      <c r="U78" s="19">
        <v>-2.0569620253164542E-2</v>
      </c>
      <c r="V78" s="19">
        <v>0.1712439418416801</v>
      </c>
    </row>
    <row r="79" spans="1:23" x14ac:dyDescent="0.3">
      <c r="A79" s="2">
        <v>27</v>
      </c>
      <c r="B79" s="22">
        <v>0.12277413308341147</v>
      </c>
      <c r="C79" s="22">
        <v>1.4190317195325434E-2</v>
      </c>
      <c r="D79" s="22">
        <v>-2.5514403292181066E-2</v>
      </c>
      <c r="E79" s="22">
        <v>-3.9695945945945908E-2</v>
      </c>
      <c r="F79" s="22">
        <v>0.24098504837291113</v>
      </c>
      <c r="I79" s="2">
        <v>27</v>
      </c>
      <c r="J79" s="19">
        <v>0.12095175148711169</v>
      </c>
      <c r="K79" s="19">
        <v>5.3066037735848429E-3</v>
      </c>
      <c r="L79" s="19">
        <v>-1.5249266862170078E-2</v>
      </c>
      <c r="M79" s="19">
        <v>-4.9434187016080974E-2</v>
      </c>
      <c r="N79" s="19">
        <v>0.24498746867167925</v>
      </c>
      <c r="Q79" s="2">
        <v>27</v>
      </c>
      <c r="R79" s="19">
        <v>0.12850082372322891</v>
      </c>
      <c r="S79" s="19">
        <v>3.3576642335766453E-2</v>
      </c>
      <c r="T79" s="19">
        <v>-5.367231638418072E-2</v>
      </c>
      <c r="U79" s="19">
        <v>-1.9402985074626851E-2</v>
      </c>
      <c r="V79" s="19">
        <v>0.22678843226788423</v>
      </c>
    </row>
    <row r="80" spans="1:23" x14ac:dyDescent="0.3">
      <c r="A80" s="2">
        <v>28</v>
      </c>
      <c r="B80" s="22">
        <v>0.15533088235294126</v>
      </c>
      <c r="C80" s="22">
        <v>2.3866348448687239E-2</v>
      </c>
      <c r="D80" s="22">
        <v>-5.6721056721056672E-2</v>
      </c>
      <c r="E80" s="22">
        <v>-1.5650741350906029E-2</v>
      </c>
      <c r="F80" s="22">
        <v>0.22761506276150617</v>
      </c>
      <c r="I80" s="2">
        <v>28</v>
      </c>
      <c r="J80" s="19">
        <v>0.17511520737327188</v>
      </c>
      <c r="K80" s="19">
        <v>5.6022408963592868E-4</v>
      </c>
      <c r="L80" s="19">
        <v>-4.9272116461366165E-2</v>
      </c>
      <c r="M80" s="19">
        <v>-8.2449941107185648E-3</v>
      </c>
      <c r="N80" s="19">
        <v>0.22743467933491679</v>
      </c>
      <c r="Q80" s="2">
        <v>28</v>
      </c>
      <c r="R80" s="19">
        <v>0.10542635658914734</v>
      </c>
      <c r="S80" s="19">
        <v>8.2748948106591905E-2</v>
      </c>
      <c r="T80" s="19">
        <v>-7.512953367875648E-2</v>
      </c>
      <c r="U80" s="19">
        <v>-3.6414565826330507E-2</v>
      </c>
      <c r="V80" s="19">
        <v>0.22093023255813954</v>
      </c>
    </row>
    <row r="81" spans="1:22" x14ac:dyDescent="0.3">
      <c r="A81" s="2">
        <v>29</v>
      </c>
      <c r="B81" s="22">
        <v>6.5348237317282981E-2</v>
      </c>
      <c r="C81" s="22">
        <v>3.7933817594834503E-2</v>
      </c>
      <c r="D81" s="22">
        <v>-1.166407465007779E-2</v>
      </c>
      <c r="E81" s="22">
        <v>-1.8882769472855967E-2</v>
      </c>
      <c r="F81" s="22">
        <v>0.24779470729751404</v>
      </c>
      <c r="I81" s="2">
        <v>29</v>
      </c>
      <c r="J81" s="19">
        <v>5.7527539779681697E-2</v>
      </c>
      <c r="K81" s="19">
        <v>4.5717592592592636E-2</v>
      </c>
      <c r="L81" s="19">
        <v>-4.2058660763696798E-2</v>
      </c>
      <c r="M81" s="19">
        <v>1.1554015020219558E-2</v>
      </c>
      <c r="N81" s="19">
        <v>0.23757852655625367</v>
      </c>
      <c r="Q81" s="2">
        <v>29</v>
      </c>
      <c r="R81" s="19">
        <v>8.3946980854197314E-2</v>
      </c>
      <c r="S81" s="19">
        <v>1.7663043478260858E-2</v>
      </c>
      <c r="T81" s="19">
        <v>6.2750333778371234E-2</v>
      </c>
      <c r="U81" s="19">
        <v>-8.7939698492462401E-2</v>
      </c>
      <c r="V81" s="19">
        <v>0.27272727272727282</v>
      </c>
    </row>
    <row r="82" spans="1:22" x14ac:dyDescent="0.3">
      <c r="A82" s="2">
        <v>30</v>
      </c>
      <c r="B82" s="22">
        <v>0.11937716262975788</v>
      </c>
      <c r="C82" s="22">
        <v>1.9319938176197888E-2</v>
      </c>
      <c r="D82" s="22">
        <v>2.7293404094010619E-2</v>
      </c>
      <c r="E82" s="22">
        <v>-1.107011070110704E-2</v>
      </c>
      <c r="F82" s="22">
        <v>0.2238805970149253</v>
      </c>
      <c r="I82" s="2">
        <v>30</v>
      </c>
      <c r="J82" s="19">
        <v>0.13303628262253342</v>
      </c>
      <c r="K82" s="19">
        <v>1.2921348314606751E-2</v>
      </c>
      <c r="L82" s="19">
        <v>1.99667221297837E-2</v>
      </c>
      <c r="M82" s="19">
        <v>-1.0875475802065427E-3</v>
      </c>
      <c r="N82" s="19">
        <v>0.23952095808383225</v>
      </c>
      <c r="Q82" s="2">
        <v>30</v>
      </c>
      <c r="R82" s="19">
        <v>8.7431693989071094E-2</v>
      </c>
      <c r="S82" s="19">
        <v>3.1407035175879339E-2</v>
      </c>
      <c r="T82" s="19">
        <v>4.3848964677222907E-2</v>
      </c>
      <c r="U82" s="19">
        <v>-3.383897316219376E-2</v>
      </c>
      <c r="V82" s="19">
        <v>0.18840579710144942</v>
      </c>
    </row>
    <row r="83" spans="1:22" x14ac:dyDescent="0.3">
      <c r="A83" s="2">
        <v>31</v>
      </c>
      <c r="B83" s="22">
        <v>9.7621000820344514E-2</v>
      </c>
      <c r="C83" s="22">
        <v>4.035874439461884E-2</v>
      </c>
      <c r="D83" s="22">
        <v>-3.160919540229884E-2</v>
      </c>
      <c r="E83" s="22">
        <v>2.5964391691394566E-2</v>
      </c>
      <c r="F83" s="22">
        <v>0.24150397686189451</v>
      </c>
      <c r="I83" s="2">
        <v>31</v>
      </c>
      <c r="J83" s="19">
        <v>8.1276339554485336E-2</v>
      </c>
      <c r="K83" s="19">
        <v>5.4008908685968741E-2</v>
      </c>
      <c r="L83" s="19">
        <v>-3.5921817221341745E-2</v>
      </c>
      <c r="M83" s="19">
        <v>2.8493150684931485E-2</v>
      </c>
      <c r="N83" s="19">
        <v>0.28023441662226967</v>
      </c>
      <c r="Q83" s="2">
        <v>31</v>
      </c>
      <c r="R83" s="19">
        <v>0.12823834196891196</v>
      </c>
      <c r="S83" s="19">
        <v>6.8886337543053143E-3</v>
      </c>
      <c r="T83" s="19">
        <v>-2.1664766248574597E-2</v>
      </c>
      <c r="U83" s="19">
        <v>1.9813519813519788E-2</v>
      </c>
      <c r="V83" s="19">
        <v>0.15542857142857136</v>
      </c>
    </row>
    <row r="84" spans="1:22" x14ac:dyDescent="0.3">
      <c r="A84" s="2">
        <v>32</v>
      </c>
      <c r="B84" s="22">
        <v>0.11197511664074652</v>
      </c>
      <c r="C84" s="22">
        <v>1.398601398601387E-2</v>
      </c>
      <c r="D84" s="22">
        <v>-1.9999999999999966E-2</v>
      </c>
      <c r="E84" s="22">
        <v>-3.5186488388458926E-3</v>
      </c>
      <c r="F84" s="22">
        <v>0.2591807909604521</v>
      </c>
      <c r="I84" s="2">
        <v>32</v>
      </c>
      <c r="J84" s="19">
        <v>0.12310385064177365</v>
      </c>
      <c r="K84" s="19">
        <v>2.3896103896103912E-2</v>
      </c>
      <c r="L84" s="19">
        <v>-4.3125317097919835E-2</v>
      </c>
      <c r="M84" s="19">
        <v>1.0604453870625575E-2</v>
      </c>
      <c r="N84" s="19">
        <v>0.2670514165792236</v>
      </c>
      <c r="Q84" s="2">
        <v>32</v>
      </c>
      <c r="R84" s="19">
        <v>8.6549707602339265E-2</v>
      </c>
      <c r="S84" s="19">
        <v>-9.687836383207752E-3</v>
      </c>
      <c r="T84" s="19">
        <v>2.5000000000000019E-2</v>
      </c>
      <c r="U84" s="19">
        <v>-3.0752916224814478E-2</v>
      </c>
      <c r="V84" s="19">
        <v>0.24070021881838077</v>
      </c>
    </row>
    <row r="85" spans="1:22" x14ac:dyDescent="0.3">
      <c r="A85" s="2">
        <v>33</v>
      </c>
      <c r="B85" s="22">
        <v>8.2956259426847714E-2</v>
      </c>
      <c r="C85" s="22">
        <v>6.8941504178272925E-2</v>
      </c>
      <c r="D85" s="22">
        <v>-5.4071661237784993E-2</v>
      </c>
      <c r="E85" s="22">
        <v>3.8567493112947701E-2</v>
      </c>
      <c r="F85" s="22">
        <v>0.24867374005305032</v>
      </c>
      <c r="I85" s="2">
        <v>33</v>
      </c>
      <c r="J85" s="19">
        <v>9.8239636570130601E-2</v>
      </c>
      <c r="K85" s="19">
        <v>6.2047569803515966E-2</v>
      </c>
      <c r="L85" s="19">
        <v>-6.2317429406036934E-2</v>
      </c>
      <c r="M85" s="19">
        <v>2.0768431983385197E-2</v>
      </c>
      <c r="N85" s="19">
        <v>0.28992878942014255</v>
      </c>
      <c r="Q85" s="2">
        <v>33</v>
      </c>
      <c r="R85" s="19">
        <v>5.061867266591677E-2</v>
      </c>
      <c r="S85" s="19">
        <v>8.244111349036394E-2</v>
      </c>
      <c r="T85" s="19">
        <v>-4.154302670623139E-2</v>
      </c>
      <c r="U85" s="19">
        <v>7.1207430340557321E-2</v>
      </c>
      <c r="V85" s="19">
        <v>0.1676300578034681</v>
      </c>
    </row>
    <row r="86" spans="1:22" x14ac:dyDescent="0.3">
      <c r="A86" s="2">
        <v>34</v>
      </c>
      <c r="B86" s="22">
        <v>9.5959595959595856E-2</v>
      </c>
      <c r="C86" s="22">
        <v>3.6208031599736762E-2</v>
      </c>
      <c r="D86" s="22">
        <v>-3.6848792884371095E-2</v>
      </c>
      <c r="E86" s="22">
        <v>1.3852242744063303E-2</v>
      </c>
      <c r="F86" s="22">
        <v>0.25178919973975278</v>
      </c>
      <c r="I86" s="2">
        <v>34</v>
      </c>
      <c r="J86" s="19">
        <v>0.10097719869706827</v>
      </c>
      <c r="K86" s="19">
        <v>3.4516765285996148E-2</v>
      </c>
      <c r="L86" s="19">
        <v>-3.9561487130600655E-2</v>
      </c>
      <c r="M86" s="19">
        <v>2.5310173697270604E-2</v>
      </c>
      <c r="N86" s="19">
        <v>0.26185866408518865</v>
      </c>
      <c r="Q86" s="2">
        <v>34</v>
      </c>
      <c r="R86" s="19">
        <v>8.4946236559139632E-2</v>
      </c>
      <c r="S86" s="19">
        <v>3.7661050545094214E-2</v>
      </c>
      <c r="T86" s="19">
        <v>-3.3428844317096348E-2</v>
      </c>
      <c r="U86" s="19">
        <v>-1.2845849802371532E-2</v>
      </c>
      <c r="V86" s="19">
        <v>0.22622622622622607</v>
      </c>
    </row>
    <row r="87" spans="1:22" x14ac:dyDescent="0.3">
      <c r="A87" s="2">
        <v>35</v>
      </c>
      <c r="B87" s="22">
        <v>0.13659237958303366</v>
      </c>
      <c r="C87" s="22">
        <v>2.0872865275142344E-2</v>
      </c>
      <c r="D87" s="22">
        <v>3.7174721189590638E-3</v>
      </c>
      <c r="E87" s="22">
        <v>6.172839506173659E-4</v>
      </c>
      <c r="F87" s="22">
        <v>0.21344848858729176</v>
      </c>
      <c r="I87" s="2">
        <v>35</v>
      </c>
      <c r="J87" s="19">
        <v>0.13653741125068269</v>
      </c>
      <c r="K87" s="19">
        <v>2.4507448342143329E-2</v>
      </c>
      <c r="L87" s="19">
        <v>3.2833020637896937E-3</v>
      </c>
      <c r="M87" s="19">
        <v>7.4801309022907696E-3</v>
      </c>
      <c r="N87" s="19">
        <v>0.22134570765661254</v>
      </c>
      <c r="Q87" s="2">
        <v>35</v>
      </c>
      <c r="R87" s="19">
        <v>0.14044350580781412</v>
      </c>
      <c r="S87" s="19">
        <v>1.3888888888888925E-2</v>
      </c>
      <c r="T87" s="19">
        <v>1.8264840182648846E-3</v>
      </c>
      <c r="U87" s="19">
        <v>-1.2762078395624541E-2</v>
      </c>
      <c r="V87" s="19">
        <v>0.19205909510618657</v>
      </c>
    </row>
    <row r="88" spans="1:22" x14ac:dyDescent="0.3">
      <c r="A88" s="2">
        <v>36</v>
      </c>
      <c r="B88" s="22">
        <v>6.569343065693424E-2</v>
      </c>
      <c r="C88" s="22">
        <v>4.9190535491905406E-2</v>
      </c>
      <c r="D88" s="22">
        <v>-2.0771513353115782E-2</v>
      </c>
      <c r="E88" s="22">
        <v>1.5151515151515192E-2</v>
      </c>
      <c r="F88" s="22">
        <v>0.2507462686567164</v>
      </c>
      <c r="I88" s="2">
        <v>36</v>
      </c>
      <c r="J88" s="19">
        <v>8.0603224128965145E-2</v>
      </c>
      <c r="K88" s="19">
        <v>7.3147256977863437E-2</v>
      </c>
      <c r="L88" s="19">
        <v>-3.6771300448430508E-2</v>
      </c>
      <c r="M88" s="19">
        <v>3.1191806331471034E-2</v>
      </c>
      <c r="N88" s="19">
        <v>0.26455981941309265</v>
      </c>
      <c r="Q88" s="2">
        <v>36</v>
      </c>
      <c r="R88" s="19">
        <v>3.4830430797433601E-2</v>
      </c>
      <c r="S88" s="19">
        <v>9.7431355181576106E-3</v>
      </c>
      <c r="T88" s="19">
        <v>8.7719298245614273E-3</v>
      </c>
      <c r="U88" s="19">
        <v>-1.478260869565225E-2</v>
      </c>
      <c r="V88" s="19">
        <v>0.22241835834068852</v>
      </c>
    </row>
    <row r="89" spans="1:22" x14ac:dyDescent="0.3">
      <c r="A89" s="2">
        <v>37</v>
      </c>
      <c r="B89" s="22">
        <v>0.10492227979274614</v>
      </c>
      <c r="C89" s="22">
        <v>1.1137162954278967E-2</v>
      </c>
      <c r="D89" s="22">
        <v>2.898550724637689E-3</v>
      </c>
      <c r="E89" s="22">
        <v>1.9653179190751421E-2</v>
      </c>
      <c r="F89" s="22">
        <v>0.26643990929705214</v>
      </c>
      <c r="I89" s="2">
        <v>37</v>
      </c>
      <c r="J89" s="19">
        <v>0.11467200801201805</v>
      </c>
      <c r="K89" s="19">
        <v>2.6954177897573805E-3</v>
      </c>
      <c r="L89" s="19">
        <v>1.478494623655916E-2</v>
      </c>
      <c r="M89" s="19">
        <v>2.5607064017659994E-2</v>
      </c>
      <c r="N89" s="19">
        <v>0.2750753336203185</v>
      </c>
      <c r="Q89" s="2">
        <v>37</v>
      </c>
      <c r="R89" s="19">
        <v>8.6916742909423639E-2</v>
      </c>
      <c r="S89" s="19">
        <v>2.2727272727272641E-2</v>
      </c>
      <c r="T89" s="19">
        <v>-1.4814814814814819E-2</v>
      </c>
      <c r="U89" s="19">
        <v>6.6833751044277174E-3</v>
      </c>
      <c r="V89" s="19">
        <v>0.24730290456431545</v>
      </c>
    </row>
    <row r="90" spans="1:22" x14ac:dyDescent="0.3">
      <c r="A90" s="2">
        <v>38</v>
      </c>
      <c r="B90" s="22">
        <v>0.10334158415841586</v>
      </c>
      <c r="C90" s="22">
        <v>5.6085249579355912E-4</v>
      </c>
      <c r="D90" s="22">
        <v>0</v>
      </c>
      <c r="E90" s="22">
        <v>6.4461883408071796E-2</v>
      </c>
      <c r="F90" s="22">
        <v>0.19167983149025788</v>
      </c>
      <c r="I90" s="2">
        <v>38</v>
      </c>
      <c r="J90" s="19">
        <v>0.11290322580645154</v>
      </c>
      <c r="K90" s="19">
        <v>3.1620553359683799E-2</v>
      </c>
      <c r="L90" s="19">
        <v>-8.9399744572157304E-3</v>
      </c>
      <c r="M90" s="19">
        <v>5.5412371134020519E-2</v>
      </c>
      <c r="N90" s="19">
        <v>0.2189662189662189</v>
      </c>
      <c r="Q90" s="2">
        <v>38</v>
      </c>
      <c r="R90" s="19">
        <v>8.4731543624161229E-2</v>
      </c>
      <c r="S90" s="19">
        <v>-5.5684454756380515E-2</v>
      </c>
      <c r="T90" s="19">
        <v>1.3923013923013816E-2</v>
      </c>
      <c r="U90" s="19">
        <v>8.4814216478190679E-2</v>
      </c>
      <c r="V90" s="19">
        <v>0.13998510796723754</v>
      </c>
    </row>
    <row r="91" spans="1:22" x14ac:dyDescent="0.3">
      <c r="A91" s="2">
        <v>39</v>
      </c>
      <c r="B91" s="22">
        <v>9.6349491322561417E-2</v>
      </c>
      <c r="C91" s="22">
        <v>3.4388646288209555E-2</v>
      </c>
      <c r="D91" s="22">
        <v>2.9023746701846927E-2</v>
      </c>
      <c r="E91" s="22">
        <v>-1.1794871794871804E-2</v>
      </c>
      <c r="F91" s="22">
        <v>0.27815256875973016</v>
      </c>
      <c r="I91" s="2">
        <v>39</v>
      </c>
      <c r="J91" s="19">
        <v>9.3023255813953529E-2</v>
      </c>
      <c r="K91" s="19">
        <v>3.2340425531914942E-2</v>
      </c>
      <c r="L91" s="19">
        <v>2.9266281945589397E-2</v>
      </c>
      <c r="M91" s="19">
        <v>-2.0424509411293656E-2</v>
      </c>
      <c r="N91" s="19">
        <v>0.34219133278822572</v>
      </c>
      <c r="Q91" s="2">
        <v>39</v>
      </c>
      <c r="R91" s="19">
        <v>0.1027568922305765</v>
      </c>
      <c r="S91" s="19">
        <v>3.6363636363636424E-2</v>
      </c>
      <c r="T91" s="19">
        <v>2.7046783625730937E-2</v>
      </c>
      <c r="U91" s="19">
        <v>1.4234875444840203E-3</v>
      </c>
      <c r="V91" s="19">
        <v>0.16986496090973691</v>
      </c>
    </row>
    <row r="92" spans="1:22" x14ac:dyDescent="0.3">
      <c r="A92" s="2">
        <v>40</v>
      </c>
      <c r="B92" s="22">
        <v>0.10086956521739136</v>
      </c>
      <c r="C92" s="22">
        <v>5.1079515534491762E-2</v>
      </c>
      <c r="D92" s="22">
        <v>-1.7535070140280499E-2</v>
      </c>
      <c r="E92" s="22">
        <v>7.2921978582355884E-2</v>
      </c>
      <c r="F92" s="22">
        <v>0.18773764258555131</v>
      </c>
      <c r="I92" s="2">
        <v>40</v>
      </c>
      <c r="J92" s="19">
        <v>0.11147236414305629</v>
      </c>
      <c r="K92" s="19">
        <v>6.8115336397826964E-2</v>
      </c>
      <c r="L92" s="19">
        <v>-1.8388106416275495E-2</v>
      </c>
      <c r="M92" s="19">
        <v>9.6054204862494982E-2</v>
      </c>
      <c r="N92" s="19">
        <v>0.19927272727272741</v>
      </c>
      <c r="Q92" s="2">
        <v>40</v>
      </c>
      <c r="R92" s="19">
        <v>8.4550345887778516E-2</v>
      </c>
      <c r="S92" s="19">
        <v>2.19702338766832E-2</v>
      </c>
      <c r="T92" s="19">
        <v>-1.7337031900138591E-2</v>
      </c>
      <c r="U92" s="19">
        <v>3.2462949894142577E-2</v>
      </c>
      <c r="V92" s="19">
        <v>0.16131237183868755</v>
      </c>
    </row>
    <row r="93" spans="1:22" x14ac:dyDescent="0.3">
      <c r="A93" s="2">
        <v>41</v>
      </c>
      <c r="B93" s="22">
        <v>2.5144054478784632E-2</v>
      </c>
      <c r="C93" s="22">
        <v>5.4675523760858401E-2</v>
      </c>
      <c r="D93" s="22">
        <v>-5.3294573643409525E-3</v>
      </c>
      <c r="E93" s="22">
        <v>2.4354603019970625E-2</v>
      </c>
      <c r="F93" s="22">
        <v>0.28958630527817414</v>
      </c>
      <c r="I93" s="2">
        <v>41</v>
      </c>
      <c r="J93" s="19">
        <v>4.8965808357956851E-2</v>
      </c>
      <c r="K93" s="19">
        <v>5.352112676056351E-2</v>
      </c>
      <c r="L93" s="19">
        <v>3.055767761650023E-3</v>
      </c>
      <c r="M93" s="19">
        <v>2.4371667936024469E-2</v>
      </c>
      <c r="N93" s="19">
        <v>0.30483271375464682</v>
      </c>
      <c r="Q93" s="2">
        <v>41</v>
      </c>
      <c r="R93" s="19">
        <v>-1.5109890109890179E-2</v>
      </c>
      <c r="S93" s="19">
        <v>5.7880055788005549E-2</v>
      </c>
      <c r="T93" s="19">
        <v>-1.8457481872115898E-2</v>
      </c>
      <c r="U93" s="19">
        <v>2.1490933512424384E-2</v>
      </c>
      <c r="V93" s="19">
        <v>0.26166995397764625</v>
      </c>
    </row>
    <row r="94" spans="1:22" x14ac:dyDescent="0.3">
      <c r="A94" s="2">
        <v>42</v>
      </c>
      <c r="B94" s="22">
        <v>1.45067698259188E-2</v>
      </c>
      <c r="C94" s="22">
        <v>1.6682554814108616E-2</v>
      </c>
      <c r="D94" s="22">
        <v>5.6258790436006997E-3</v>
      </c>
      <c r="E94" s="22">
        <v>3.1235431235431134E-2</v>
      </c>
      <c r="F94" s="22">
        <v>0.23779385171790235</v>
      </c>
      <c r="I94" s="2">
        <v>42</v>
      </c>
      <c r="J94" s="19">
        <v>1.9685039370078618E-2</v>
      </c>
      <c r="K94" s="19">
        <v>1.6988416988417066E-2</v>
      </c>
      <c r="L94" s="19">
        <v>2.7334851936218683E-2</v>
      </c>
      <c r="M94" s="19">
        <v>5.9497413155949787E-2</v>
      </c>
      <c r="N94" s="19">
        <v>0.24415765608650145</v>
      </c>
      <c r="Q94" s="2">
        <v>42</v>
      </c>
      <c r="R94" s="19">
        <v>5.6074766355139524E-3</v>
      </c>
      <c r="S94" s="19">
        <v>1.3630731102850124E-2</v>
      </c>
      <c r="T94" s="19">
        <v>-2.689486552567236E-2</v>
      </c>
      <c r="U94" s="19">
        <v>-1.6331658291457409E-2</v>
      </c>
      <c r="V94" s="19">
        <v>0.2241379310344829</v>
      </c>
    </row>
    <row r="95" spans="1:22" x14ac:dyDescent="0.3">
      <c r="A95" s="2">
        <v>43</v>
      </c>
      <c r="B95" s="22">
        <v>8.4870848708487157E-2</v>
      </c>
      <c r="C95" s="22">
        <v>-2.0408163265306065E-2</v>
      </c>
      <c r="D95" s="22">
        <v>-2.9079861111111206E-2</v>
      </c>
      <c r="E95" s="22">
        <v>3.5762181493071171E-2</v>
      </c>
      <c r="F95" s="22">
        <v>0.25507121277514022</v>
      </c>
      <c r="I95" s="2">
        <v>43</v>
      </c>
      <c r="J95" s="19">
        <v>0.1102747459540835</v>
      </c>
      <c r="K95" s="19">
        <v>-3.3220338983050844E-2</v>
      </c>
      <c r="L95" s="19">
        <v>-2.8050490883590386E-2</v>
      </c>
      <c r="M95" s="19">
        <v>4.7979797979797928E-2</v>
      </c>
      <c r="N95" s="19">
        <v>0.29363166953528402</v>
      </c>
      <c r="Q95" s="2">
        <v>43</v>
      </c>
      <c r="R95" s="19">
        <v>4.8635824436536204E-2</v>
      </c>
      <c r="S95" s="19">
        <v>-2.262443438914082E-3</v>
      </c>
      <c r="T95" s="19">
        <v>-3.2312925170068015E-2</v>
      </c>
      <c r="U95" s="19">
        <v>1.6988869361452809E-2</v>
      </c>
      <c r="V95" s="19">
        <v>0.19297235023041476</v>
      </c>
    </row>
    <row r="96" spans="1:22" x14ac:dyDescent="0.3">
      <c r="A96" s="2">
        <v>44</v>
      </c>
      <c r="B96" s="22">
        <v>2.9166666666666747E-2</v>
      </c>
      <c r="C96" s="22">
        <v>-1.781376518218614E-2</v>
      </c>
      <c r="D96" s="22">
        <v>1.4427040395713055E-2</v>
      </c>
      <c r="E96" s="22">
        <v>-2.3567655424624093E-2</v>
      </c>
      <c r="F96" s="22">
        <v>0.27840199750312106</v>
      </c>
      <c r="I96" s="2">
        <v>44</v>
      </c>
      <c r="J96" s="19">
        <v>4.4187627464309959E-2</v>
      </c>
      <c r="K96" s="19">
        <v>-1.3997395833333355E-2</v>
      </c>
      <c r="L96" s="19">
        <v>2.5751072961373373E-2</v>
      </c>
      <c r="M96" s="19">
        <v>-2.6392018023817201E-2</v>
      </c>
      <c r="N96" s="19">
        <v>0.30082644628099181</v>
      </c>
      <c r="Q96" s="2">
        <v>44</v>
      </c>
      <c r="R96" s="19">
        <v>6.9630423138725183E-3</v>
      </c>
      <c r="S96" s="19">
        <v>-2.2872340425531837E-2</v>
      </c>
      <c r="T96" s="19">
        <v>-6.5323897659227406E-3</v>
      </c>
      <c r="U96" s="19">
        <v>-2.0273972602739682E-2</v>
      </c>
      <c r="V96" s="19">
        <v>0.24328859060402686</v>
      </c>
    </row>
    <row r="97" spans="1:22" x14ac:dyDescent="0.3">
      <c r="A97" s="2">
        <v>45</v>
      </c>
      <c r="B97" s="22">
        <v>5.8940661091198596E-2</v>
      </c>
      <c r="C97" s="22">
        <v>1.203459947348624E-2</v>
      </c>
      <c r="D97" s="22">
        <v>3.7160906726129052E-4</v>
      </c>
      <c r="E97" s="22">
        <v>-1.5601783060921226E-2</v>
      </c>
      <c r="F97" s="22">
        <v>0.21509433962264157</v>
      </c>
      <c r="I97" s="2">
        <v>45</v>
      </c>
      <c r="J97" s="19">
        <v>6.7434210526315749E-2</v>
      </c>
      <c r="K97" s="19">
        <v>4.5608628659476153E-2</v>
      </c>
      <c r="L97" s="19">
        <v>-1.0020630710285933E-2</v>
      </c>
      <c r="M97" s="19">
        <v>-1.1610598392378676E-2</v>
      </c>
      <c r="N97" s="19">
        <v>0.22801204819277104</v>
      </c>
      <c r="Q97" s="2">
        <v>45</v>
      </c>
      <c r="R97" s="19">
        <v>4.9320583794665321E-2</v>
      </c>
      <c r="S97" s="19">
        <v>-3.9328537170263807E-2</v>
      </c>
      <c r="T97" s="19">
        <v>1.8472291562656087E-2</v>
      </c>
      <c r="U97" s="19">
        <v>-2.3039215686274591E-2</v>
      </c>
      <c r="V97" s="19">
        <v>0.19066733567486208</v>
      </c>
    </row>
    <row r="98" spans="1:22" x14ac:dyDescent="0.3">
      <c r="A98" s="2">
        <v>46</v>
      </c>
      <c r="B98" s="22">
        <v>-2.4700070571630423E-3</v>
      </c>
      <c r="C98" s="22">
        <v>2.6883622214361552E-2</v>
      </c>
      <c r="D98" s="22">
        <v>8.2673096796416507E-3</v>
      </c>
      <c r="E98" s="22">
        <v>-1.6399043389135587E-2</v>
      </c>
      <c r="F98" s="22">
        <v>0.21882598124348729</v>
      </c>
      <c r="I98" s="2">
        <v>46</v>
      </c>
      <c r="J98" s="19">
        <v>-8.6830680173660333E-4</v>
      </c>
      <c r="K98" s="19">
        <v>4.1135573580532957E-2</v>
      </c>
      <c r="L98" s="19">
        <v>9.4602114635504112E-3</v>
      </c>
      <c r="M98" s="19">
        <v>-3.8588754134509708E-3</v>
      </c>
      <c r="N98" s="19">
        <v>0.23381294964028784</v>
      </c>
      <c r="Q98" s="2">
        <v>46</v>
      </c>
      <c r="R98" s="19">
        <v>-5.4029716343988558E-3</v>
      </c>
      <c r="S98" s="19">
        <v>8.1484834766861868E-3</v>
      </c>
      <c r="T98" s="19">
        <v>6.28648405927262E-3</v>
      </c>
      <c r="U98" s="19">
        <v>-3.4805890227576949E-2</v>
      </c>
      <c r="V98" s="19">
        <v>0.192325473878872</v>
      </c>
    </row>
    <row r="99" spans="1:22" x14ac:dyDescent="0.3">
      <c r="A99" s="2">
        <v>47</v>
      </c>
      <c r="B99" s="22">
        <v>1.7886717456111371E-2</v>
      </c>
      <c r="C99" s="22">
        <v>7.4845427920597401E-3</v>
      </c>
      <c r="D99" s="22">
        <v>-5.1679586563307348E-3</v>
      </c>
      <c r="E99" s="22">
        <v>6.4935064935065113E-3</v>
      </c>
      <c r="F99" s="22">
        <v>0.22838709677419367</v>
      </c>
      <c r="I99" s="2">
        <v>47</v>
      </c>
      <c r="J99" s="19">
        <v>3.5169029443838665E-2</v>
      </c>
      <c r="K99" s="19">
        <v>5.2673163023439695E-3</v>
      </c>
      <c r="L99" s="19">
        <v>7.3356038773905721E-3</v>
      </c>
      <c r="M99" s="19">
        <v>1.0663198959687968E-2</v>
      </c>
      <c r="N99" s="19">
        <v>0.24549665465774564</v>
      </c>
      <c r="Q99" s="2">
        <v>47</v>
      </c>
      <c r="R99" s="19">
        <v>-8.3998320033599558E-3</v>
      </c>
      <c r="S99" s="19">
        <v>1.058873358746306E-2</v>
      </c>
      <c r="T99" s="19">
        <v>-2.1793797150041896E-2</v>
      </c>
      <c r="U99" s="19">
        <v>-1.2853470437017842E-3</v>
      </c>
      <c r="V99" s="19">
        <v>0.20291720291720286</v>
      </c>
    </row>
    <row r="100" spans="1:22" x14ac:dyDescent="0.3">
      <c r="A100" s="2">
        <v>48</v>
      </c>
      <c r="B100" s="22">
        <v>7.7174235678242747E-3</v>
      </c>
      <c r="C100" s="22">
        <v>-1.1782032400589133E-2</v>
      </c>
      <c r="D100" s="22">
        <v>-2.8315946348733245E-2</v>
      </c>
      <c r="E100" s="22">
        <v>3.0368098159509242E-2</v>
      </c>
      <c r="F100" s="22">
        <v>0.22834176838344755</v>
      </c>
      <c r="I100" s="2">
        <v>48</v>
      </c>
      <c r="J100" s="19">
        <v>2.5307125307125259E-2</v>
      </c>
      <c r="K100" s="19">
        <v>-1.2700694943685415E-2</v>
      </c>
      <c r="L100" s="19">
        <v>-1.9174757281553417E-2</v>
      </c>
      <c r="M100" s="19">
        <v>3.4892353377876668E-2</v>
      </c>
      <c r="N100" s="19">
        <v>0.2649450023912005</v>
      </c>
      <c r="Q100" s="2">
        <v>48</v>
      </c>
      <c r="R100" s="19">
        <v>-1.9381289601192682E-2</v>
      </c>
      <c r="S100" s="19">
        <v>-1.0262257696693316E-2</v>
      </c>
      <c r="T100" s="19">
        <v>-4.3010752688172088E-2</v>
      </c>
      <c r="U100" s="19">
        <v>2.5682182985553876E-2</v>
      </c>
      <c r="V100" s="19">
        <v>0.17018779342723006</v>
      </c>
    </row>
    <row r="101" spans="1:22" x14ac:dyDescent="0.3">
      <c r="A101" s="2">
        <v>49</v>
      </c>
      <c r="B101" s="22">
        <v>4.2780748663101484E-3</v>
      </c>
      <c r="C101" s="22">
        <v>-3.2481363152289597E-2</v>
      </c>
      <c r="D101" s="22">
        <v>3.0269675288937055E-3</v>
      </c>
      <c r="E101" s="22">
        <v>-2.3868312757201603E-2</v>
      </c>
      <c r="F101" s="22">
        <v>0.23946037099494094</v>
      </c>
      <c r="I101" s="2">
        <v>49</v>
      </c>
      <c r="J101" s="19">
        <v>-5.2253429131286127E-3</v>
      </c>
      <c r="K101" s="19">
        <v>-2.3418691179689279E-2</v>
      </c>
      <c r="L101" s="19">
        <v>2.173913043478258E-2</v>
      </c>
      <c r="M101" s="19">
        <v>-3.1366527747312987E-2</v>
      </c>
      <c r="N101" s="19">
        <v>0.27830615942028986</v>
      </c>
      <c r="Q101" s="2">
        <v>49</v>
      </c>
      <c r="R101" s="19">
        <v>1.9607843137254968E-2</v>
      </c>
      <c r="S101" s="19">
        <v>-4.7233468286099839E-2</v>
      </c>
      <c r="T101" s="19">
        <v>-2.6558073654390925E-2</v>
      </c>
      <c r="U101" s="19">
        <v>-1.2004365223717731E-2</v>
      </c>
      <c r="V101" s="19">
        <v>0.18151693667157581</v>
      </c>
    </row>
    <row r="102" spans="1:22" x14ac:dyDescent="0.3">
      <c r="A102" s="2">
        <v>50</v>
      </c>
      <c r="B102" s="22">
        <v>1.6300321066930128E-2</v>
      </c>
      <c r="C102" s="22">
        <v>-1.4823815309841903E-2</v>
      </c>
      <c r="D102" s="22">
        <v>-3.0587074494326582E-2</v>
      </c>
      <c r="E102" s="22">
        <v>3.3078880407124657E-3</v>
      </c>
      <c r="F102" s="22">
        <v>0.1861526756276945</v>
      </c>
      <c r="I102" s="2">
        <v>50</v>
      </c>
      <c r="J102" s="19">
        <v>1.6952573158425806E-2</v>
      </c>
      <c r="K102" s="19">
        <v>-1.2899384798571136E-2</v>
      </c>
      <c r="L102" s="19">
        <v>-1.9903498190591101E-2</v>
      </c>
      <c r="M102" s="19">
        <v>6.7692307692307782E-3</v>
      </c>
      <c r="N102" s="19">
        <v>0.20863895680521591</v>
      </c>
      <c r="Q102" s="2">
        <v>50</v>
      </c>
      <c r="R102" s="19">
        <v>1.516108654453565E-2</v>
      </c>
      <c r="S102" s="19">
        <v>-1.680149346608581E-2</v>
      </c>
      <c r="T102" s="19">
        <v>-4.873417721518989E-2</v>
      </c>
      <c r="U102" s="19">
        <v>-2.3286759813706125E-3</v>
      </c>
      <c r="V102" s="19">
        <v>0.14938312770923642</v>
      </c>
    </row>
    <row r="103" spans="1:22" x14ac:dyDescent="0.3">
      <c r="A103" s="2">
        <v>51</v>
      </c>
      <c r="B103" s="22">
        <v>-1.7009847806624817E-2</v>
      </c>
      <c r="C103" s="22">
        <v>2.1857923497267697E-2</v>
      </c>
      <c r="D103" s="22">
        <v>-2.896613190730836E-2</v>
      </c>
      <c r="E103" s="22">
        <v>-1.4456172556218378E-2</v>
      </c>
      <c r="F103" s="22">
        <v>0.19813736903376022</v>
      </c>
      <c r="I103" s="2">
        <v>51</v>
      </c>
      <c r="J103" s="19">
        <v>-3.006157189424128E-2</v>
      </c>
      <c r="K103" s="19">
        <v>3.7901418969380145E-2</v>
      </c>
      <c r="L103" s="19">
        <v>-3.7776578521316807E-2</v>
      </c>
      <c r="M103" s="19">
        <v>7.4780332772481041E-3</v>
      </c>
      <c r="N103" s="19">
        <v>0.20745964000742256</v>
      </c>
      <c r="Q103" s="2">
        <v>51</v>
      </c>
      <c r="R103" s="19">
        <v>1.7401392111368703E-3</v>
      </c>
      <c r="S103" s="19">
        <v>-2.0266357845975858E-3</v>
      </c>
      <c r="T103" s="19">
        <v>-1.4505366985784779E-2</v>
      </c>
      <c r="U103" s="19">
        <v>-4.9749779216956107E-2</v>
      </c>
      <c r="V103" s="19">
        <v>0.18277571251548955</v>
      </c>
    </row>
    <row r="104" spans="1:22" x14ac:dyDescent="0.3">
      <c r="A104" s="2">
        <v>52</v>
      </c>
      <c r="B104" s="22">
        <v>-1.2234910277326256E-3</v>
      </c>
      <c r="C104" s="22">
        <v>-3.0216414863209414E-2</v>
      </c>
      <c r="D104" s="22">
        <v>2.9473684210526577E-3</v>
      </c>
      <c r="E104" s="22">
        <v>-1.4483627204030146E-2</v>
      </c>
      <c r="F104" s="22">
        <v>0.19765708200212992</v>
      </c>
      <c r="I104" s="2">
        <v>52</v>
      </c>
      <c r="J104" s="19">
        <v>8.3084081090062639E-3</v>
      </c>
      <c r="K104" s="19">
        <v>-3.6420566908371761E-2</v>
      </c>
      <c r="L104" s="19">
        <v>1.2314007183170861E-2</v>
      </c>
      <c r="M104" s="19">
        <v>-4.0547389761783608E-3</v>
      </c>
      <c r="N104" s="19">
        <v>0.21102629346904161</v>
      </c>
      <c r="Q104" s="2">
        <v>52</v>
      </c>
      <c r="R104" s="19">
        <v>-1.5922735578178096E-2</v>
      </c>
      <c r="S104" s="19">
        <v>-2.2546419098143238E-2</v>
      </c>
      <c r="T104" s="19">
        <v>-1.1397557666214366E-2</v>
      </c>
      <c r="U104" s="19">
        <v>-3.0194894317869848E-2</v>
      </c>
      <c r="V104" s="19">
        <v>0.17407302575714681</v>
      </c>
    </row>
    <row r="105" spans="1:22" x14ac:dyDescent="0.3">
      <c r="A105" s="2">
        <v>53</v>
      </c>
      <c r="B105" s="22">
        <v>-7.4377091855702183E-4</v>
      </c>
      <c r="C105" s="22">
        <v>-2.3260141421659861E-2</v>
      </c>
      <c r="D105" s="22">
        <v>-2.7814821870832594E-2</v>
      </c>
      <c r="E105" s="22">
        <v>-8.2304526748970229E-3</v>
      </c>
      <c r="F105" s="22">
        <v>0.20252914443785808</v>
      </c>
      <c r="I105" s="2">
        <v>53</v>
      </c>
      <c r="J105" s="19">
        <v>-3.7633599277434667E-3</v>
      </c>
      <c r="K105" s="19">
        <v>-1.0728316711997565E-2</v>
      </c>
      <c r="L105" s="19">
        <v>-2.8715442187261311E-2</v>
      </c>
      <c r="M105" s="19">
        <v>-1.3838653876395723E-2</v>
      </c>
      <c r="N105" s="19">
        <v>0.23074469781534052</v>
      </c>
      <c r="Q105" s="2">
        <v>53</v>
      </c>
      <c r="R105" s="19">
        <v>3.6023054755043842E-3</v>
      </c>
      <c r="S105" s="19">
        <v>-4.2833213687485119E-2</v>
      </c>
      <c r="T105" s="19">
        <v>-2.8250000000000063E-2</v>
      </c>
      <c r="U105" s="19">
        <v>7.7180344738872258E-4</v>
      </c>
      <c r="V105" s="19">
        <v>0.15938303341902324</v>
      </c>
    </row>
    <row r="106" spans="1:22" x14ac:dyDescent="0.3">
      <c r="A106" s="2">
        <v>54</v>
      </c>
      <c r="B106" s="22">
        <v>6.1738981306807706E-3</v>
      </c>
      <c r="C106" s="22">
        <v>-1.8237600136355798E-2</v>
      </c>
      <c r="D106" s="22">
        <v>-1.5625000000000114E-2</v>
      </c>
      <c r="E106" s="22">
        <v>-2.0105820105820023E-2</v>
      </c>
      <c r="F106" s="22">
        <v>0.19942404607631381</v>
      </c>
      <c r="I106" s="2">
        <v>54</v>
      </c>
      <c r="J106" s="19">
        <v>2.7453671928624095E-4</v>
      </c>
      <c r="K106" s="19">
        <v>-1.5369836695485127E-2</v>
      </c>
      <c r="L106" s="19">
        <v>-1.3519163763066184E-2</v>
      </c>
      <c r="M106" s="19">
        <v>-1.4975981915795449E-2</v>
      </c>
      <c r="N106" s="19">
        <v>0.21514629948364894</v>
      </c>
      <c r="Q106" s="2">
        <v>54</v>
      </c>
      <c r="R106" s="19">
        <v>1.4858171994597049E-2</v>
      </c>
      <c r="S106" s="19">
        <v>-2.2848269742679634E-2</v>
      </c>
      <c r="T106" s="19">
        <v>-1.9296254256526674E-2</v>
      </c>
      <c r="U106" s="19">
        <v>-2.9861111111111057E-2</v>
      </c>
      <c r="V106" s="19">
        <v>0.17394416607015023</v>
      </c>
    </row>
    <row r="107" spans="1:22" x14ac:dyDescent="0.3">
      <c r="A107" s="2">
        <v>55</v>
      </c>
      <c r="B107" s="22">
        <v>3.3609352167559621E-2</v>
      </c>
      <c r="C107" s="22">
        <v>-4.8696198554822141E-3</v>
      </c>
      <c r="D107" s="22">
        <v>-1.8942383583267611E-2</v>
      </c>
      <c r="E107" s="22">
        <v>-1.4481094127111795E-2</v>
      </c>
      <c r="F107" s="22">
        <v>0.16424489795918365</v>
      </c>
      <c r="I107" s="2">
        <v>55</v>
      </c>
      <c r="J107" s="19">
        <v>3.1494013534617504E-2</v>
      </c>
      <c r="K107" s="19">
        <v>-4.4158465808731145E-3</v>
      </c>
      <c r="L107" s="19">
        <v>-1.1405398555316268E-2</v>
      </c>
      <c r="M107" s="19">
        <v>-8.4604537879759117E-3</v>
      </c>
      <c r="N107" s="19">
        <v>0.17685843568196513</v>
      </c>
      <c r="Q107" s="2">
        <v>55</v>
      </c>
      <c r="R107" s="19">
        <v>3.8739889314601934E-2</v>
      </c>
      <c r="S107" s="19">
        <v>-5.73770491803266E-3</v>
      </c>
      <c r="T107" s="19">
        <v>-3.0708985985160898E-2</v>
      </c>
      <c r="U107" s="19">
        <v>-2.4877737614288735E-2</v>
      </c>
      <c r="V107" s="19">
        <v>0.14151766245093769</v>
      </c>
    </row>
    <row r="108" spans="1:22" x14ac:dyDescent="0.3">
      <c r="A108" s="2">
        <v>56</v>
      </c>
      <c r="B108" s="22">
        <v>-2.1513244548514499E-2</v>
      </c>
      <c r="C108" s="22">
        <v>1.4358360753813899E-2</v>
      </c>
      <c r="D108" s="22">
        <v>5.7505160719551716E-3</v>
      </c>
      <c r="E108" s="22">
        <v>-2.6242486438938496E-2</v>
      </c>
      <c r="F108" s="22">
        <v>0.17193616380608245</v>
      </c>
      <c r="I108" s="2">
        <v>56</v>
      </c>
      <c r="J108" s="19">
        <v>-2.5755615665059444E-2</v>
      </c>
      <c r="K108" s="19">
        <v>2.1487204249155126E-2</v>
      </c>
      <c r="L108" s="19">
        <v>6.263294729378306E-3</v>
      </c>
      <c r="M108" s="19">
        <v>-1.6676453317674665E-2</v>
      </c>
      <c r="N108" s="19">
        <v>0.19335960826466009</v>
      </c>
      <c r="Q108" s="2">
        <v>56</v>
      </c>
      <c r="R108" s="19">
        <v>-1.6202821197102556E-2</v>
      </c>
      <c r="S108" s="19">
        <v>5.4253051734160524E-3</v>
      </c>
      <c r="T108" s="19">
        <v>4.4324532665252613E-3</v>
      </c>
      <c r="U108" s="19">
        <v>-4.125095932463544E-2</v>
      </c>
      <c r="V108" s="19">
        <v>0.13728236942165301</v>
      </c>
    </row>
    <row r="109" spans="1:22" x14ac:dyDescent="0.3">
      <c r="A109" s="2">
        <v>57</v>
      </c>
      <c r="B109" s="22">
        <v>7.8548212351029108E-3</v>
      </c>
      <c r="C109" s="22">
        <v>-2.2037086804622425E-2</v>
      </c>
      <c r="D109" s="22">
        <v>1.0992030777686207E-2</v>
      </c>
      <c r="E109" s="22">
        <v>-9.2416417504757199E-3</v>
      </c>
      <c r="F109" s="22">
        <v>0.15884773662551455</v>
      </c>
      <c r="I109" s="2">
        <v>57</v>
      </c>
      <c r="J109" s="19">
        <v>7.6599417412881524E-3</v>
      </c>
      <c r="K109" s="19">
        <v>-3.3297644539614431E-2</v>
      </c>
      <c r="L109" s="19">
        <v>2.5473474360394207E-2</v>
      </c>
      <c r="M109" s="19">
        <v>-1.0800302408467372E-2</v>
      </c>
      <c r="N109" s="19">
        <v>0.16661207555409974</v>
      </c>
      <c r="Q109" s="2">
        <v>57</v>
      </c>
      <c r="R109" s="19">
        <v>8.3913586859489676E-3</v>
      </c>
      <c r="S109" s="19">
        <v>-6.1968838526912729E-3</v>
      </c>
      <c r="T109" s="19">
        <v>-8.9078923926598427E-3</v>
      </c>
      <c r="U109" s="19">
        <v>-7.3701240337947574E-3</v>
      </c>
      <c r="V109" s="19">
        <v>0.14632379572618612</v>
      </c>
    </row>
    <row r="110" spans="1:22" x14ac:dyDescent="0.3">
      <c r="A110" s="2">
        <v>58</v>
      </c>
      <c r="B110" s="22">
        <v>5.8501844079866675E-3</v>
      </c>
      <c r="C110" s="22">
        <v>3.4138323429006175E-3</v>
      </c>
      <c r="D110" s="22">
        <v>-2.0665322580645171E-2</v>
      </c>
      <c r="E110" s="22">
        <v>7.7200205867215847E-3</v>
      </c>
      <c r="F110" s="22">
        <v>0.16343207354443307</v>
      </c>
      <c r="I110" s="2">
        <v>58</v>
      </c>
      <c r="J110" s="19">
        <v>8.3240280174602041E-3</v>
      </c>
      <c r="K110" s="19">
        <v>-1.7114668277460371E-3</v>
      </c>
      <c r="L110" s="19">
        <v>-1.603469140782568E-2</v>
      </c>
      <c r="M110" s="19">
        <v>7.9942605309008853E-3</v>
      </c>
      <c r="N110" s="19">
        <v>0.18505338078291819</v>
      </c>
      <c r="Q110" s="2">
        <v>58</v>
      </c>
      <c r="R110" s="19">
        <v>1.3342228152101725E-3</v>
      </c>
      <c r="S110" s="19">
        <v>1.0992671552298482E-2</v>
      </c>
      <c r="T110" s="19">
        <v>-2.9159802306425054E-2</v>
      </c>
      <c r="U110" s="19">
        <v>9.1634142202613664E-3</v>
      </c>
      <c r="V110" s="19">
        <v>0.12897259122246515</v>
      </c>
    </row>
    <row r="111" spans="1:22" x14ac:dyDescent="0.3">
      <c r="A111" s="2">
        <v>59</v>
      </c>
      <c r="B111" s="22">
        <v>1.1461656622946929E-2</v>
      </c>
      <c r="C111" s="22">
        <v>-1.9859813084111746E-3</v>
      </c>
      <c r="D111" s="22">
        <v>-1.170548987475078E-3</v>
      </c>
      <c r="E111" s="22">
        <v>-2.5899449197234348E-2</v>
      </c>
      <c r="F111" s="22">
        <v>0.1930943214629452</v>
      </c>
      <c r="I111" s="2">
        <v>59</v>
      </c>
      <c r="J111" s="19">
        <v>9.3353248693055571E-3</v>
      </c>
      <c r="K111" s="19">
        <v>-5.4568997410284889E-3</v>
      </c>
      <c r="L111" s="19">
        <v>2.7899190923458858E-4</v>
      </c>
      <c r="M111" s="19">
        <v>-2.445146894756409E-2</v>
      </c>
      <c r="N111" s="19">
        <v>0.20413609072715141</v>
      </c>
      <c r="Q111" s="2">
        <v>59</v>
      </c>
      <c r="R111" s="19">
        <v>1.4137606032045209E-2</v>
      </c>
      <c r="S111" s="19">
        <v>2.7881040892192978E-3</v>
      </c>
      <c r="T111" s="19">
        <v>-3.7071362372566754E-3</v>
      </c>
      <c r="U111" s="19">
        <v>-3.0232558139534862E-2</v>
      </c>
      <c r="V111" s="19">
        <v>0.17841726618705031</v>
      </c>
    </row>
    <row r="112" spans="1:22" x14ac:dyDescent="0.3">
      <c r="A112" s="2">
        <v>60</v>
      </c>
      <c r="B112" s="22">
        <v>2.9104393752106841E-2</v>
      </c>
      <c r="C112" s="22">
        <v>3.385018563004999E-3</v>
      </c>
      <c r="D112" s="22">
        <v>-1.1209054304059085E-2</v>
      </c>
      <c r="E112" s="22">
        <v>1.3207131851199492E-3</v>
      </c>
      <c r="F112" s="22">
        <v>0.164102000439657</v>
      </c>
      <c r="I112" s="2">
        <v>60</v>
      </c>
      <c r="J112" s="19">
        <v>1.7209425469949604E-2</v>
      </c>
      <c r="K112" s="19">
        <v>3.5571750824222948E-3</v>
      </c>
      <c r="L112" s="19">
        <v>-9.5962652373130456E-3</v>
      </c>
      <c r="M112" s="19">
        <v>-9.1655027932960199E-3</v>
      </c>
      <c r="N112" s="19">
        <v>0.18016033829618536</v>
      </c>
      <c r="Q112" s="2">
        <v>60</v>
      </c>
      <c r="R112" s="19">
        <v>4.8343373493975918E-2</v>
      </c>
      <c r="S112" s="19">
        <v>2.4421778480102937E-3</v>
      </c>
      <c r="T112" s="19">
        <v>-1.433075379764967E-2</v>
      </c>
      <c r="U112" s="19">
        <v>1.7156150043617209E-2</v>
      </c>
      <c r="V112" s="19">
        <v>0.13750714694110924</v>
      </c>
    </row>
    <row r="113" spans="1:22" x14ac:dyDescent="0.3">
      <c r="A113" s="2">
        <v>61</v>
      </c>
      <c r="B113" s="22">
        <v>3.3098882912702501E-3</v>
      </c>
      <c r="C113" s="22">
        <v>1.3195876288659756E-2</v>
      </c>
      <c r="D113" s="22">
        <v>-3.0525030525025749E-4</v>
      </c>
      <c r="E113" s="22">
        <v>2.6463104325699727E-3</v>
      </c>
      <c r="F113" s="22">
        <v>0.17866206476499841</v>
      </c>
      <c r="I113" s="2">
        <v>61</v>
      </c>
      <c r="J113" s="19">
        <v>7.3887625852548768E-3</v>
      </c>
      <c r="K113" s="19">
        <v>-2.0149915370354624E-3</v>
      </c>
      <c r="L113" s="19">
        <v>3.4727830722015534E-3</v>
      </c>
      <c r="M113" s="19">
        <v>-6.4386317907453217E-4</v>
      </c>
      <c r="N113" s="19">
        <v>0.19561890955947497</v>
      </c>
      <c r="Q113" s="2">
        <v>61</v>
      </c>
      <c r="R113" s="19">
        <v>-5.1140290255701042E-3</v>
      </c>
      <c r="S113" s="19">
        <v>3.7927202000555681E-2</v>
      </c>
      <c r="T113" s="19">
        <v>-6.6925445054210365E-3</v>
      </c>
      <c r="U113" s="19">
        <v>6.7376364371379283E-3</v>
      </c>
      <c r="V113" s="19">
        <v>0.15232231294338108</v>
      </c>
    </row>
    <row r="114" spans="1:22" x14ac:dyDescent="0.3">
      <c r="A114" s="2">
        <v>62</v>
      </c>
      <c r="B114" s="22">
        <v>7.9463858305409037E-3</v>
      </c>
      <c r="C114" s="22">
        <v>-1.8427051671732499E-2</v>
      </c>
      <c r="D114" s="22">
        <v>2.515966711825042E-2</v>
      </c>
      <c r="E114" s="22">
        <v>-1.4158957900697934E-3</v>
      </c>
      <c r="F114" s="22">
        <v>0.16390963229038658</v>
      </c>
      <c r="I114" s="2">
        <v>62</v>
      </c>
      <c r="J114" s="19">
        <v>5.8859040144883749E-3</v>
      </c>
      <c r="K114" s="19">
        <v>-1.7779444861215257E-2</v>
      </c>
      <c r="L114" s="19">
        <v>3.0703429313373526E-2</v>
      </c>
      <c r="M114" s="19">
        <v>-8.0770655798443666E-3</v>
      </c>
      <c r="N114" s="19">
        <v>0.17391304347826075</v>
      </c>
      <c r="Q114" s="2">
        <v>62</v>
      </c>
      <c r="R114" s="19">
        <v>1.1551155115511653E-2</v>
      </c>
      <c r="S114" s="19">
        <v>-2.1207177814029456E-2</v>
      </c>
      <c r="T114" s="19">
        <v>1.7179487179487238E-2</v>
      </c>
      <c r="U114" s="19">
        <v>8.1925888580790373E-3</v>
      </c>
      <c r="V114" s="19">
        <v>0.14726840855106893</v>
      </c>
    </row>
    <row r="115" spans="1:22" x14ac:dyDescent="0.3">
      <c r="A115" s="2">
        <v>63</v>
      </c>
      <c r="B115" s="22">
        <v>-1.6094986807387787E-2</v>
      </c>
      <c r="C115" s="22">
        <v>1.0458567980691788E-2</v>
      </c>
      <c r="D115" s="22">
        <v>-2.7423920736022451E-3</v>
      </c>
      <c r="E115" s="22">
        <v>6.9191874390135671E-3</v>
      </c>
      <c r="F115" s="22">
        <v>0.17584353801427183</v>
      </c>
      <c r="I115" s="2">
        <v>63</v>
      </c>
      <c r="J115" s="19">
        <v>-2.5049893331498159E-2</v>
      </c>
      <c r="K115" s="19">
        <v>1.5034940354344578E-2</v>
      </c>
      <c r="L115" s="19">
        <v>-3.4770514603614717E-4</v>
      </c>
      <c r="M115" s="19">
        <v>4.6608695652173458E-3</v>
      </c>
      <c r="N115" s="19">
        <v>0.18321562110511003</v>
      </c>
      <c r="Q115" s="2">
        <v>63</v>
      </c>
      <c r="R115" s="19">
        <v>-1.0603204524034316E-3</v>
      </c>
      <c r="S115" s="19">
        <v>4.009906828635371E-3</v>
      </c>
      <c r="T115" s="19">
        <v>-8.3401855984964034E-3</v>
      </c>
      <c r="U115" s="19">
        <v>1.0779436152570576E-2</v>
      </c>
      <c r="V115" s="19">
        <v>0.16371733270830879</v>
      </c>
    </row>
    <row r="116" spans="1:22" x14ac:dyDescent="0.3">
      <c r="A116" s="2">
        <v>64</v>
      </c>
      <c r="B116" s="22">
        <v>1.9946137013970657E-2</v>
      </c>
      <c r="C116" s="22">
        <v>-2.392936710949708E-3</v>
      </c>
      <c r="D116" s="22">
        <v>-6.5343258891645334E-3</v>
      </c>
      <c r="E116" s="22">
        <v>-1.082341187245039E-2</v>
      </c>
      <c r="F116" s="22">
        <v>0.19510142243918868</v>
      </c>
      <c r="I116" s="2">
        <v>64</v>
      </c>
      <c r="J116" s="19">
        <v>2.0485533754572731E-2</v>
      </c>
      <c r="K116" s="19">
        <v>-3.2588150948325168E-4</v>
      </c>
      <c r="L116" s="19">
        <v>1.4343460685878984E-3</v>
      </c>
      <c r="M116" s="19">
        <v>-2.2526041666666718E-2</v>
      </c>
      <c r="N116" s="19">
        <v>0.21193552684161454</v>
      </c>
      <c r="Q116" s="2">
        <v>64</v>
      </c>
      <c r="R116" s="19">
        <v>1.8489813994685616E-2</v>
      </c>
      <c r="S116" s="19">
        <v>-4.0221763235134874E-3</v>
      </c>
      <c r="T116" s="19">
        <v>-1.8554900676708144E-2</v>
      </c>
      <c r="U116" s="19">
        <v>5.226868327402154E-3</v>
      </c>
      <c r="V116" s="19">
        <v>0.17048346055979652</v>
      </c>
    </row>
    <row r="117" spans="1:22" x14ac:dyDescent="0.3">
      <c r="A117" s="2">
        <v>65</v>
      </c>
      <c r="B117" s="22">
        <v>1.5709298635353738E-2</v>
      </c>
      <c r="C117" s="22">
        <v>1.0310888923605701E-2</v>
      </c>
      <c r="D117" s="22">
        <v>-4.3296737281582464E-3</v>
      </c>
      <c r="E117" s="22">
        <v>-9.2405653051716909E-3</v>
      </c>
      <c r="F117" s="22">
        <v>0.16694098283564543</v>
      </c>
      <c r="I117" s="2">
        <v>65</v>
      </c>
      <c r="J117" s="19">
        <v>2.1754208966517311E-2</v>
      </c>
      <c r="K117" s="19">
        <v>5.801036781041739E-3</v>
      </c>
      <c r="L117" s="19">
        <v>3.6200760829549652E-3</v>
      </c>
      <c r="M117" s="19">
        <v>-2.0174848688633801E-3</v>
      </c>
      <c r="N117" s="19">
        <v>0.16068365596667464</v>
      </c>
      <c r="Q117" s="2">
        <v>65</v>
      </c>
      <c r="R117" s="19">
        <v>9.0052789566297774E-3</v>
      </c>
      <c r="S117" s="19">
        <v>1.6618793598686982E-2</v>
      </c>
      <c r="T117" s="19">
        <v>-1.5035317860746703E-2</v>
      </c>
      <c r="U117" s="19">
        <v>-2.0079909845302734E-2</v>
      </c>
      <c r="V117" s="19">
        <v>0.17449032932566633</v>
      </c>
    </row>
    <row r="118" spans="1:22" x14ac:dyDescent="0.3">
      <c r="A118" s="2">
        <v>66</v>
      </c>
      <c r="B118" s="22">
        <v>-1.6987625393571158E-2</v>
      </c>
      <c r="C118" s="22">
        <v>1.1545623836126676E-2</v>
      </c>
      <c r="D118" s="22">
        <v>1.8630338733431499E-2</v>
      </c>
      <c r="E118" s="22">
        <v>-9.7592713077423333E-3</v>
      </c>
      <c r="F118" s="22">
        <v>0.17550007300335826</v>
      </c>
      <c r="I118" s="2">
        <v>66</v>
      </c>
      <c r="J118" s="19">
        <v>-1.3787843229288846E-2</v>
      </c>
      <c r="K118" s="19">
        <v>1.7312154203105452E-2</v>
      </c>
      <c r="L118" s="19">
        <v>2.8011695906432762E-2</v>
      </c>
      <c r="M118" s="19">
        <v>-6.200580237783802E-3</v>
      </c>
      <c r="N118" s="19">
        <v>0.18214081282198058</v>
      </c>
      <c r="Q118" s="2">
        <v>66</v>
      </c>
      <c r="R118" s="19">
        <v>-2.0921685043822445E-2</v>
      </c>
      <c r="S118" s="19">
        <v>5.294061026085233E-3</v>
      </c>
      <c r="T118" s="19">
        <v>4.3086939869781595E-3</v>
      </c>
      <c r="U118" s="19">
        <v>-1.420535799408903E-2</v>
      </c>
      <c r="V118" s="19">
        <v>0.16624758220502903</v>
      </c>
    </row>
    <row r="119" spans="1:22" x14ac:dyDescent="0.3">
      <c r="A119" s="2">
        <v>67</v>
      </c>
      <c r="B119" s="22">
        <v>-2.1787975760877497E-3</v>
      </c>
      <c r="C119" s="22">
        <v>-1.2623677925622613E-2</v>
      </c>
      <c r="D119" s="22">
        <v>1.3752591568762925E-2</v>
      </c>
      <c r="E119" s="22">
        <v>-1.9769582111936407E-3</v>
      </c>
      <c r="F119" s="22">
        <v>0.17281420765027328</v>
      </c>
      <c r="I119" s="2">
        <v>67</v>
      </c>
      <c r="J119" s="19">
        <v>4.4208664898306765E-4</v>
      </c>
      <c r="K119" s="19">
        <v>1.3256738842244652E-3</v>
      </c>
      <c r="L119" s="19">
        <v>1.8590026478376022E-2</v>
      </c>
      <c r="M119" s="19">
        <v>6.0655293799079879E-3</v>
      </c>
      <c r="N119" s="19">
        <v>0.17602411584217034</v>
      </c>
      <c r="Q119" s="2">
        <v>67</v>
      </c>
      <c r="R119" s="19">
        <v>-4.3003354261632147E-3</v>
      </c>
      <c r="S119" s="19">
        <v>-3.1528029714088343E-2</v>
      </c>
      <c r="T119" s="19">
        <v>8.8298251872993335E-3</v>
      </c>
      <c r="U119" s="19">
        <v>-1.4145522058173496E-2</v>
      </c>
      <c r="V119" s="19">
        <v>0.16949152542372892</v>
      </c>
    </row>
    <row r="120" spans="1:22" x14ac:dyDescent="0.3">
      <c r="A120" s="2">
        <v>68</v>
      </c>
      <c r="B120" s="22">
        <v>3.1818478189997966E-2</v>
      </c>
      <c r="C120" s="22">
        <v>-1.1374407582936611E-3</v>
      </c>
      <c r="D120" s="22">
        <v>-2.2584930726893236E-2</v>
      </c>
      <c r="E120" s="22">
        <v>1.0161812297734572E-2</v>
      </c>
      <c r="F120" s="22">
        <v>0.18267444095598126</v>
      </c>
      <c r="I120" s="2">
        <v>68</v>
      </c>
      <c r="J120" s="19">
        <v>3.6757274323102329E-2</v>
      </c>
      <c r="K120" s="19">
        <v>-2.4114930733710569E-3</v>
      </c>
      <c r="L120" s="19">
        <v>-1.0389343208352483E-2</v>
      </c>
      <c r="M120" s="19">
        <v>1.9905410321708741E-2</v>
      </c>
      <c r="N120" s="19">
        <v>0.19114349775784759</v>
      </c>
      <c r="Q120" s="2">
        <v>68</v>
      </c>
      <c r="R120" s="19">
        <v>2.6647049207127668E-2</v>
      </c>
      <c r="S120" s="19">
        <v>2.0700636942675146E-3</v>
      </c>
      <c r="T120" s="19">
        <v>-3.877324010805662E-2</v>
      </c>
      <c r="U120" s="19">
        <v>-1.5705075219044405E-3</v>
      </c>
      <c r="V120" s="19">
        <v>0.17046113088831857</v>
      </c>
    </row>
    <row r="121" spans="1:22" x14ac:dyDescent="0.3">
      <c r="A121" s="2">
        <v>69</v>
      </c>
      <c r="B121" s="22">
        <v>-6.0485229697854553E-2</v>
      </c>
      <c r="C121" s="22">
        <v>2.6720066949608431E-2</v>
      </c>
      <c r="D121" s="22">
        <v>-8.7913367489521315E-3</v>
      </c>
      <c r="E121" s="22">
        <v>-2.9074889867841347E-2</v>
      </c>
      <c r="F121" s="22">
        <v>0.18548094373865695</v>
      </c>
      <c r="I121" s="2">
        <v>69</v>
      </c>
      <c r="J121" s="19">
        <v>-5.8445138761257072E-2</v>
      </c>
      <c r="K121" s="19">
        <v>2.2838180753464752E-2</v>
      </c>
      <c r="L121" s="19">
        <v>1.2022900763358884E-2</v>
      </c>
      <c r="M121" s="19">
        <v>-3.5027343013388675E-2</v>
      </c>
      <c r="N121" s="19">
        <v>0.20929210024915723</v>
      </c>
      <c r="Q121" s="2">
        <v>69</v>
      </c>
      <c r="R121" s="19">
        <v>-6.4644629254315494E-2</v>
      </c>
      <c r="S121" s="19">
        <v>3.3248655110579735E-2</v>
      </c>
      <c r="T121" s="19">
        <v>-3.5071227131390506E-2</v>
      </c>
      <c r="U121" s="19">
        <v>-2.045863309352523E-2</v>
      </c>
      <c r="V121" s="19">
        <v>0.15576466987988688</v>
      </c>
    </row>
    <row r="122" spans="1:22" x14ac:dyDescent="0.3">
      <c r="A122" s="2">
        <v>70</v>
      </c>
      <c r="B122" s="22">
        <v>1.0748111099286863E-2</v>
      </c>
      <c r="C122" s="22">
        <v>-4.8957675300063189E-2</v>
      </c>
      <c r="D122" s="22">
        <v>2.3469500719583793E-2</v>
      </c>
      <c r="E122" s="22">
        <v>-1.1303407247160674E-2</v>
      </c>
      <c r="F122" s="22">
        <v>0.15294568130846234</v>
      </c>
      <c r="I122" s="2">
        <v>70</v>
      </c>
      <c r="J122" s="19">
        <v>1.4125285137743436E-2</v>
      </c>
      <c r="K122" s="19">
        <v>-5.1215503071199979E-2</v>
      </c>
      <c r="L122" s="19">
        <v>3.2643384699553267E-2</v>
      </c>
      <c r="M122" s="19">
        <v>-5.9161147902869185E-3</v>
      </c>
      <c r="N122" s="19">
        <v>0.17187777580387273</v>
      </c>
      <c r="Q122" s="2">
        <v>70</v>
      </c>
      <c r="R122" s="19">
        <v>5.8188950637463573E-3</v>
      </c>
      <c r="S122" s="19">
        <v>-4.7581903276131043E-2</v>
      </c>
      <c r="T122" s="19">
        <v>1.2762762762762741E-2</v>
      </c>
      <c r="U122" s="19">
        <v>-1.7184446391266258E-2</v>
      </c>
      <c r="V122" s="19">
        <v>0.12849698299506312</v>
      </c>
    </row>
    <row r="123" spans="1:22" x14ac:dyDescent="0.3">
      <c r="A123" s="2">
        <v>71</v>
      </c>
      <c r="B123" s="22">
        <v>-3.2454844397845919E-2</v>
      </c>
      <c r="C123" s="22">
        <v>2.0983154369027646E-2</v>
      </c>
      <c r="D123" s="22">
        <v>-5.5625241219606388E-2</v>
      </c>
      <c r="E123" s="22">
        <v>1.7318007662835377E-2</v>
      </c>
      <c r="F123" s="22">
        <v>0.16033945967660931</v>
      </c>
      <c r="I123" s="2">
        <v>71</v>
      </c>
      <c r="J123" s="19">
        <v>-3.1245117950320211E-2</v>
      </c>
      <c r="K123" s="19">
        <v>2.164973391388483E-2</v>
      </c>
      <c r="L123" s="19">
        <v>-6.0218618049800707E-2</v>
      </c>
      <c r="M123" s="19">
        <v>1.7719924417384098E-2</v>
      </c>
      <c r="N123" s="19">
        <v>0.17547551264595451</v>
      </c>
      <c r="Q123" s="2">
        <v>71</v>
      </c>
      <c r="R123" s="19">
        <v>-3.4444182760244864E-2</v>
      </c>
      <c r="S123" s="19">
        <v>1.9635343618513285E-2</v>
      </c>
      <c r="T123" s="19">
        <v>-5.137252556665263E-2</v>
      </c>
      <c r="U123" s="19">
        <v>1.8030513176144122E-2</v>
      </c>
      <c r="V123" s="19">
        <v>0.14249442655437214</v>
      </c>
    </row>
    <row r="124" spans="1:22" x14ac:dyDescent="0.3">
      <c r="A124" s="2">
        <v>72</v>
      </c>
      <c r="B124" s="22">
        <v>-9.7509086073919494E-4</v>
      </c>
      <c r="C124" s="22">
        <v>-2.0230700976042657E-2</v>
      </c>
      <c r="D124" s="22">
        <v>2.1055968121717086E-2</v>
      </c>
      <c r="E124" s="22">
        <v>-6.7053971351279412E-2</v>
      </c>
      <c r="F124" s="22">
        <v>0.19898274468793073</v>
      </c>
      <c r="I124" s="2">
        <v>72</v>
      </c>
      <c r="J124" s="19">
        <v>8.7492616656821339E-3</v>
      </c>
      <c r="K124" s="19">
        <v>-2.7776761207685245E-2</v>
      </c>
      <c r="L124" s="19">
        <v>3.0603026424753491E-2</v>
      </c>
      <c r="M124" s="19">
        <v>-7.151466452390523E-2</v>
      </c>
      <c r="N124" s="19">
        <v>0.21545179182565594</v>
      </c>
      <c r="Q124" s="2">
        <v>72</v>
      </c>
      <c r="R124" s="19">
        <v>-1.2742945869250878E-2</v>
      </c>
      <c r="S124" s="19">
        <v>-1.1171972449699079E-2</v>
      </c>
      <c r="T124" s="19">
        <v>8.5010694893875045E-3</v>
      </c>
      <c r="U124" s="19">
        <v>-6.3030237111159459E-2</v>
      </c>
      <c r="V124" s="19">
        <v>0.17958093911428402</v>
      </c>
    </row>
    <row r="125" spans="1:22" x14ac:dyDescent="0.3">
      <c r="A125" s="2">
        <v>73</v>
      </c>
      <c r="B125" s="22">
        <v>-2.3735893007751363E-2</v>
      </c>
      <c r="C125" s="22">
        <v>1.0942899456968852E-2</v>
      </c>
      <c r="D125" s="22">
        <v>-2.7508749084398126E-2</v>
      </c>
      <c r="E125" s="22">
        <v>1.9081094652272222E-2</v>
      </c>
      <c r="F125" s="22">
        <v>8.7336782458733692E-2</v>
      </c>
      <c r="I125" s="2">
        <v>73</v>
      </c>
      <c r="J125" s="19">
        <v>-2.7301143921255728E-2</v>
      </c>
      <c r="K125" s="19">
        <v>1.5178968240402036E-2</v>
      </c>
      <c r="L125" s="19">
        <v>-2.619969691867309E-2</v>
      </c>
      <c r="M125" s="19">
        <v>1.5665525469446988E-2</v>
      </c>
      <c r="N125" s="19">
        <v>9.8638066053796283E-2</v>
      </c>
      <c r="Q125" s="2">
        <v>73</v>
      </c>
      <c r="R125" s="19">
        <v>-2.0270928759380163E-2</v>
      </c>
      <c r="S125" s="19">
        <v>5.868894857256543E-3</v>
      </c>
      <c r="T125" s="19">
        <v>-2.9618275316455639E-2</v>
      </c>
      <c r="U125" s="19">
        <v>2.287898089171982E-2</v>
      </c>
      <c r="V125" s="19">
        <v>7.1136793862707909E-2</v>
      </c>
    </row>
    <row r="126" spans="1:22" x14ac:dyDescent="0.3">
      <c r="A126" s="2">
        <v>74</v>
      </c>
      <c r="B126" s="22">
        <v>-1.2596324836988482E-3</v>
      </c>
      <c r="C126" s="22">
        <v>-1.2426737888567345E-2</v>
      </c>
      <c r="D126" s="22">
        <v>5.4464185103106069E-3</v>
      </c>
      <c r="E126" s="22">
        <v>-4.4045128511655686E-2</v>
      </c>
      <c r="F126" s="22">
        <v>0.22224393293993502</v>
      </c>
      <c r="I126" s="2">
        <v>74</v>
      </c>
      <c r="J126" s="19">
        <v>-6.329500978473547E-3</v>
      </c>
      <c r="K126" s="19">
        <v>-1.2462688863587274E-2</v>
      </c>
      <c r="L126" s="19">
        <v>4.4559391748721575E-3</v>
      </c>
      <c r="M126" s="19">
        <v>-3.9677369319063099E-2</v>
      </c>
      <c r="N126" s="19">
        <v>0.23155446440108532</v>
      </c>
      <c r="Q126" s="2">
        <v>74</v>
      </c>
      <c r="R126" s="19">
        <v>3.1460674157303649E-3</v>
      </c>
      <c r="S126" s="19">
        <v>-1.3440860215053682E-2</v>
      </c>
      <c r="T126" s="19">
        <v>6.8119891008173181E-3</v>
      </c>
      <c r="U126" s="19">
        <v>-4.9797023004059422E-2</v>
      </c>
      <c r="V126" s="19">
        <v>0.21000664577992961</v>
      </c>
    </row>
    <row r="127" spans="1:22" x14ac:dyDescent="0.3">
      <c r="A127" s="2">
        <v>75</v>
      </c>
      <c r="B127" s="22">
        <v>4.6997565593723542E-3</v>
      </c>
      <c r="C127" s="22">
        <v>-1.4100622581187928E-2</v>
      </c>
      <c r="D127" s="22">
        <v>-9.967231021299856E-3</v>
      </c>
      <c r="E127" s="22">
        <v>-9.5848848434697629E-3</v>
      </c>
      <c r="F127" s="22">
        <v>0.13277170507554123</v>
      </c>
      <c r="I127" s="2">
        <v>75</v>
      </c>
      <c r="J127" s="19">
        <v>9.5586168119201585E-3</v>
      </c>
      <c r="K127" s="19">
        <v>-2.4589250905040237E-2</v>
      </c>
      <c r="L127" s="19">
        <v>-6.109572615411135E-3</v>
      </c>
      <c r="M127" s="19">
        <v>-5.1992071927151832E-3</v>
      </c>
      <c r="N127" s="19">
        <v>0.13715638715638706</v>
      </c>
      <c r="Q127" s="2">
        <v>75</v>
      </c>
      <c r="R127" s="19">
        <v>-8.5185786143112871E-4</v>
      </c>
      <c r="S127" s="19">
        <v>-3.3697373228857839E-3</v>
      </c>
      <c r="T127" s="19">
        <v>-1.5642822225843202E-2</v>
      </c>
      <c r="U127" s="19">
        <v>-1.4608508525078737E-2</v>
      </c>
      <c r="V127" s="19">
        <v>0.12691613119986564</v>
      </c>
    </row>
    <row r="128" spans="1:22" x14ac:dyDescent="0.3">
      <c r="A128" s="2">
        <v>76</v>
      </c>
      <c r="B128" s="22">
        <v>-2.5926949897090823E-2</v>
      </c>
      <c r="C128" s="22">
        <v>1.2835472578763052E-2</v>
      </c>
      <c r="D128" s="22">
        <v>-2.5221073608169679E-3</v>
      </c>
      <c r="E128" s="22">
        <v>-3.0560324644919642E-2</v>
      </c>
      <c r="F128" s="22">
        <v>0.18041602266872736</v>
      </c>
      <c r="I128" s="2">
        <v>76</v>
      </c>
      <c r="J128" s="19">
        <v>-1.5544838908269944E-2</v>
      </c>
      <c r="K128" s="19">
        <v>4.0648288081712542E-3</v>
      </c>
      <c r="L128" s="19">
        <v>-2.3355997301084705E-3</v>
      </c>
      <c r="M128" s="19">
        <v>-3.0355842264072452E-2</v>
      </c>
      <c r="N128" s="19">
        <v>0.19626042868256574</v>
      </c>
      <c r="Q128" s="2">
        <v>76</v>
      </c>
      <c r="R128" s="19">
        <v>-3.6492873630601268E-2</v>
      </c>
      <c r="S128" s="19">
        <v>2.3272616648286799E-2</v>
      </c>
      <c r="T128" s="19">
        <v>-4.7196105392247447E-3</v>
      </c>
      <c r="U128" s="19">
        <v>-3.1700395788215929E-2</v>
      </c>
      <c r="V128" s="19">
        <v>0.16199437010758491</v>
      </c>
    </row>
    <row r="129" spans="1:22" x14ac:dyDescent="0.3">
      <c r="A129" s="2">
        <v>77</v>
      </c>
      <c r="B129" s="22">
        <v>-8.3035115186758744E-3</v>
      </c>
      <c r="C129" s="22">
        <v>-1.4067830058357515E-2</v>
      </c>
      <c r="D129" s="22">
        <v>8.8070456365090862E-3</v>
      </c>
      <c r="E129" s="22">
        <v>-2.2760770975056639E-2</v>
      </c>
      <c r="F129" s="22">
        <v>0.15244945905966287</v>
      </c>
      <c r="I129" s="2">
        <v>77</v>
      </c>
      <c r="J129" s="19">
        <v>-8.3218078248435533E-3</v>
      </c>
      <c r="K129" s="19">
        <v>-8.4389183055976532E-3</v>
      </c>
      <c r="L129" s="19">
        <v>1.4732877202183721E-2</v>
      </c>
      <c r="M129" s="19">
        <v>-2.7181957006930539E-2</v>
      </c>
      <c r="N129" s="19">
        <v>0.16448512364760426</v>
      </c>
      <c r="Q129" s="2">
        <v>77</v>
      </c>
      <c r="R129" s="19">
        <v>-9.9487687985456673E-3</v>
      </c>
      <c r="S129" s="19">
        <v>-1.9262869733591544E-2</v>
      </c>
      <c r="T129" s="19">
        <v>2.0083738979473748E-3</v>
      </c>
      <c r="U129" s="19">
        <v>-1.9330072020654981E-2</v>
      </c>
      <c r="V129" s="19">
        <v>0.13725014722693721</v>
      </c>
    </row>
    <row r="130" spans="1:22" x14ac:dyDescent="0.3">
      <c r="A130" s="2">
        <v>78</v>
      </c>
      <c r="B130" s="22">
        <v>-2.5217325189446634E-2</v>
      </c>
      <c r="C130" s="22">
        <v>1.4247829026051683E-2</v>
      </c>
      <c r="D130" s="22">
        <v>-2.7967187900538364E-2</v>
      </c>
      <c r="E130" s="22">
        <v>-1.9515282576018516E-3</v>
      </c>
      <c r="F130" s="22">
        <v>0.1783590963139122</v>
      </c>
      <c r="I130" s="2">
        <v>78</v>
      </c>
      <c r="J130" s="19">
        <v>-2.9968119022316716E-2</v>
      </c>
      <c r="K130" s="19">
        <v>1.2335670464504843E-2</v>
      </c>
      <c r="L130" s="19">
        <v>-2.2920589572105802E-2</v>
      </c>
      <c r="M130" s="19">
        <v>5.7150451887294281E-3</v>
      </c>
      <c r="N130" s="19">
        <v>0.19144531077926094</v>
      </c>
      <c r="Q130" s="2">
        <v>78</v>
      </c>
      <c r="R130" s="19">
        <v>-2.0955223880597052E-2</v>
      </c>
      <c r="S130" s="19">
        <v>1.451308006585759E-2</v>
      </c>
      <c r="T130" s="19">
        <v>-3.2457774839213728E-2</v>
      </c>
      <c r="U130" s="19">
        <v>-1.0219295520904606E-2</v>
      </c>
      <c r="V130" s="19">
        <v>0.16152518437156774</v>
      </c>
    </row>
    <row r="131" spans="1:22" x14ac:dyDescent="0.3">
      <c r="A131" s="2">
        <v>79</v>
      </c>
      <c r="B131" s="22">
        <v>-1.2528343372804078E-2</v>
      </c>
      <c r="C131" s="22">
        <v>-3.108039152015637E-3</v>
      </c>
      <c r="D131" s="22">
        <v>-9.9813866914843855E-3</v>
      </c>
      <c r="E131" s="22">
        <v>-2.5992338605438085E-2</v>
      </c>
      <c r="F131" s="22">
        <v>0.17734346724574726</v>
      </c>
      <c r="I131" s="2">
        <v>79</v>
      </c>
      <c r="J131" s="19">
        <v>-6.2817480321066717E-3</v>
      </c>
      <c r="K131" s="19">
        <v>-1.248683029617231E-3</v>
      </c>
      <c r="L131" s="19">
        <v>-1.3010353584684508E-2</v>
      </c>
      <c r="M131" s="19">
        <v>-2.377088116538676E-2</v>
      </c>
      <c r="N131" s="19">
        <v>0.19204022464164794</v>
      </c>
      <c r="Q131" s="2">
        <v>79</v>
      </c>
      <c r="R131" s="19">
        <v>-2.0013839357002253E-2</v>
      </c>
      <c r="S131" s="19">
        <v>-6.4092118841996655E-3</v>
      </c>
      <c r="T131" s="19">
        <v>-8.4185207456404822E-3</v>
      </c>
      <c r="U131" s="19">
        <v>-2.7013617068195456E-2</v>
      </c>
      <c r="V131" s="19">
        <v>0.16153889738795393</v>
      </c>
    </row>
    <row r="132" spans="1:22" x14ac:dyDescent="0.3">
      <c r="A132" s="2">
        <v>80</v>
      </c>
      <c r="B132" s="22">
        <v>-9.9939994620206786E-3</v>
      </c>
      <c r="C132" s="22">
        <v>9.6141788237255848E-4</v>
      </c>
      <c r="D132" s="22">
        <v>-2.2049611626158743E-2</v>
      </c>
      <c r="E132" s="22">
        <v>-1.0803655307882814E-2</v>
      </c>
      <c r="F132" s="22">
        <v>0.15432764947118491</v>
      </c>
      <c r="I132" s="2">
        <v>80</v>
      </c>
      <c r="J132" s="19">
        <v>-1.4002129999825481E-2</v>
      </c>
      <c r="K132" s="19">
        <v>2.6206285967242549E-3</v>
      </c>
      <c r="L132" s="19">
        <v>-1.861434399448986E-2</v>
      </c>
      <c r="M132" s="19">
        <v>-1.4036603142039679E-2</v>
      </c>
      <c r="N132" s="19">
        <v>0.16709558488017676</v>
      </c>
      <c r="Q132" s="2">
        <v>80</v>
      </c>
      <c r="R132" s="19">
        <v>-7.6137864777230183E-3</v>
      </c>
      <c r="S132" s="19">
        <v>-1.8877970860158206E-3</v>
      </c>
      <c r="T132" s="19">
        <v>-2.6745877788554799E-2</v>
      </c>
      <c r="U132" s="19">
        <v>-8.8197922116750177E-3</v>
      </c>
      <c r="V132" s="19">
        <v>0.1422969610134982</v>
      </c>
    </row>
    <row r="133" spans="1:22" x14ac:dyDescent="0.3">
      <c r="A133" s="2">
        <v>81</v>
      </c>
      <c r="B133" s="22">
        <v>-3.6298709665543862E-2</v>
      </c>
      <c r="C133" s="22">
        <v>7.2581415337598775E-3</v>
      </c>
      <c r="D133" s="22">
        <v>-8.3436048165354305E-3</v>
      </c>
      <c r="E133" s="22">
        <v>-2.2583420977148896E-2</v>
      </c>
      <c r="F133" s="22">
        <v>0.16426028094064249</v>
      </c>
      <c r="I133" s="2">
        <v>81</v>
      </c>
      <c r="J133" s="19">
        <v>-4.714105366875012E-2</v>
      </c>
      <c r="K133" s="19">
        <v>7.7716021456730316E-3</v>
      </c>
      <c r="L133" s="19">
        <v>-1.2040466227373941E-2</v>
      </c>
      <c r="M133" s="19">
        <v>-1.6633669793255736E-2</v>
      </c>
      <c r="N133" s="19">
        <v>0.16443058237206465</v>
      </c>
      <c r="Q133" s="2">
        <v>81</v>
      </c>
      <c r="R133" s="19">
        <v>-2.5571050991684111E-2</v>
      </c>
      <c r="S133" s="19">
        <v>4.6971133702340805E-3</v>
      </c>
      <c r="T133" s="19">
        <v>-5.6409130816505769E-3</v>
      </c>
      <c r="U133" s="19">
        <v>-2.9424099949230752E-2</v>
      </c>
      <c r="V133" s="19">
        <v>0.16229247214009543</v>
      </c>
    </row>
    <row r="134" spans="1:22" x14ac:dyDescent="0.3">
      <c r="A134" s="2">
        <v>82</v>
      </c>
      <c r="B134" s="22">
        <v>-1.6139498510840063E-2</v>
      </c>
      <c r="C134" s="22">
        <v>-9.2675584718675454E-3</v>
      </c>
      <c r="D134" s="22">
        <v>-5.9232200467712491E-3</v>
      </c>
      <c r="E134" s="22">
        <v>-1.6141218490280981E-2</v>
      </c>
      <c r="F134" s="22">
        <v>0.14627548170901983</v>
      </c>
      <c r="I134" s="2">
        <v>82</v>
      </c>
      <c r="J134" s="19">
        <v>-1.9232402139763932E-2</v>
      </c>
      <c r="K134" s="19">
        <v>-8.8019277664755477E-4</v>
      </c>
      <c r="L134" s="19">
        <v>-1.2116923254671912E-2</v>
      </c>
      <c r="M134" s="19">
        <v>-1.5160153794424367E-2</v>
      </c>
      <c r="N134" s="19">
        <v>0.14977882017635014</v>
      </c>
      <c r="Q134" s="2">
        <v>82</v>
      </c>
      <c r="R134" s="19">
        <v>-1.4623107933368939E-2</v>
      </c>
      <c r="S134" s="19">
        <v>-1.8024276809664359E-2</v>
      </c>
      <c r="T134" s="19">
        <v>-1.6704333300580081E-3</v>
      </c>
      <c r="U134" s="19">
        <v>-1.7775590551181122E-2</v>
      </c>
      <c r="V134" s="19">
        <v>0.14181213299396769</v>
      </c>
    </row>
    <row r="135" spans="1:22" x14ac:dyDescent="0.3">
      <c r="A135" s="2">
        <v>83</v>
      </c>
      <c r="B135" s="22">
        <v>-2.9892853927188805E-2</v>
      </c>
      <c r="C135" s="22">
        <v>2.6157844259505587E-2</v>
      </c>
      <c r="D135" s="22">
        <v>-3.5515624764460213E-2</v>
      </c>
      <c r="E135" s="22">
        <v>-1.766149325581063E-3</v>
      </c>
      <c r="F135" s="22">
        <v>0.15283083860462213</v>
      </c>
      <c r="I135" s="2">
        <v>83</v>
      </c>
      <c r="J135" s="19">
        <v>-2.9240960318574601E-2</v>
      </c>
      <c r="K135" s="19">
        <v>2.7242367666780672E-2</v>
      </c>
      <c r="L135" s="19">
        <v>-4.2019710738512836E-2</v>
      </c>
      <c r="M135" s="19">
        <v>-3.2867048779509698E-3</v>
      </c>
      <c r="N135" s="19">
        <v>0.17230332033082671</v>
      </c>
      <c r="Q135" s="2">
        <v>83</v>
      </c>
      <c r="R135" s="19">
        <v>-3.1715398278453301E-2</v>
      </c>
      <c r="S135" s="19">
        <v>2.3388305847076473E-2</v>
      </c>
      <c r="T135" s="19">
        <v>-2.9920201306423561E-2</v>
      </c>
      <c r="U135" s="19">
        <v>-1.7411388469396973E-3</v>
      </c>
      <c r="V135" s="19">
        <v>0.13337604784024776</v>
      </c>
    </row>
    <row r="136" spans="1:22" x14ac:dyDescent="0.3">
      <c r="A136" s="2">
        <v>84</v>
      </c>
      <c r="B136" s="22">
        <v>-2.674423302225995E-2</v>
      </c>
      <c r="C136" s="22">
        <v>1.3947117180689814E-2</v>
      </c>
      <c r="D136" s="22">
        <v>-8.1057845826339337E-3</v>
      </c>
      <c r="E136" s="22">
        <v>-3.4737986159836004E-2</v>
      </c>
      <c r="F136" s="22">
        <v>0.16674268122345431</v>
      </c>
      <c r="I136" s="2">
        <v>84</v>
      </c>
      <c r="J136" s="19">
        <v>-2.6441374586139953E-2</v>
      </c>
      <c r="K136" s="19">
        <v>7.6224875108473599E-3</v>
      </c>
      <c r="L136" s="19">
        <v>-7.4949955774871475E-3</v>
      </c>
      <c r="M136" s="19">
        <v>-2.9526266416510231E-2</v>
      </c>
      <c r="N136" s="19">
        <v>0.16628404340156105</v>
      </c>
      <c r="Q136" s="2">
        <v>84</v>
      </c>
      <c r="R136" s="19">
        <v>-2.8412742127972054E-2</v>
      </c>
      <c r="S136" s="19">
        <v>1.8125698807892776E-2</v>
      </c>
      <c r="T136" s="19">
        <v>-1.0223968322712289E-2</v>
      </c>
      <c r="U136" s="19">
        <v>-3.9739963432357729E-2</v>
      </c>
      <c r="V136" s="19">
        <v>0.16522913683114171</v>
      </c>
    </row>
  </sheetData>
  <conditionalFormatting pivot="1" sqref="B5:G69">
    <cfRule type="colorScale" priority="9">
      <colorScale>
        <cfvo type="min"/>
        <cfvo type="percentile" val="50"/>
        <cfvo type="max"/>
        <color rgb="FF63BE7B"/>
        <color rgb="FFFFEB84"/>
        <color rgb="FFF8696B"/>
      </colorScale>
    </cfRule>
  </conditionalFormatting>
  <conditionalFormatting pivot="1" sqref="J5:O69">
    <cfRule type="colorScale" priority="8">
      <colorScale>
        <cfvo type="min"/>
        <cfvo type="percentile" val="50"/>
        <cfvo type="max"/>
        <color rgb="FF63BE7B"/>
        <color rgb="FFFFEB84"/>
        <color rgb="FFF8696B"/>
      </colorScale>
    </cfRule>
  </conditionalFormatting>
  <conditionalFormatting pivot="1" sqref="R5:W69">
    <cfRule type="colorScale" priority="7">
      <colorScale>
        <cfvo type="min"/>
        <cfvo type="percentile" val="50"/>
        <cfvo type="max"/>
        <color rgb="FF63BE7B"/>
        <color rgb="FFFFEB84"/>
        <color rgb="FFF8696B"/>
      </colorScale>
    </cfRule>
  </conditionalFormatting>
  <conditionalFormatting sqref="B72:F136">
    <cfRule type="colorScale" priority="5">
      <colorScale>
        <cfvo type="min"/>
        <cfvo type="percentile" val="50"/>
        <cfvo type="max"/>
        <color rgb="FF63BE7B"/>
        <color rgb="FFFFEB84"/>
        <color rgb="FFF8696B"/>
      </colorScale>
    </cfRule>
  </conditionalFormatting>
  <conditionalFormatting sqref="J72:N136">
    <cfRule type="colorScale" priority="3">
      <colorScale>
        <cfvo type="min"/>
        <cfvo type="percentile" val="50"/>
        <cfvo type="max"/>
        <color rgb="FF63BE7B"/>
        <color rgb="FFFFEB84"/>
        <color rgb="FFF8696B"/>
      </colorScale>
    </cfRule>
  </conditionalFormatting>
  <conditionalFormatting sqref="R72:V136">
    <cfRule type="colorScale" priority="1">
      <colorScale>
        <cfvo type="min"/>
        <cfvo type="percentile" val="50"/>
        <cfvo type="max"/>
        <color rgb="FF63BE7B"/>
        <color rgb="FFFFEB84"/>
        <color rgb="FFF8696B"/>
      </colorScale>
    </cfRule>
  </conditionalFormatting>
  <pageMargins left="0.7" right="0.7" top="0.75" bottom="0.75" header="0.3" footer="0.3"/>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494F3-820E-4A45-8CBA-343F80249571}">
  <dimension ref="A1:O66"/>
  <sheetViews>
    <sheetView zoomScaleNormal="100" workbookViewId="0">
      <selection activeCell="M56" sqref="M56"/>
    </sheetView>
  </sheetViews>
  <sheetFormatPr defaultRowHeight="14.4" x14ac:dyDescent="0.3"/>
  <cols>
    <col min="2" max="2" width="19.5546875" bestFit="1" customWidth="1"/>
    <col min="5" max="5" width="10" bestFit="1" customWidth="1"/>
    <col min="6" max="6" width="9" bestFit="1" customWidth="1"/>
    <col min="7" max="7" width="12.6640625" bestFit="1" customWidth="1"/>
    <col min="8" max="8" width="9.33203125" bestFit="1" customWidth="1"/>
    <col min="9" max="9" width="11.21875" bestFit="1" customWidth="1"/>
    <col min="10" max="10" width="12.6640625" bestFit="1" customWidth="1"/>
    <col min="11" max="11" width="9.77734375" bestFit="1" customWidth="1"/>
    <col min="12" max="12" width="12" bestFit="1" customWidth="1"/>
    <col min="14" max="15" width="12" bestFit="1" customWidth="1"/>
  </cols>
  <sheetData>
    <row r="1" spans="1:10" x14ac:dyDescent="0.3">
      <c r="A1" s="7" t="s">
        <v>0</v>
      </c>
      <c r="B1" s="8" t="s">
        <v>1</v>
      </c>
      <c r="C1" s="8" t="s">
        <v>2</v>
      </c>
      <c r="D1" s="8" t="s">
        <v>3</v>
      </c>
      <c r="E1" s="8" t="s">
        <v>4</v>
      </c>
      <c r="F1" s="8" t="s">
        <v>26</v>
      </c>
      <c r="G1" s="8" t="s">
        <v>27</v>
      </c>
      <c r="H1" s="14" t="s">
        <v>34</v>
      </c>
      <c r="I1" s="14" t="s">
        <v>35</v>
      </c>
      <c r="J1" s="14" t="s">
        <v>36</v>
      </c>
    </row>
    <row r="2" spans="1:10" x14ac:dyDescent="0.3">
      <c r="A2" s="9">
        <v>2019</v>
      </c>
      <c r="B2" s="10">
        <v>20</v>
      </c>
      <c r="C2" s="10" t="s">
        <v>11</v>
      </c>
      <c r="D2" s="10">
        <v>861</v>
      </c>
      <c r="E2" s="10">
        <v>2086544</v>
      </c>
      <c r="F2" s="10">
        <v>4.1300000000000001E-4</v>
      </c>
      <c r="G2" s="10">
        <v>-7.7920629650032414</v>
      </c>
      <c r="H2" s="15">
        <v>3.4692567293355826E-4</v>
      </c>
      <c r="I2" s="15">
        <v>-7.9664000000000001</v>
      </c>
      <c r="J2" s="15">
        <v>6.6074327066441751E-5</v>
      </c>
    </row>
    <row r="3" spans="1:10" x14ac:dyDescent="0.3">
      <c r="A3" s="11">
        <v>2019</v>
      </c>
      <c r="B3" s="12">
        <v>21</v>
      </c>
      <c r="C3" s="12" t="s">
        <v>11</v>
      </c>
      <c r="D3" s="12">
        <v>950</v>
      </c>
      <c r="E3" s="12">
        <v>2091237</v>
      </c>
      <c r="F3" s="12">
        <v>4.5399999999999998E-4</v>
      </c>
      <c r="G3" s="12">
        <v>-7.6974133599229262</v>
      </c>
      <c r="H3" s="15">
        <v>3.7435725096301162E-4</v>
      </c>
      <c r="I3" s="15">
        <v>-7.8902999999999999</v>
      </c>
      <c r="J3" s="15">
        <v>7.9642749036988353E-5</v>
      </c>
    </row>
    <row r="4" spans="1:10" x14ac:dyDescent="0.3">
      <c r="A4" s="9">
        <v>2019</v>
      </c>
      <c r="B4" s="10">
        <v>22</v>
      </c>
      <c r="C4" s="10" t="s">
        <v>11</v>
      </c>
      <c r="D4" s="10">
        <v>973</v>
      </c>
      <c r="E4" s="10">
        <v>2103476</v>
      </c>
      <c r="F4" s="10">
        <v>4.6299999999999998E-4</v>
      </c>
      <c r="G4" s="10">
        <v>-7.6777835038780404</v>
      </c>
      <c r="H4" s="15">
        <v>4.0395785691946451E-4</v>
      </c>
      <c r="I4" s="15">
        <v>-7.8142000000000005</v>
      </c>
      <c r="J4" s="15">
        <v>5.9042143080535465E-5</v>
      </c>
    </row>
    <row r="5" spans="1:10" x14ac:dyDescent="0.3">
      <c r="A5" s="11">
        <v>2019</v>
      </c>
      <c r="B5" s="12">
        <v>23</v>
      </c>
      <c r="C5" s="12" t="s">
        <v>11</v>
      </c>
      <c r="D5" s="12">
        <v>1167</v>
      </c>
      <c r="E5" s="12">
        <v>2119886</v>
      </c>
      <c r="F5" s="12">
        <v>5.5099999999999995E-4</v>
      </c>
      <c r="G5" s="12">
        <v>-7.5037757488113597</v>
      </c>
      <c r="H5" s="15">
        <v>4.3589899687314929E-4</v>
      </c>
      <c r="I5" s="15">
        <v>-7.7381000000000002</v>
      </c>
      <c r="J5" s="15">
        <v>1.1510100312685066E-4</v>
      </c>
    </row>
    <row r="6" spans="1:10" x14ac:dyDescent="0.3">
      <c r="A6" s="9">
        <v>2019</v>
      </c>
      <c r="B6" s="10">
        <v>24</v>
      </c>
      <c r="C6" s="10" t="s">
        <v>11</v>
      </c>
      <c r="D6" s="10">
        <v>1175</v>
      </c>
      <c r="E6" s="10">
        <v>2167045</v>
      </c>
      <c r="F6" s="10">
        <v>5.4199999999999995E-4</v>
      </c>
      <c r="G6" s="10">
        <v>-7.5202445565246281</v>
      </c>
      <c r="H6" s="15">
        <v>4.7036573796087582E-4</v>
      </c>
      <c r="I6" s="15">
        <v>-7.6620000000000008</v>
      </c>
      <c r="J6" s="15">
        <v>7.1634262039124122E-5</v>
      </c>
    </row>
    <row r="7" spans="1:10" x14ac:dyDescent="0.3">
      <c r="A7" s="11">
        <v>2019</v>
      </c>
      <c r="B7" s="12">
        <v>25</v>
      </c>
      <c r="C7" s="12" t="s">
        <v>11</v>
      </c>
      <c r="D7" s="12">
        <v>1271</v>
      </c>
      <c r="E7" s="12">
        <v>2213205</v>
      </c>
      <c r="F7" s="12">
        <v>5.7399999999999997E-4</v>
      </c>
      <c r="G7" s="12">
        <v>-7.4628811616447077</v>
      </c>
      <c r="H7" s="15">
        <v>5.0755778066601822E-4</v>
      </c>
      <c r="I7" s="15">
        <v>-7.5859000000000005</v>
      </c>
      <c r="J7" s="15">
        <v>6.6442219333981748E-5</v>
      </c>
    </row>
    <row r="8" spans="1:10" x14ac:dyDescent="0.3">
      <c r="A8" s="9">
        <v>2019</v>
      </c>
      <c r="B8" s="10">
        <v>26</v>
      </c>
      <c r="C8" s="10" t="s">
        <v>11</v>
      </c>
      <c r="D8" s="10">
        <v>1390</v>
      </c>
      <c r="E8" s="10">
        <v>2245334</v>
      </c>
      <c r="F8" s="10">
        <v>6.1899999999999998E-4</v>
      </c>
      <c r="G8" s="10">
        <v>-7.3874052852796783</v>
      </c>
      <c r="H8" s="15">
        <v>5.4769061588419074E-4</v>
      </c>
      <c r="I8" s="15">
        <v>-7.5098000000000003</v>
      </c>
      <c r="J8" s="15">
        <v>7.1309384115809233E-5</v>
      </c>
    </row>
    <row r="9" spans="1:10" x14ac:dyDescent="0.3">
      <c r="A9" s="11">
        <v>2019</v>
      </c>
      <c r="B9" s="12">
        <v>27</v>
      </c>
      <c r="C9" s="12" t="s">
        <v>11</v>
      </c>
      <c r="D9" s="12">
        <v>1519</v>
      </c>
      <c r="E9" s="12">
        <v>2312599</v>
      </c>
      <c r="F9" s="12">
        <v>6.5700000000000003E-4</v>
      </c>
      <c r="G9" s="12">
        <v>-7.3278265394796636</v>
      </c>
      <c r="H9" s="15">
        <v>5.9099677347865579E-4</v>
      </c>
      <c r="I9" s="15">
        <v>-7.4337</v>
      </c>
      <c r="J9" s="15">
        <v>6.6003226521344242E-5</v>
      </c>
    </row>
    <row r="10" spans="1:10" x14ac:dyDescent="0.3">
      <c r="A10" s="9">
        <v>2019</v>
      </c>
      <c r="B10" s="10">
        <v>28</v>
      </c>
      <c r="C10" s="10" t="s">
        <v>11</v>
      </c>
      <c r="D10" s="10">
        <v>1628</v>
      </c>
      <c r="E10" s="10">
        <v>2366969</v>
      </c>
      <c r="F10" s="10">
        <v>6.8800000000000003E-4</v>
      </c>
      <c r="G10" s="10">
        <v>-7.2817217200309301</v>
      </c>
      <c r="H10" s="15">
        <v>6.3772716955960468E-4</v>
      </c>
      <c r="I10" s="15">
        <v>-7.3576000000000006</v>
      </c>
      <c r="J10" s="15">
        <v>5.0272830440395346E-5</v>
      </c>
    </row>
    <row r="11" spans="1:10" x14ac:dyDescent="0.3">
      <c r="A11" s="11">
        <v>2019</v>
      </c>
      <c r="B11" s="12">
        <v>29</v>
      </c>
      <c r="C11" s="12" t="s">
        <v>11</v>
      </c>
      <c r="D11" s="12">
        <v>1719</v>
      </c>
      <c r="E11" s="12">
        <v>2366339</v>
      </c>
      <c r="F11" s="12">
        <v>7.2599999999999997E-4</v>
      </c>
      <c r="G11" s="12">
        <v>-7.2279605431394778</v>
      </c>
      <c r="H11" s="15">
        <v>6.8815256029344958E-4</v>
      </c>
      <c r="I11" s="15">
        <v>-7.2815000000000003</v>
      </c>
      <c r="J11" s="15">
        <v>3.7847439706550391E-5</v>
      </c>
    </row>
    <row r="12" spans="1:10" x14ac:dyDescent="0.3">
      <c r="A12" s="9">
        <v>2019</v>
      </c>
      <c r="B12" s="10">
        <v>30</v>
      </c>
      <c r="C12" s="10" t="s">
        <v>11</v>
      </c>
      <c r="D12" s="10">
        <v>1882</v>
      </c>
      <c r="E12" s="10">
        <v>2273519</v>
      </c>
      <c r="F12" s="10">
        <v>8.2799999999999996E-4</v>
      </c>
      <c r="G12" s="10">
        <v>-7.096497403579014</v>
      </c>
      <c r="H12" s="15">
        <v>7.4256511066550903E-4</v>
      </c>
      <c r="I12" s="15">
        <v>-7.2054000000000009</v>
      </c>
      <c r="J12" s="15">
        <v>8.5434889334490933E-5</v>
      </c>
    </row>
    <row r="13" spans="1:10" x14ac:dyDescent="0.3">
      <c r="A13" s="11">
        <v>2019</v>
      </c>
      <c r="B13" s="12">
        <v>31</v>
      </c>
      <c r="C13" s="12" t="s">
        <v>11</v>
      </c>
      <c r="D13" s="12">
        <v>1943</v>
      </c>
      <c r="E13" s="12">
        <v>2220984</v>
      </c>
      <c r="F13" s="12">
        <v>8.7500000000000002E-4</v>
      </c>
      <c r="G13" s="12">
        <v>-7.0412866716066596</v>
      </c>
      <c r="H13" s="15">
        <v>8.0128008728550611E-4</v>
      </c>
      <c r="I13" s="15">
        <v>-7.1293000000000006</v>
      </c>
      <c r="J13" s="15">
        <v>7.3719912714493912E-5</v>
      </c>
    </row>
    <row r="14" spans="1:10" x14ac:dyDescent="0.3">
      <c r="A14" s="9">
        <v>2019</v>
      </c>
      <c r="B14" s="10">
        <v>32</v>
      </c>
      <c r="C14" s="10" t="s">
        <v>11</v>
      </c>
      <c r="D14" s="10">
        <v>1994</v>
      </c>
      <c r="E14" s="10">
        <v>2181619</v>
      </c>
      <c r="F14" s="10">
        <v>9.1399999999999999E-4</v>
      </c>
      <c r="G14" s="10">
        <v>-6.997679986510124</v>
      </c>
      <c r="H14" s="15">
        <v>8.6463768504400104E-4</v>
      </c>
      <c r="I14" s="15">
        <v>-7.0532000000000004</v>
      </c>
      <c r="J14" s="15">
        <v>4.936231495599895E-5</v>
      </c>
    </row>
    <row r="15" spans="1:10" x14ac:dyDescent="0.3">
      <c r="A15" s="11">
        <v>2019</v>
      </c>
      <c r="B15" s="12">
        <v>33</v>
      </c>
      <c r="C15" s="12" t="s">
        <v>11</v>
      </c>
      <c r="D15" s="12">
        <v>2273</v>
      </c>
      <c r="E15" s="12">
        <v>2189693</v>
      </c>
      <c r="F15" s="12">
        <v>1.0380000000000001E-3</v>
      </c>
      <c r="G15" s="12">
        <v>-6.8704594942384398</v>
      </c>
      <c r="H15" s="15">
        <v>9.330049982034192E-4</v>
      </c>
      <c r="I15" s="15">
        <v>-6.9771000000000001</v>
      </c>
      <c r="J15" s="15">
        <v>1.0499500179658088E-4</v>
      </c>
    </row>
    <row r="16" spans="1:10" x14ac:dyDescent="0.3">
      <c r="A16" s="9">
        <v>2019</v>
      </c>
      <c r="B16" s="10">
        <v>34</v>
      </c>
      <c r="C16" s="10" t="s">
        <v>11</v>
      </c>
      <c r="D16" s="10">
        <v>2208</v>
      </c>
      <c r="E16" s="10">
        <v>2210880</v>
      </c>
      <c r="F16" s="10">
        <v>9.990000000000001E-4</v>
      </c>
      <c r="G16" s="10">
        <v>-6.9087557793157206</v>
      </c>
      <c r="H16" s="15">
        <v>1.0067781473441825E-3</v>
      </c>
      <c r="I16" s="15">
        <v>-6.9009999999999998</v>
      </c>
      <c r="J16" s="15">
        <v>-7.7781473441823797E-6</v>
      </c>
    </row>
    <row r="17" spans="1:15" x14ac:dyDescent="0.3">
      <c r="A17" s="11">
        <v>2019</v>
      </c>
      <c r="B17" s="12">
        <v>35</v>
      </c>
      <c r="C17" s="12" t="s">
        <v>11</v>
      </c>
      <c r="D17" s="12">
        <v>2327</v>
      </c>
      <c r="E17" s="12">
        <v>2148244</v>
      </c>
      <c r="F17" s="12">
        <v>1.083E-3</v>
      </c>
      <c r="G17" s="12">
        <v>-6.8280203109632831</v>
      </c>
      <c r="H17" s="15">
        <v>1.0863845744894854E-3</v>
      </c>
      <c r="I17" s="15">
        <v>-6.8249000000000004</v>
      </c>
      <c r="J17" s="15">
        <v>-3.3845744894854361E-6</v>
      </c>
      <c r="N17" s="13" t="s">
        <v>28</v>
      </c>
      <c r="O17" s="13" t="s">
        <v>29</v>
      </c>
    </row>
    <row r="18" spans="1:15" x14ac:dyDescent="0.3">
      <c r="A18" s="9">
        <v>2019</v>
      </c>
      <c r="B18" s="10">
        <v>36</v>
      </c>
      <c r="C18" s="10" t="s">
        <v>11</v>
      </c>
      <c r="D18" s="10">
        <v>2472</v>
      </c>
      <c r="E18" s="10">
        <v>2181076</v>
      </c>
      <c r="F18" s="10">
        <v>1.1329999999999999E-3</v>
      </c>
      <c r="G18" s="10">
        <v>-6.782886296936268</v>
      </c>
      <c r="H18" s="15">
        <v>1.1722855197066767E-3</v>
      </c>
      <c r="I18" s="15">
        <v>-6.7488000000000001</v>
      </c>
      <c r="J18" s="15">
        <v>-3.9285519706676797E-5</v>
      </c>
      <c r="N18" s="10" t="s">
        <v>30</v>
      </c>
      <c r="O18" s="10">
        <v>-9.4884000000000004</v>
      </c>
    </row>
    <row r="19" spans="1:15" x14ac:dyDescent="0.3">
      <c r="A19" s="11">
        <v>2019</v>
      </c>
      <c r="B19" s="12">
        <v>37</v>
      </c>
      <c r="C19" s="12" t="s">
        <v>11</v>
      </c>
      <c r="D19" s="12">
        <v>2626</v>
      </c>
      <c r="E19" s="12">
        <v>2180124</v>
      </c>
      <c r="F19" s="12">
        <v>1.2049999999999999E-3</v>
      </c>
      <c r="G19" s="12">
        <v>-6.7212757120395192</v>
      </c>
      <c r="H19" s="15">
        <v>1.2649786935346934E-3</v>
      </c>
      <c r="I19" s="15">
        <v>-6.6727000000000007</v>
      </c>
      <c r="J19" s="15">
        <v>-5.9978693534693461E-5</v>
      </c>
      <c r="N19" s="12" t="s">
        <v>31</v>
      </c>
      <c r="O19" s="12">
        <v>7.6100000000000001E-2</v>
      </c>
    </row>
    <row r="20" spans="1:15" x14ac:dyDescent="0.3">
      <c r="A20" s="9">
        <v>2019</v>
      </c>
      <c r="B20" s="10">
        <v>38</v>
      </c>
      <c r="C20" s="10" t="s">
        <v>11</v>
      </c>
      <c r="D20" s="10">
        <v>2896</v>
      </c>
      <c r="E20" s="10">
        <v>2156217</v>
      </c>
      <c r="F20" s="10">
        <v>1.343E-3</v>
      </c>
      <c r="G20" s="10">
        <v>-6.6128493614410369</v>
      </c>
      <c r="H20" s="15">
        <v>1.3650011607216016E-3</v>
      </c>
      <c r="I20" s="15">
        <v>-6.5966000000000005</v>
      </c>
      <c r="J20" s="15">
        <v>-2.2001160721601618E-5</v>
      </c>
      <c r="N20" s="10" t="s">
        <v>32</v>
      </c>
      <c r="O20" s="10">
        <v>7.5725166674768304E-5</v>
      </c>
    </row>
    <row r="21" spans="1:15" x14ac:dyDescent="0.3">
      <c r="A21" s="11">
        <v>2019</v>
      </c>
      <c r="B21" s="12">
        <v>39</v>
      </c>
      <c r="C21" s="12" t="s">
        <v>11</v>
      </c>
      <c r="D21" s="12">
        <v>3076</v>
      </c>
      <c r="E21" s="12">
        <v>2186919</v>
      </c>
      <c r="F21" s="12">
        <v>1.407E-3</v>
      </c>
      <c r="G21" s="12">
        <v>-6.5662955008498853</v>
      </c>
      <c r="H21" s="15">
        <v>1.472932451980638E-3</v>
      </c>
      <c r="I21" s="15">
        <v>-6.5205000000000002</v>
      </c>
      <c r="J21" s="15">
        <v>-6.5932451980637912E-5</v>
      </c>
      <c r="N21" s="12" t="s">
        <v>33</v>
      </c>
      <c r="O21" s="12">
        <v>1.0790704758096901</v>
      </c>
    </row>
    <row r="22" spans="1:15" x14ac:dyDescent="0.3">
      <c r="A22" s="9">
        <v>2019</v>
      </c>
      <c r="B22" s="10">
        <v>40</v>
      </c>
      <c r="C22" s="10" t="s">
        <v>11</v>
      </c>
      <c r="D22" s="10">
        <v>3011</v>
      </c>
      <c r="E22" s="10">
        <v>2058650</v>
      </c>
      <c r="F22" s="10">
        <v>1.4630000000000001E-3</v>
      </c>
      <c r="G22" s="10">
        <v>-6.5272661569441501</v>
      </c>
      <c r="H22" s="15">
        <v>1.5893979217942802E-3</v>
      </c>
      <c r="I22" s="15">
        <v>-6.4443999999999999</v>
      </c>
      <c r="J22" s="15">
        <v>-1.2639792179428011E-4</v>
      </c>
    </row>
    <row r="23" spans="1:15" x14ac:dyDescent="0.3">
      <c r="A23" s="11">
        <v>2019</v>
      </c>
      <c r="B23" s="12">
        <v>41</v>
      </c>
      <c r="C23" s="12" t="s">
        <v>11</v>
      </c>
      <c r="D23" s="12">
        <v>3071</v>
      </c>
      <c r="E23" s="12">
        <v>2018752</v>
      </c>
      <c r="F23" s="12">
        <v>1.521E-3</v>
      </c>
      <c r="G23" s="12">
        <v>-6.488387265704981</v>
      </c>
      <c r="H23" s="15">
        <v>1.7150723717214865E-3</v>
      </c>
      <c r="I23" s="15">
        <v>-6.3683000000000005</v>
      </c>
      <c r="J23" s="15">
        <v>-1.9407237172148649E-4</v>
      </c>
    </row>
    <row r="24" spans="1:15" x14ac:dyDescent="0.3">
      <c r="A24" s="9">
        <v>2019</v>
      </c>
      <c r="B24" s="10">
        <v>42</v>
      </c>
      <c r="C24" s="10" t="s">
        <v>11</v>
      </c>
      <c r="D24" s="10">
        <v>3136</v>
      </c>
      <c r="E24" s="10">
        <v>2002157</v>
      </c>
      <c r="F24" s="10">
        <v>1.5659999999999999E-3</v>
      </c>
      <c r="G24" s="10">
        <v>-6.4592306814135254</v>
      </c>
      <c r="H24" s="15">
        <v>1.8506839602015586E-3</v>
      </c>
      <c r="I24" s="15">
        <v>-6.2922000000000002</v>
      </c>
      <c r="J24" s="15">
        <v>-2.8468396020155866E-4</v>
      </c>
    </row>
    <row r="25" spans="1:15" x14ac:dyDescent="0.3">
      <c r="A25" s="11">
        <v>2019</v>
      </c>
      <c r="B25" s="12">
        <v>43</v>
      </c>
      <c r="C25" s="12" t="s">
        <v>11</v>
      </c>
      <c r="D25" s="12">
        <v>3370</v>
      </c>
      <c r="E25" s="12">
        <v>1940751</v>
      </c>
      <c r="F25" s="12">
        <v>1.7359999999999999E-3</v>
      </c>
      <c r="G25" s="12">
        <v>-6.3561716627439786</v>
      </c>
      <c r="H25" s="15">
        <v>1.9970184215080569E-3</v>
      </c>
      <c r="I25" s="15">
        <v>-6.2161000000000008</v>
      </c>
      <c r="J25" s="15">
        <v>-2.6101842150805699E-4</v>
      </c>
    </row>
    <row r="26" spans="1:15" x14ac:dyDescent="0.3">
      <c r="A26" s="9">
        <v>2019</v>
      </c>
      <c r="B26" s="10">
        <v>44</v>
      </c>
      <c r="C26" s="10" t="s">
        <v>11</v>
      </c>
      <c r="D26" s="10">
        <v>3565</v>
      </c>
      <c r="E26" s="10">
        <v>1994174</v>
      </c>
      <c r="F26" s="10">
        <v>1.7880000000000001E-3</v>
      </c>
      <c r="G26" s="10">
        <v>-6.3266576022308145</v>
      </c>
      <c r="H26" s="15">
        <v>2.1549236182974154E-3</v>
      </c>
      <c r="I26" s="15">
        <v>-6.1400000000000006</v>
      </c>
      <c r="J26" s="15">
        <v>-3.6692361829741534E-4</v>
      </c>
    </row>
    <row r="27" spans="1:15" x14ac:dyDescent="0.3">
      <c r="A27" s="11">
        <v>2019</v>
      </c>
      <c r="B27" s="12">
        <v>45</v>
      </c>
      <c r="C27" s="12" t="s">
        <v>11</v>
      </c>
      <c r="D27" s="12">
        <v>3861</v>
      </c>
      <c r="E27" s="12">
        <v>1937417</v>
      </c>
      <c r="F27" s="12">
        <v>1.993E-3</v>
      </c>
      <c r="G27" s="12">
        <v>-6.2181142377514798</v>
      </c>
      <c r="H27" s="15">
        <v>2.3253144541297305E-3</v>
      </c>
      <c r="I27" s="15">
        <v>-6.0639000000000003</v>
      </c>
      <c r="J27" s="15">
        <v>-3.3231445412973057E-4</v>
      </c>
    </row>
    <row r="28" spans="1:15" x14ac:dyDescent="0.3">
      <c r="A28" s="9">
        <v>2019</v>
      </c>
      <c r="B28" s="10">
        <v>46</v>
      </c>
      <c r="C28" s="10" t="s">
        <v>11</v>
      </c>
      <c r="D28" s="10">
        <v>4261</v>
      </c>
      <c r="E28" s="10">
        <v>1970074</v>
      </c>
      <c r="F28" s="10">
        <v>2.163E-3</v>
      </c>
      <c r="G28" s="10">
        <v>-6.1362591320112152</v>
      </c>
      <c r="H28" s="15">
        <v>2.5091781744249184E-3</v>
      </c>
      <c r="I28" s="15">
        <v>-5.9878</v>
      </c>
      <c r="J28" s="15">
        <v>-3.4617817442491846E-4</v>
      </c>
    </row>
    <row r="29" spans="1:15" x14ac:dyDescent="0.3">
      <c r="A29" s="11">
        <v>2019</v>
      </c>
      <c r="B29" s="12">
        <v>47</v>
      </c>
      <c r="C29" s="12" t="s">
        <v>11</v>
      </c>
      <c r="D29" s="12">
        <v>4786</v>
      </c>
      <c r="E29" s="12">
        <v>2052817</v>
      </c>
      <c r="F29" s="12">
        <v>2.3310000000000002E-3</v>
      </c>
      <c r="G29" s="12">
        <v>-6.0614579189285172</v>
      </c>
      <c r="H29" s="15">
        <v>2.7075800865679861E-3</v>
      </c>
      <c r="I29" s="15">
        <v>-5.9116999999999997</v>
      </c>
      <c r="J29" s="15">
        <v>-3.7658008656798591E-4</v>
      </c>
    </row>
    <row r="30" spans="1:15" x14ac:dyDescent="0.3">
      <c r="A30" s="9">
        <v>2019</v>
      </c>
      <c r="B30" s="10">
        <v>48</v>
      </c>
      <c r="C30" s="10" t="s">
        <v>11</v>
      </c>
      <c r="D30" s="10">
        <v>5542</v>
      </c>
      <c r="E30" s="10">
        <v>2168043</v>
      </c>
      <c r="F30" s="10">
        <v>2.5560000000000001E-3</v>
      </c>
      <c r="G30" s="10">
        <v>-5.9693117424668483</v>
      </c>
      <c r="H30" s="15">
        <v>2.921669732305759E-3</v>
      </c>
      <c r="I30" s="15">
        <v>-5.8356000000000003</v>
      </c>
      <c r="J30" s="15">
        <v>-3.6566973230575889E-4</v>
      </c>
    </row>
    <row r="31" spans="1:15" x14ac:dyDescent="0.3">
      <c r="A31" s="11">
        <v>2019</v>
      </c>
      <c r="B31" s="12">
        <v>49</v>
      </c>
      <c r="C31" s="12" t="s">
        <v>11</v>
      </c>
      <c r="D31" s="12">
        <v>5931</v>
      </c>
      <c r="E31" s="12">
        <v>2184045</v>
      </c>
      <c r="F31" s="12">
        <v>2.7160000000000001E-3</v>
      </c>
      <c r="G31" s="12">
        <v>-5.9085950692856875</v>
      </c>
      <c r="H31" s="15">
        <v>3.1526875481979453E-3</v>
      </c>
      <c r="I31" s="15">
        <v>-5.759500000000001</v>
      </c>
      <c r="J31" s="15">
        <v>-4.3668754819794521E-4</v>
      </c>
    </row>
    <row r="32" spans="1:15" x14ac:dyDescent="0.3">
      <c r="A32" s="9">
        <v>2019</v>
      </c>
      <c r="B32" s="10">
        <v>50</v>
      </c>
      <c r="C32" s="10" t="s">
        <v>11</v>
      </c>
      <c r="D32" s="10">
        <v>6211</v>
      </c>
      <c r="E32" s="10">
        <v>2071196</v>
      </c>
      <c r="F32" s="10">
        <v>2.9989999999999999E-3</v>
      </c>
      <c r="G32" s="10">
        <v>-5.8094763792152646</v>
      </c>
      <c r="H32" s="15">
        <v>3.4019720527132418E-3</v>
      </c>
      <c r="I32" s="15">
        <v>-5.6834000000000007</v>
      </c>
      <c r="J32" s="15">
        <v>-4.029720527132419E-4</v>
      </c>
    </row>
    <row r="33" spans="1:10" x14ac:dyDescent="0.3">
      <c r="A33" s="11">
        <v>2019</v>
      </c>
      <c r="B33" s="12">
        <v>51</v>
      </c>
      <c r="C33" s="12" t="s">
        <v>11</v>
      </c>
      <c r="D33" s="12">
        <v>6545</v>
      </c>
      <c r="E33" s="12">
        <v>2027460</v>
      </c>
      <c r="F33" s="12">
        <v>3.228E-3</v>
      </c>
      <c r="G33" s="12">
        <v>-5.7358925285744347</v>
      </c>
      <c r="H33" s="15">
        <v>3.6709676016125465E-3</v>
      </c>
      <c r="I33" s="15">
        <v>-5.6073000000000004</v>
      </c>
      <c r="J33" s="15">
        <v>-4.4296760161254651E-4</v>
      </c>
    </row>
    <row r="34" spans="1:10" x14ac:dyDescent="0.3">
      <c r="A34" s="9">
        <v>2019</v>
      </c>
      <c r="B34" s="10">
        <v>52</v>
      </c>
      <c r="C34" s="10" t="s">
        <v>11</v>
      </c>
      <c r="D34" s="10">
        <v>7183</v>
      </c>
      <c r="E34" s="10">
        <v>2033163</v>
      </c>
      <c r="F34" s="10">
        <v>3.5330000000000001E-3</v>
      </c>
      <c r="G34" s="10">
        <v>-5.6456079106051291</v>
      </c>
      <c r="H34" s="15">
        <v>3.9612327565540064E-3</v>
      </c>
      <c r="I34" s="15">
        <v>-5.5312000000000001</v>
      </c>
      <c r="J34" s="15">
        <v>-4.2823275655400625E-4</v>
      </c>
    </row>
    <row r="35" spans="1:10" x14ac:dyDescent="0.3">
      <c r="A35" s="11">
        <v>2019</v>
      </c>
      <c r="B35" s="12">
        <v>53</v>
      </c>
      <c r="C35" s="12" t="s">
        <v>11</v>
      </c>
      <c r="D35" s="12">
        <v>8043</v>
      </c>
      <c r="E35" s="12">
        <v>2067526</v>
      </c>
      <c r="F35" s="12">
        <v>3.8899999999999998E-3</v>
      </c>
      <c r="G35" s="12">
        <v>-5.5493461213517818</v>
      </c>
      <c r="H35" s="15">
        <v>4.2744493154076623E-3</v>
      </c>
      <c r="I35" s="15">
        <v>-5.4551000000000007</v>
      </c>
      <c r="J35" s="15">
        <v>-3.8444931540766248E-4</v>
      </c>
    </row>
    <row r="36" spans="1:10" x14ac:dyDescent="0.3">
      <c r="A36" s="9">
        <v>2019</v>
      </c>
      <c r="B36" s="10">
        <v>54</v>
      </c>
      <c r="C36" s="10" t="s">
        <v>11</v>
      </c>
      <c r="D36" s="10">
        <v>9183</v>
      </c>
      <c r="E36" s="10">
        <v>2191195</v>
      </c>
      <c r="F36" s="10">
        <v>4.1910000000000003E-3</v>
      </c>
      <c r="G36" s="10">
        <v>-5.4748159100392026</v>
      </c>
      <c r="H36" s="15">
        <v>4.61243205660135E-3</v>
      </c>
      <c r="I36" s="15">
        <v>-5.3790000000000004</v>
      </c>
      <c r="J36" s="15">
        <v>-4.2143205660134971E-4</v>
      </c>
    </row>
    <row r="37" spans="1:10" x14ac:dyDescent="0.3">
      <c r="A37" s="11">
        <v>2019</v>
      </c>
      <c r="B37" s="12">
        <v>55</v>
      </c>
      <c r="C37" s="12" t="s">
        <v>11</v>
      </c>
      <c r="D37" s="12">
        <v>10259</v>
      </c>
      <c r="E37" s="12">
        <v>2236979</v>
      </c>
      <c r="F37" s="12">
        <v>4.5859999999999998E-3</v>
      </c>
      <c r="G37" s="12">
        <v>-5.384747094546424</v>
      </c>
      <c r="H37" s="15">
        <v>4.9771392539566858E-3</v>
      </c>
      <c r="I37" s="15">
        <v>-5.3029000000000002</v>
      </c>
      <c r="J37" s="15">
        <v>-3.9113925395668596E-4</v>
      </c>
    </row>
    <row r="38" spans="1:10" x14ac:dyDescent="0.3">
      <c r="A38" s="9">
        <v>2019</v>
      </c>
      <c r="B38" s="10">
        <v>56</v>
      </c>
      <c r="C38" s="10" t="s">
        <v>11</v>
      </c>
      <c r="D38" s="10">
        <v>11173</v>
      </c>
      <c r="E38" s="10">
        <v>2235893</v>
      </c>
      <c r="F38" s="10">
        <v>4.9969999999999997E-3</v>
      </c>
      <c r="G38" s="10">
        <v>-5.2989175466200695</v>
      </c>
      <c r="H38" s="15">
        <v>5.3706840229381268E-3</v>
      </c>
      <c r="I38" s="15">
        <v>-5.2268000000000008</v>
      </c>
      <c r="J38" s="15">
        <v>-3.7368402293812709E-4</v>
      </c>
    </row>
    <row r="39" spans="1:10" x14ac:dyDescent="0.3">
      <c r="A39" s="11">
        <v>2019</v>
      </c>
      <c r="B39" s="12">
        <v>57</v>
      </c>
      <c r="C39" s="12" t="s">
        <v>11</v>
      </c>
      <c r="D39" s="12">
        <v>12317</v>
      </c>
      <c r="E39" s="12">
        <v>2230590</v>
      </c>
      <c r="F39" s="12">
        <v>5.522E-3</v>
      </c>
      <c r="G39" s="12">
        <v>-5.1990151654741741</v>
      </c>
      <c r="H39" s="15">
        <v>5.7953465640553448E-3</v>
      </c>
      <c r="I39" s="15">
        <v>-5.1507000000000005</v>
      </c>
      <c r="J39" s="15">
        <v>-2.733465640553448E-4</v>
      </c>
    </row>
    <row r="40" spans="1:10" x14ac:dyDescent="0.3">
      <c r="A40" s="9">
        <v>2019</v>
      </c>
      <c r="B40" s="10">
        <v>58</v>
      </c>
      <c r="C40" s="10" t="s">
        <v>11</v>
      </c>
      <c r="D40" s="10">
        <v>13439</v>
      </c>
      <c r="E40" s="10">
        <v>2259796</v>
      </c>
      <c r="F40" s="10">
        <v>5.947E-3</v>
      </c>
      <c r="G40" s="10">
        <v>-5.1248683882576804</v>
      </c>
      <c r="H40" s="15">
        <v>6.2535873743572541E-3</v>
      </c>
      <c r="I40" s="15">
        <v>-5.0746000000000002</v>
      </c>
      <c r="J40" s="15">
        <v>-3.0658737435725406E-4</v>
      </c>
    </row>
    <row r="41" spans="1:10" x14ac:dyDescent="0.3">
      <c r="A41" s="11">
        <v>2019</v>
      </c>
      <c r="B41" s="12">
        <v>59</v>
      </c>
      <c r="C41" s="12" t="s">
        <v>11</v>
      </c>
      <c r="D41" s="12">
        <v>14210</v>
      </c>
      <c r="E41" s="12">
        <v>2271644</v>
      </c>
      <c r="F41" s="12">
        <v>6.2550000000000001E-3</v>
      </c>
      <c r="G41" s="12">
        <v>-5.0743741350632625</v>
      </c>
      <c r="H41" s="15">
        <v>6.7480615035651528E-3</v>
      </c>
      <c r="I41" s="15">
        <v>-4.9984999999999999</v>
      </c>
      <c r="J41" s="15">
        <v>-4.9306150356515262E-4</v>
      </c>
    </row>
    <row r="42" spans="1:10" x14ac:dyDescent="0.3">
      <c r="A42" s="9">
        <v>2019</v>
      </c>
      <c r="B42" s="10">
        <v>60</v>
      </c>
      <c r="C42" s="10" t="s">
        <v>11</v>
      </c>
      <c r="D42" s="10">
        <v>15391</v>
      </c>
      <c r="E42" s="10">
        <v>2199986</v>
      </c>
      <c r="F42" s="10">
        <v>6.9959999999999996E-3</v>
      </c>
      <c r="G42" s="10">
        <v>-4.9624167218257815</v>
      </c>
      <c r="H42" s="15">
        <v>7.2816339374451016E-3</v>
      </c>
      <c r="I42" s="15">
        <v>-4.9224000000000006</v>
      </c>
      <c r="J42" s="15">
        <v>-2.8563393744510199E-4</v>
      </c>
    </row>
    <row r="43" spans="1:10" x14ac:dyDescent="0.3">
      <c r="A43" s="11">
        <v>2019</v>
      </c>
      <c r="B43" s="12">
        <v>61</v>
      </c>
      <c r="C43" s="12" t="s">
        <v>11</v>
      </c>
      <c r="D43" s="12">
        <v>16341</v>
      </c>
      <c r="E43" s="12">
        <v>2187221</v>
      </c>
      <c r="F43" s="12">
        <v>7.4710000000000002E-3</v>
      </c>
      <c r="G43" s="12">
        <v>-4.8967264199884726</v>
      </c>
      <c r="H43" s="15">
        <v>7.8573961975508741E-3</v>
      </c>
      <c r="I43" s="15">
        <v>-4.8463000000000003</v>
      </c>
      <c r="J43" s="15">
        <v>-3.8639619755087388E-4</v>
      </c>
    </row>
    <row r="44" spans="1:10" x14ac:dyDescent="0.3">
      <c r="A44" s="9">
        <v>2019</v>
      </c>
      <c r="B44" s="10">
        <v>62</v>
      </c>
      <c r="C44" s="10" t="s">
        <v>11</v>
      </c>
      <c r="D44" s="10">
        <v>17321</v>
      </c>
      <c r="E44" s="10">
        <v>2165425</v>
      </c>
      <c r="F44" s="10">
        <v>7.9989999999999992E-3</v>
      </c>
      <c r="G44" s="10">
        <v>-4.8284387451154522</v>
      </c>
      <c r="H44" s="15">
        <v>8.4786842535164702E-3</v>
      </c>
      <c r="I44" s="15">
        <v>-4.7702</v>
      </c>
      <c r="J44" s="15">
        <v>-4.7968425351647102E-4</v>
      </c>
    </row>
    <row r="45" spans="1:10" x14ac:dyDescent="0.3">
      <c r="A45" s="11">
        <v>2019</v>
      </c>
      <c r="B45" s="12">
        <v>63</v>
      </c>
      <c r="C45" s="12" t="s">
        <v>11</v>
      </c>
      <c r="D45" s="12">
        <v>17837</v>
      </c>
      <c r="E45" s="12">
        <v>2090246</v>
      </c>
      <c r="F45" s="12">
        <v>8.5330000000000007E-3</v>
      </c>
      <c r="G45" s="12">
        <v>-4.763814279427689</v>
      </c>
      <c r="H45" s="15">
        <v>9.1490978516821451E-3</v>
      </c>
      <c r="I45" s="15">
        <v>-4.6941000000000006</v>
      </c>
      <c r="J45" s="15">
        <v>-6.1609785168214443E-4</v>
      </c>
    </row>
    <row r="46" spans="1:10" x14ac:dyDescent="0.3">
      <c r="A46" s="9">
        <v>2019</v>
      </c>
      <c r="B46" s="10">
        <v>64</v>
      </c>
      <c r="C46" s="10" t="s">
        <v>11</v>
      </c>
      <c r="D46" s="10">
        <v>18724</v>
      </c>
      <c r="E46" s="10">
        <v>2071538</v>
      </c>
      <c r="F46" s="10">
        <v>9.0390000000000002E-3</v>
      </c>
      <c r="G46" s="10">
        <v>-4.7062067301658628</v>
      </c>
      <c r="H46" s="15">
        <v>9.8725213720440644E-3</v>
      </c>
      <c r="I46" s="15">
        <v>-4.6180000000000003</v>
      </c>
      <c r="J46" s="15">
        <v>-8.3352137204406422E-4</v>
      </c>
    </row>
    <row r="47" spans="1:10" x14ac:dyDescent="0.3">
      <c r="A47" s="11">
        <v>2019</v>
      </c>
      <c r="B47" s="12">
        <v>65</v>
      </c>
      <c r="C47" s="12" t="s">
        <v>11</v>
      </c>
      <c r="D47" s="12">
        <v>19046</v>
      </c>
      <c r="E47" s="12">
        <v>1991169</v>
      </c>
      <c r="F47" s="12">
        <v>9.5650000000000006E-3</v>
      </c>
      <c r="G47" s="12">
        <v>-4.6496446760899204</v>
      </c>
      <c r="H47" s="15">
        <v>1.0653146334372922E-2</v>
      </c>
      <c r="I47" s="15">
        <v>-4.5419</v>
      </c>
      <c r="J47" s="15">
        <v>-1.0881463343729216E-3</v>
      </c>
    </row>
    <row r="48" spans="1:10" x14ac:dyDescent="0.3">
      <c r="A48" s="9">
        <v>2019</v>
      </c>
      <c r="B48" s="10">
        <v>66</v>
      </c>
      <c r="C48" s="10" t="s">
        <v>11</v>
      </c>
      <c r="D48" s="10">
        <v>19793</v>
      </c>
      <c r="E48" s="10">
        <v>1914181</v>
      </c>
      <c r="F48" s="10">
        <v>1.034E-2</v>
      </c>
      <c r="G48" s="10">
        <v>-4.5717354099018541</v>
      </c>
      <c r="H48" s="15">
        <v>1.1495495683902046E-2</v>
      </c>
      <c r="I48" s="15">
        <v>-4.4658000000000007</v>
      </c>
      <c r="J48" s="15">
        <v>-1.1554956839020455E-3</v>
      </c>
    </row>
    <row r="49" spans="1:10" x14ac:dyDescent="0.3">
      <c r="A49" s="11">
        <v>2019</v>
      </c>
      <c r="B49" s="12">
        <v>67</v>
      </c>
      <c r="C49" s="12" t="s">
        <v>11</v>
      </c>
      <c r="D49" s="12">
        <v>20479</v>
      </c>
      <c r="E49" s="12">
        <v>1836574</v>
      </c>
      <c r="F49" s="12">
        <v>1.1150999999999999E-2</v>
      </c>
      <c r="G49" s="12">
        <v>-4.4962260989989122</v>
      </c>
      <c r="H49" s="15">
        <v>1.2404449997296419E-2</v>
      </c>
      <c r="I49" s="15">
        <v>-4.3897000000000004</v>
      </c>
      <c r="J49" s="15">
        <v>-1.2534499972964193E-3</v>
      </c>
    </row>
    <row r="50" spans="1:10" x14ac:dyDescent="0.3">
      <c r="A50" s="9">
        <v>2019</v>
      </c>
      <c r="B50" s="10">
        <v>68</v>
      </c>
      <c r="C50" s="10" t="s">
        <v>11</v>
      </c>
      <c r="D50" s="10">
        <v>21517</v>
      </c>
      <c r="E50" s="10">
        <v>1781346</v>
      </c>
      <c r="F50" s="10">
        <v>1.2078999999999999E-2</v>
      </c>
      <c r="G50" s="10">
        <v>-4.416286871358996</v>
      </c>
      <c r="H50" s="15">
        <v>1.3385275760740155E-2</v>
      </c>
      <c r="I50" s="15">
        <v>-4.3136000000000001</v>
      </c>
      <c r="J50" s="15">
        <v>-1.3062757607401557E-3</v>
      </c>
    </row>
    <row r="51" spans="1:10" x14ac:dyDescent="0.3">
      <c r="A51" s="11">
        <v>2019</v>
      </c>
      <c r="B51" s="12">
        <v>69</v>
      </c>
      <c r="C51" s="12" t="s">
        <v>11</v>
      </c>
      <c r="D51" s="12">
        <v>22639</v>
      </c>
      <c r="E51" s="12">
        <v>1731958</v>
      </c>
      <c r="F51" s="12">
        <v>1.3070999999999999E-2</v>
      </c>
      <c r="G51" s="12">
        <v>-4.3373592431787227</v>
      </c>
      <c r="H51" s="15">
        <v>1.4443655883985791E-2</v>
      </c>
      <c r="I51" s="15">
        <v>-4.2375000000000007</v>
      </c>
      <c r="J51" s="15">
        <v>-1.3726558839857912E-3</v>
      </c>
    </row>
    <row r="52" spans="1:10" x14ac:dyDescent="0.3">
      <c r="A52" s="9">
        <v>2019</v>
      </c>
      <c r="B52" s="10">
        <v>70</v>
      </c>
      <c r="C52" s="10" t="s">
        <v>11</v>
      </c>
      <c r="D52" s="10">
        <v>24422</v>
      </c>
      <c r="E52" s="10">
        <v>1674584</v>
      </c>
      <c r="F52" s="10">
        <v>1.4584E-2</v>
      </c>
      <c r="G52" s="10">
        <v>-4.2278302416057754</v>
      </c>
      <c r="H52" s="15">
        <v>1.5585722627163977E-2</v>
      </c>
      <c r="I52" s="15">
        <v>-4.1614000000000004</v>
      </c>
      <c r="J52" s="15">
        <v>-1.001722627163977E-3</v>
      </c>
    </row>
    <row r="53" spans="1:10" x14ac:dyDescent="0.3">
      <c r="A53" s="11">
        <v>2019</v>
      </c>
      <c r="B53" s="12">
        <v>71</v>
      </c>
      <c r="C53" s="12" t="s">
        <v>11</v>
      </c>
      <c r="D53" s="12">
        <v>26607</v>
      </c>
      <c r="E53" s="12">
        <v>1647705</v>
      </c>
      <c r="F53" s="12">
        <v>1.6147999999999999E-2</v>
      </c>
      <c r="G53" s="12">
        <v>-4.1259590759914424</v>
      </c>
      <c r="H53" s="15">
        <v>1.6818093131131685E-2</v>
      </c>
      <c r="I53" s="15">
        <v>-4.0853000000000002</v>
      </c>
      <c r="J53" s="15">
        <v>-6.7009313113168545E-4</v>
      </c>
    </row>
    <row r="54" spans="1:10" x14ac:dyDescent="0.3">
      <c r="A54" s="9">
        <v>2019</v>
      </c>
      <c r="B54" s="10">
        <v>72</v>
      </c>
      <c r="C54" s="10" t="s">
        <v>11</v>
      </c>
      <c r="D54" s="10">
        <v>29424</v>
      </c>
      <c r="E54" s="10">
        <v>1707812</v>
      </c>
      <c r="F54" s="10">
        <v>1.7229000000000001E-2</v>
      </c>
      <c r="G54" s="10">
        <v>-4.0611612684318681</v>
      </c>
      <c r="H54" s="15">
        <v>1.814790775722195E-2</v>
      </c>
      <c r="I54" s="15">
        <v>-4.0091999999999999</v>
      </c>
      <c r="J54" s="15">
        <v>-9.189077572219484E-4</v>
      </c>
    </row>
    <row r="55" spans="1:10" x14ac:dyDescent="0.3">
      <c r="A55" s="11">
        <v>2019</v>
      </c>
      <c r="B55" s="12">
        <v>73</v>
      </c>
      <c r="C55" s="12" t="s">
        <v>11</v>
      </c>
      <c r="D55" s="12">
        <v>25287</v>
      </c>
      <c r="E55" s="12">
        <v>1259662</v>
      </c>
      <c r="F55" s="12">
        <v>2.0074000000000002E-2</v>
      </c>
      <c r="G55" s="12">
        <v>-3.9083298335905283</v>
      </c>
      <c r="H55" s="15">
        <v>1.9582871458535853E-2</v>
      </c>
      <c r="I55" s="15">
        <v>-3.9331000000000005</v>
      </c>
      <c r="J55" s="15">
        <v>4.9112854146414822E-4</v>
      </c>
    </row>
    <row r="56" spans="1:10" x14ac:dyDescent="0.3">
      <c r="A56" s="9">
        <v>2019</v>
      </c>
      <c r="B56" s="10">
        <v>74</v>
      </c>
      <c r="C56" s="10" t="s">
        <v>11</v>
      </c>
      <c r="D56" s="10">
        <v>26098</v>
      </c>
      <c r="E56" s="10">
        <v>1238863</v>
      </c>
      <c r="F56" s="10">
        <v>2.1066000000000001E-2</v>
      </c>
      <c r="G56" s="10">
        <v>-3.8600949125677868</v>
      </c>
      <c r="H56" s="15">
        <v>2.1131298422482285E-2</v>
      </c>
      <c r="I56" s="15">
        <v>-3.8570000000000002</v>
      </c>
      <c r="J56" s="15">
        <v>-6.5298422482283625E-5</v>
      </c>
    </row>
    <row r="57" spans="1:10" x14ac:dyDescent="0.3">
      <c r="A57" s="11">
        <v>2019</v>
      </c>
      <c r="B57" s="12">
        <v>75</v>
      </c>
      <c r="C57" s="12" t="s">
        <v>11</v>
      </c>
      <c r="D57" s="12">
        <v>28571</v>
      </c>
      <c r="E57" s="12">
        <v>1199896</v>
      </c>
      <c r="F57" s="12">
        <v>2.3810999999999999E-2</v>
      </c>
      <c r="G57" s="12">
        <v>-3.737607620205289</v>
      </c>
      <c r="H57" s="15">
        <v>2.2802160243224512E-2</v>
      </c>
      <c r="I57" s="15">
        <v>-3.7808999999999999</v>
      </c>
      <c r="J57" s="15">
        <v>1.008839756775487E-3</v>
      </c>
    </row>
    <row r="58" spans="1:10" x14ac:dyDescent="0.3">
      <c r="A58" s="9">
        <v>2019</v>
      </c>
      <c r="B58" s="10">
        <v>76</v>
      </c>
      <c r="C58" s="10" t="s">
        <v>11</v>
      </c>
      <c r="D58" s="10">
        <v>31604</v>
      </c>
      <c r="E58" s="10">
        <v>1218702</v>
      </c>
      <c r="F58" s="10">
        <v>2.5933000000000001E-2</v>
      </c>
      <c r="G58" s="10">
        <v>-3.6522389900189443</v>
      </c>
      <c r="H58" s="15">
        <v>2.4605137903145072E-2</v>
      </c>
      <c r="I58" s="15">
        <v>-3.7048000000000005</v>
      </c>
      <c r="J58" s="15">
        <v>1.3278620968549294E-3</v>
      </c>
    </row>
    <row r="59" spans="1:10" x14ac:dyDescent="0.3">
      <c r="A59" s="11">
        <v>2019</v>
      </c>
      <c r="B59" s="12">
        <v>77</v>
      </c>
      <c r="C59" s="12" t="s">
        <v>11</v>
      </c>
      <c r="D59" s="12">
        <v>30493</v>
      </c>
      <c r="E59" s="12">
        <v>1056331</v>
      </c>
      <c r="F59" s="12">
        <v>2.8867E-2</v>
      </c>
      <c r="G59" s="12">
        <v>-3.5450562048044163</v>
      </c>
      <c r="H59" s="15">
        <v>2.6550677864509788E-2</v>
      </c>
      <c r="I59" s="15">
        <v>-3.6287000000000003</v>
      </c>
      <c r="J59" s="15">
        <v>2.3163221354902119E-3</v>
      </c>
    </row>
    <row r="60" spans="1:10" x14ac:dyDescent="0.3">
      <c r="A60" s="9">
        <v>2019</v>
      </c>
      <c r="B60" s="10">
        <v>78</v>
      </c>
      <c r="C60" s="10" t="s">
        <v>11</v>
      </c>
      <c r="D60" s="10">
        <v>30611</v>
      </c>
      <c r="E60" s="10">
        <v>960647</v>
      </c>
      <c r="F60" s="10">
        <v>3.1864999999999997E-2</v>
      </c>
      <c r="G60" s="10">
        <v>-3.4462470502158795</v>
      </c>
      <c r="H60" s="15">
        <v>2.8650052596326386E-2</v>
      </c>
      <c r="I60" s="15">
        <v>-3.5526</v>
      </c>
      <c r="J60" s="15">
        <v>3.2149474036736111E-3</v>
      </c>
    </row>
    <row r="61" spans="1:10" x14ac:dyDescent="0.3">
      <c r="A61" s="11">
        <v>2019</v>
      </c>
      <c r="B61" s="12">
        <v>79</v>
      </c>
      <c r="C61" s="12" t="s">
        <v>11</v>
      </c>
      <c r="D61" s="12">
        <v>31718</v>
      </c>
      <c r="E61" s="12">
        <v>898590</v>
      </c>
      <c r="F61" s="12">
        <v>3.5298000000000003E-2</v>
      </c>
      <c r="G61" s="12">
        <v>-3.3439289738717632</v>
      </c>
      <c r="H61" s="15">
        <v>3.0915425887090564E-2</v>
      </c>
      <c r="I61" s="15">
        <v>-3.4765000000000006</v>
      </c>
      <c r="J61" s="15">
        <v>4.3825741129094389E-3</v>
      </c>
    </row>
    <row r="62" spans="1:10" x14ac:dyDescent="0.3">
      <c r="A62" s="9">
        <v>2019</v>
      </c>
      <c r="B62" s="10">
        <v>80</v>
      </c>
      <c r="C62" s="10" t="s">
        <v>11</v>
      </c>
      <c r="D62" s="10">
        <v>33085</v>
      </c>
      <c r="E62" s="10">
        <v>831640</v>
      </c>
      <c r="F62" s="10">
        <v>3.9782999999999999E-2</v>
      </c>
      <c r="G62" s="10">
        <v>-3.2243155936185657</v>
      </c>
      <c r="H62" s="15">
        <v>3.3359923321842025E-2</v>
      </c>
      <c r="I62" s="15">
        <v>-3.4004000000000003</v>
      </c>
      <c r="J62" s="15">
        <v>6.423076678157974E-3</v>
      </c>
    </row>
    <row r="63" spans="1:10" x14ac:dyDescent="0.3">
      <c r="A63" s="11">
        <v>2019</v>
      </c>
      <c r="B63" s="12">
        <v>81</v>
      </c>
      <c r="C63" s="12" t="s">
        <v>11</v>
      </c>
      <c r="D63" s="12">
        <v>34649</v>
      </c>
      <c r="E63" s="12">
        <v>788013</v>
      </c>
      <c r="F63" s="12">
        <v>4.3970000000000002E-2</v>
      </c>
      <c r="G63" s="12">
        <v>-3.1242476957894181</v>
      </c>
      <c r="H63" s="15">
        <v>3.599770833187485E-2</v>
      </c>
      <c r="I63" s="15">
        <v>-3.3243</v>
      </c>
      <c r="J63" s="15">
        <v>7.9722916681251518E-3</v>
      </c>
    </row>
    <row r="64" spans="1:10" x14ac:dyDescent="0.3">
      <c r="A64" s="9">
        <v>2019</v>
      </c>
      <c r="B64" s="10">
        <v>82</v>
      </c>
      <c r="C64" s="10" t="s">
        <v>11</v>
      </c>
      <c r="D64" s="10">
        <v>35705</v>
      </c>
      <c r="E64" s="10">
        <v>715575</v>
      </c>
      <c r="F64" s="10">
        <v>4.9896999999999997E-2</v>
      </c>
      <c r="G64" s="10">
        <v>-2.9977943982724393</v>
      </c>
      <c r="H64" s="15">
        <v>3.8844064257734637E-2</v>
      </c>
      <c r="I64" s="15">
        <v>-3.2482000000000006</v>
      </c>
      <c r="J64" s="15">
        <v>1.105293574226536E-2</v>
      </c>
    </row>
    <row r="65" spans="1:10" x14ac:dyDescent="0.3">
      <c r="A65" s="11">
        <v>2019</v>
      </c>
      <c r="B65" s="12">
        <v>83</v>
      </c>
      <c r="C65" s="12" t="s">
        <v>11</v>
      </c>
      <c r="D65" s="12">
        <v>37703</v>
      </c>
      <c r="E65" s="12">
        <v>671025</v>
      </c>
      <c r="F65" s="12">
        <v>5.6187000000000001E-2</v>
      </c>
      <c r="G65" s="12">
        <v>-2.8790698655663105</v>
      </c>
      <c r="H65" s="15">
        <v>4.1915482900975895E-2</v>
      </c>
      <c r="I65" s="15">
        <v>-3.1721000000000004</v>
      </c>
      <c r="J65" s="15">
        <v>1.4271517099024106E-2</v>
      </c>
    </row>
    <row r="66" spans="1:10" x14ac:dyDescent="0.3">
      <c r="A66" s="9">
        <v>2019</v>
      </c>
      <c r="B66" s="10">
        <v>84</v>
      </c>
      <c r="C66" s="10" t="s">
        <v>11</v>
      </c>
      <c r="D66" s="10">
        <v>38788</v>
      </c>
      <c r="E66" s="10">
        <v>631230</v>
      </c>
      <c r="F66" s="10">
        <v>6.1448000000000003E-2</v>
      </c>
      <c r="G66" s="10">
        <v>-2.7895639902857563</v>
      </c>
      <c r="H66" s="15">
        <v>4.5229760077748982E-2</v>
      </c>
      <c r="I66" s="15">
        <v>-3.0960000000000001</v>
      </c>
      <c r="J66" s="15">
        <v>1.6218239922251021E-2</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8E2770-0C83-46E1-8DCD-962496A5C977}">
  <dimension ref="A1:R66"/>
  <sheetViews>
    <sheetView zoomScaleNormal="100" workbookViewId="0">
      <selection activeCell="V2" sqref="V2"/>
    </sheetView>
  </sheetViews>
  <sheetFormatPr defaultRowHeight="14.4" x14ac:dyDescent="0.3"/>
  <cols>
    <col min="6" max="6" width="12" bestFit="1" customWidth="1"/>
    <col min="7" max="7" width="9.33203125" bestFit="1" customWidth="1"/>
    <col min="9" max="9" width="9.5546875" bestFit="1" customWidth="1"/>
    <col min="10" max="10" width="9" bestFit="1" customWidth="1"/>
    <col min="11" max="11" width="11.33203125" bestFit="1" customWidth="1"/>
    <col min="12" max="12" width="12" bestFit="1" customWidth="1"/>
    <col min="13" max="13" width="9.44140625" bestFit="1" customWidth="1"/>
  </cols>
  <sheetData>
    <row r="1" spans="1:18" x14ac:dyDescent="0.3">
      <c r="A1" s="7" t="s">
        <v>0</v>
      </c>
      <c r="B1" s="8" t="s">
        <v>1</v>
      </c>
      <c r="C1" s="8" t="s">
        <v>2</v>
      </c>
      <c r="D1" s="8" t="s">
        <v>26</v>
      </c>
      <c r="E1" s="8" t="s">
        <v>27</v>
      </c>
      <c r="F1" s="14" t="s">
        <v>49</v>
      </c>
      <c r="G1" s="14" t="s">
        <v>50</v>
      </c>
      <c r="H1" s="14" t="s">
        <v>51</v>
      </c>
      <c r="I1" s="14" t="s">
        <v>52</v>
      </c>
      <c r="J1" s="14" t="s">
        <v>54</v>
      </c>
      <c r="K1" s="14" t="s">
        <v>55</v>
      </c>
      <c r="L1" s="14" t="s">
        <v>37</v>
      </c>
      <c r="M1" s="14" t="s">
        <v>56</v>
      </c>
      <c r="N1" s="14" t="s">
        <v>57</v>
      </c>
      <c r="P1" s="24" t="s">
        <v>28</v>
      </c>
      <c r="Q1" s="24" t="s">
        <v>58</v>
      </c>
      <c r="R1" s="24" t="s">
        <v>59</v>
      </c>
    </row>
    <row r="2" spans="1:18" x14ac:dyDescent="0.3">
      <c r="A2" s="9">
        <v>2019</v>
      </c>
      <c r="B2" s="10">
        <v>20</v>
      </c>
      <c r="C2" s="10" t="s">
        <v>11</v>
      </c>
      <c r="D2" s="10">
        <v>4.1300000000000001E-4</v>
      </c>
      <c r="E2" s="10">
        <v>-7.7920629650032414</v>
      </c>
      <c r="F2" s="16">
        <f t="shared" ref="F2:F33" si="0">$Q$2+($Q$3*($Q$4^(B2)))</f>
        <v>4.7445914852968843E-4</v>
      </c>
      <c r="G2" s="16">
        <f>LN(F2)</f>
        <v>-7.6533350373409306</v>
      </c>
      <c r="H2" s="16">
        <f>E2-G2</f>
        <v>-0.13872792766231079</v>
      </c>
      <c r="I2" s="16">
        <f>H2^2</f>
        <v>1.9245437913479334E-2</v>
      </c>
      <c r="J2" s="16">
        <f t="shared" ref="J2:J33" si="1">LN(D2-$Q$2)</f>
        <v>-8.8540497414990682</v>
      </c>
      <c r="K2" s="16">
        <v>-7.9664000000000001</v>
      </c>
      <c r="L2" s="15">
        <v>3.4692567293355826E-4</v>
      </c>
      <c r="M2" s="23">
        <f>(D2-L2)/D2</f>
        <v>0.15998626408339406</v>
      </c>
      <c r="N2" s="23">
        <f>(D2-F2)/D2</f>
        <v>-0.1488114976505773</v>
      </c>
      <c r="P2" s="16" t="s">
        <v>48</v>
      </c>
      <c r="Q2" s="16">
        <v>2.7019774851752277E-4</v>
      </c>
      <c r="R2" s="16">
        <v>0</v>
      </c>
    </row>
    <row r="3" spans="1:18" x14ac:dyDescent="0.3">
      <c r="A3" s="11">
        <v>2019</v>
      </c>
      <c r="B3" s="12">
        <v>21</v>
      </c>
      <c r="C3" s="12" t="s">
        <v>11</v>
      </c>
      <c r="D3" s="12">
        <v>4.5399999999999998E-4</v>
      </c>
      <c r="E3" s="12">
        <v>-7.6974133599229262</v>
      </c>
      <c r="F3" s="16">
        <f t="shared" si="0"/>
        <v>4.9295682075077552E-4</v>
      </c>
      <c r="G3" s="16">
        <f t="shared" ref="G3:G66" si="2">LN(F3)</f>
        <v>-7.615088972441372</v>
      </c>
      <c r="H3" s="16">
        <f t="shared" ref="H3:H66" si="3">E3-G3</f>
        <v>-8.232438748155424E-2</v>
      </c>
      <c r="I3" s="16">
        <f t="shared" ref="I3:I66" si="4">H3^2</f>
        <v>6.7773047742130848E-3</v>
      </c>
      <c r="J3" s="16">
        <f t="shared" si="1"/>
        <v>-8.6016500984850843</v>
      </c>
      <c r="K3" s="16">
        <v>-7.8902999999999999</v>
      </c>
      <c r="L3" s="15">
        <v>3.7435725096301162E-4</v>
      </c>
      <c r="M3" s="23">
        <f t="shared" ref="M3:M66" si="5">(D3-L3)/D3</f>
        <v>0.17542455735019463</v>
      </c>
      <c r="N3" s="23">
        <f t="shared" ref="N3:N66" si="6">(D3-F3)/D3</f>
        <v>-8.580797522197256E-2</v>
      </c>
      <c r="P3" s="16" t="s">
        <v>32</v>
      </c>
      <c r="Q3" s="16">
        <v>3.6074837252320934E-5</v>
      </c>
      <c r="R3" s="16">
        <v>7.5725166674768304E-5</v>
      </c>
    </row>
    <row r="4" spans="1:18" x14ac:dyDescent="0.3">
      <c r="A4" s="9">
        <v>2019</v>
      </c>
      <c r="B4" s="10">
        <v>22</v>
      </c>
      <c r="C4" s="10" t="s">
        <v>11</v>
      </c>
      <c r="D4" s="10">
        <v>4.6299999999999998E-4</v>
      </c>
      <c r="E4" s="10">
        <v>-7.6777835038780404</v>
      </c>
      <c r="F4" s="16">
        <f t="shared" si="0"/>
        <v>5.1312962041923354E-4</v>
      </c>
      <c r="G4" s="16">
        <f t="shared" si="2"/>
        <v>-7.5749820733270203</v>
      </c>
      <c r="H4" s="16">
        <f t="shared" si="3"/>
        <v>-0.10280143055102009</v>
      </c>
      <c r="I4" s="16">
        <f t="shared" si="4"/>
        <v>1.0568134123336207E-2</v>
      </c>
      <c r="J4" s="16">
        <f t="shared" si="1"/>
        <v>-8.5538454980423353</v>
      </c>
      <c r="K4" s="16">
        <v>-7.8142000000000005</v>
      </c>
      <c r="L4" s="15">
        <v>4.0395785691946451E-4</v>
      </c>
      <c r="M4" s="23">
        <f t="shared" si="5"/>
        <v>0.1275208273877656</v>
      </c>
      <c r="N4" s="23">
        <f t="shared" si="6"/>
        <v>-0.10827131840007249</v>
      </c>
      <c r="P4" s="16" t="s">
        <v>33</v>
      </c>
      <c r="Q4" s="16">
        <v>1.0905588242320154</v>
      </c>
      <c r="R4" s="16">
        <v>1.0790704758096901</v>
      </c>
    </row>
    <row r="5" spans="1:18" x14ac:dyDescent="0.3">
      <c r="A5" s="11">
        <v>2019</v>
      </c>
      <c r="B5" s="12">
        <v>23</v>
      </c>
      <c r="C5" s="12" t="s">
        <v>11</v>
      </c>
      <c r="D5" s="12">
        <v>5.5099999999999995E-4</v>
      </c>
      <c r="E5" s="12">
        <v>-7.5037757488113597</v>
      </c>
      <c r="F5" s="16">
        <f t="shared" si="0"/>
        <v>5.3512924510713497E-4</v>
      </c>
      <c r="G5" s="16">
        <f t="shared" si="2"/>
        <v>-7.5330022606044249</v>
      </c>
      <c r="H5" s="16">
        <f t="shared" si="3"/>
        <v>2.9226511793065235E-2</v>
      </c>
      <c r="I5" s="16">
        <f t="shared" si="4"/>
        <v>8.5418899159018125E-4</v>
      </c>
      <c r="J5" s="16">
        <f t="shared" si="1"/>
        <v>-8.1778598677447736</v>
      </c>
      <c r="K5" s="16">
        <v>-7.7381000000000002</v>
      </c>
      <c r="L5" s="15">
        <v>4.3589899687314929E-4</v>
      </c>
      <c r="M5" s="23">
        <f t="shared" si="5"/>
        <v>0.20889474251697038</v>
      </c>
      <c r="N5" s="23">
        <f t="shared" si="6"/>
        <v>2.8803547899936451E-2</v>
      </c>
      <c r="P5" s="16" t="s">
        <v>53</v>
      </c>
      <c r="Q5" s="16">
        <f>SUM(I2:I66)</f>
        <v>0.25730305994598868</v>
      </c>
      <c r="R5" s="16"/>
    </row>
    <row r="6" spans="1:18" x14ac:dyDescent="0.3">
      <c r="A6" s="9">
        <v>2019</v>
      </c>
      <c r="B6" s="10">
        <v>24</v>
      </c>
      <c r="C6" s="10" t="s">
        <v>11</v>
      </c>
      <c r="D6" s="10">
        <v>5.4199999999999995E-4</v>
      </c>
      <c r="E6" s="10">
        <v>-7.5202445565246281</v>
      </c>
      <c r="F6" s="16">
        <f t="shared" si="0"/>
        <v>5.5912112994031858E-4</v>
      </c>
      <c r="G6" s="16">
        <f t="shared" si="2"/>
        <v>-7.4891444178711319</v>
      </c>
      <c r="H6" s="16">
        <f t="shared" si="3"/>
        <v>-3.1100138653496145E-2</v>
      </c>
      <c r="I6" s="16">
        <f t="shared" si="4"/>
        <v>9.6721862426668505E-4</v>
      </c>
      <c r="J6" s="16">
        <f t="shared" si="1"/>
        <v>-8.2104357726815493</v>
      </c>
      <c r="K6" s="16">
        <v>-7.6620000000000008</v>
      </c>
      <c r="L6" s="15">
        <v>4.7036573796087582E-4</v>
      </c>
      <c r="M6" s="23">
        <f t="shared" si="5"/>
        <v>0.13216653512753529</v>
      </c>
      <c r="N6" s="23">
        <f t="shared" si="6"/>
        <v>-3.1588800627894167E-2</v>
      </c>
    </row>
    <row r="7" spans="1:18" x14ac:dyDescent="0.3">
      <c r="A7" s="11">
        <v>2019</v>
      </c>
      <c r="B7" s="12">
        <v>25</v>
      </c>
      <c r="C7" s="12" t="s">
        <v>11</v>
      </c>
      <c r="D7" s="12">
        <v>5.7399999999999997E-4</v>
      </c>
      <c r="E7" s="12">
        <v>-7.4628811616447077</v>
      </c>
      <c r="F7" s="16">
        <f t="shared" si="0"/>
        <v>5.8528569165510521E-4</v>
      </c>
      <c r="G7" s="16">
        <f t="shared" si="2"/>
        <v>-7.4434104681386346</v>
      </c>
      <c r="H7" s="16">
        <f t="shared" si="3"/>
        <v>-1.9470693506073111E-2</v>
      </c>
      <c r="I7" s="16">
        <f t="shared" si="4"/>
        <v>3.7910790560743762E-4</v>
      </c>
      <c r="J7" s="16">
        <f t="shared" si="1"/>
        <v>-8.099133556762002</v>
      </c>
      <c r="K7" s="16">
        <v>-7.5859000000000005</v>
      </c>
      <c r="L7" s="15">
        <v>5.0755778066601822E-4</v>
      </c>
      <c r="M7" s="23">
        <f t="shared" si="5"/>
        <v>0.11575299535536891</v>
      </c>
      <c r="N7" s="23">
        <f t="shared" si="6"/>
        <v>-1.9661483719695547E-2</v>
      </c>
    </row>
    <row r="8" spans="1:18" x14ac:dyDescent="0.3">
      <c r="A8" s="9">
        <v>2019</v>
      </c>
      <c r="B8" s="10">
        <v>26</v>
      </c>
      <c r="C8" s="10" t="s">
        <v>11</v>
      </c>
      <c r="D8" s="10">
        <v>6.1899999999999998E-4</v>
      </c>
      <c r="E8" s="10">
        <v>-7.3874052852796783</v>
      </c>
      <c r="F8" s="16">
        <f t="shared" si="0"/>
        <v>6.1381968531532861E-4</v>
      </c>
      <c r="G8" s="16">
        <f t="shared" si="2"/>
        <v>-7.3958093450721067</v>
      </c>
      <c r="H8" s="16">
        <f t="shared" si="3"/>
        <v>8.4040597924284199E-3</v>
      </c>
      <c r="I8" s="16">
        <f t="shared" si="4"/>
        <v>7.0628220994712021E-5</v>
      </c>
      <c r="J8" s="16">
        <f t="shared" si="1"/>
        <v>-7.9610054110119881</v>
      </c>
      <c r="K8" s="16">
        <v>-7.5098000000000003</v>
      </c>
      <c r="L8" s="15">
        <v>5.4769061588419074E-4</v>
      </c>
      <c r="M8" s="23">
        <f t="shared" si="5"/>
        <v>0.11520094364427987</v>
      </c>
      <c r="N8" s="23">
        <f t="shared" si="6"/>
        <v>8.3688444017307947E-3</v>
      </c>
    </row>
    <row r="9" spans="1:18" x14ac:dyDescent="0.3">
      <c r="A9" s="11">
        <v>2019</v>
      </c>
      <c r="B9" s="12">
        <v>27</v>
      </c>
      <c r="C9" s="12" t="s">
        <v>11</v>
      </c>
      <c r="D9" s="12">
        <v>6.5700000000000003E-4</v>
      </c>
      <c r="E9" s="12">
        <v>-7.3278265394796636</v>
      </c>
      <c r="F9" s="16">
        <f t="shared" si="0"/>
        <v>6.4493768389206597E-4</v>
      </c>
      <c r="G9" s="16">
        <f t="shared" si="2"/>
        <v>-7.3463568599567743</v>
      </c>
      <c r="H9" s="16">
        <f t="shared" si="3"/>
        <v>1.8530320477110784E-2</v>
      </c>
      <c r="I9" s="16">
        <f t="shared" si="4"/>
        <v>3.4337277698443127E-4</v>
      </c>
      <c r="J9" s="16">
        <f t="shared" si="1"/>
        <v>-7.8575969736097351</v>
      </c>
      <c r="K9" s="16">
        <v>-7.4337</v>
      </c>
      <c r="L9" s="15">
        <v>5.9099677347865579E-4</v>
      </c>
      <c r="M9" s="23">
        <f t="shared" si="5"/>
        <v>0.10046153199595774</v>
      </c>
      <c r="N9" s="23">
        <f t="shared" si="6"/>
        <v>1.8359689662000099E-2</v>
      </c>
    </row>
    <row r="10" spans="1:18" x14ac:dyDescent="0.3">
      <c r="A10" s="9">
        <v>2019</v>
      </c>
      <c r="B10" s="10">
        <v>28</v>
      </c>
      <c r="C10" s="10" t="s">
        <v>11</v>
      </c>
      <c r="D10" s="10">
        <v>6.8800000000000003E-4</v>
      </c>
      <c r="E10" s="10">
        <v>-7.2817217200309301</v>
      </c>
      <c r="F10" s="16">
        <f t="shared" si="0"/>
        <v>6.78873691832366E-4</v>
      </c>
      <c r="G10" s="16">
        <f t="shared" si="2"/>
        <v>-7.2950754685750452</v>
      </c>
      <c r="H10" s="16">
        <f t="shared" si="3"/>
        <v>1.3353748544115085E-2</v>
      </c>
      <c r="I10" s="16">
        <f t="shared" si="4"/>
        <v>1.7832260017945574E-4</v>
      </c>
      <c r="J10" s="16">
        <f t="shared" si="1"/>
        <v>-7.7805023199561916</v>
      </c>
      <c r="K10" s="16">
        <v>-7.3576000000000006</v>
      </c>
      <c r="L10" s="15">
        <v>6.3772716955960468E-4</v>
      </c>
      <c r="M10" s="23">
        <f t="shared" si="5"/>
        <v>7.307097447731882E-2</v>
      </c>
      <c r="N10" s="23">
        <f t="shared" si="6"/>
        <v>1.3264982801793638E-2</v>
      </c>
    </row>
    <row r="11" spans="1:18" x14ac:dyDescent="0.3">
      <c r="A11" s="11">
        <v>2019</v>
      </c>
      <c r="B11" s="12">
        <v>29</v>
      </c>
      <c r="C11" s="12" t="s">
        <v>11</v>
      </c>
      <c r="D11" s="12">
        <v>7.2599999999999997E-4</v>
      </c>
      <c r="E11" s="12">
        <v>-7.2279605431394778</v>
      </c>
      <c r="F11" s="16">
        <f t="shared" si="0"/>
        <v>7.1588290475086791E-4</v>
      </c>
      <c r="G11" s="16">
        <f t="shared" si="2"/>
        <v>-7.2419939452286348</v>
      </c>
      <c r="H11" s="16">
        <f t="shared" si="3"/>
        <v>1.4033402089157043E-2</v>
      </c>
      <c r="I11" s="16">
        <f t="shared" si="4"/>
        <v>1.9693637419595727E-4</v>
      </c>
      <c r="J11" s="16">
        <f t="shared" si="1"/>
        <v>-7.6934515015368135</v>
      </c>
      <c r="K11" s="16">
        <v>-7.2815000000000003</v>
      </c>
      <c r="L11" s="15">
        <v>6.8815256029344958E-4</v>
      </c>
      <c r="M11" s="23">
        <f t="shared" si="5"/>
        <v>5.2131459650895856E-2</v>
      </c>
      <c r="N11" s="23">
        <f t="shared" si="6"/>
        <v>1.3935392905140587E-2</v>
      </c>
    </row>
    <row r="12" spans="1:18" x14ac:dyDescent="0.3">
      <c r="A12" s="9">
        <v>2019</v>
      </c>
      <c r="B12" s="10">
        <v>30</v>
      </c>
      <c r="C12" s="10" t="s">
        <v>11</v>
      </c>
      <c r="D12" s="10">
        <v>8.2799999999999996E-4</v>
      </c>
      <c r="E12" s="10">
        <v>-7.096497403579014</v>
      </c>
      <c r="F12" s="16">
        <f t="shared" si="0"/>
        <v>7.5624362847702192E-4</v>
      </c>
      <c r="G12" s="16">
        <f t="shared" si="2"/>
        <v>-7.1871469738090656</v>
      </c>
      <c r="H12" s="16">
        <f t="shared" si="3"/>
        <v>9.0649570230051602E-2</v>
      </c>
      <c r="I12" s="16">
        <f t="shared" si="4"/>
        <v>8.2173445828930582E-3</v>
      </c>
      <c r="J12" s="16">
        <f t="shared" si="1"/>
        <v>-7.4915060464174736</v>
      </c>
      <c r="K12" s="16">
        <v>-7.2054000000000009</v>
      </c>
      <c r="L12" s="15">
        <v>7.4256511066550903E-4</v>
      </c>
      <c r="M12" s="23">
        <f t="shared" si="5"/>
        <v>0.103182233495762</v>
      </c>
      <c r="N12" s="23">
        <f t="shared" si="6"/>
        <v>8.666228444804111E-2</v>
      </c>
    </row>
    <row r="13" spans="1:18" x14ac:dyDescent="0.3">
      <c r="A13" s="11">
        <v>2019</v>
      </c>
      <c r="B13" s="12">
        <v>31</v>
      </c>
      <c r="C13" s="12" t="s">
        <v>11</v>
      </c>
      <c r="D13" s="12">
        <v>8.7500000000000002E-4</v>
      </c>
      <c r="E13" s="12">
        <v>-7.0412866716066596</v>
      </c>
      <c r="F13" s="16">
        <f t="shared" si="0"/>
        <v>8.0025937188896949E-4</v>
      </c>
      <c r="G13" s="16">
        <f t="shared" si="2"/>
        <v>-7.1305746679814161</v>
      </c>
      <c r="H13" s="16">
        <f t="shared" si="3"/>
        <v>8.9287996374756595E-2</v>
      </c>
      <c r="I13" s="16">
        <f t="shared" si="4"/>
        <v>7.9723462966185474E-3</v>
      </c>
      <c r="J13" s="16">
        <f t="shared" si="1"/>
        <v>-7.4106090104165991</v>
      </c>
      <c r="K13" s="16">
        <v>-7.1293000000000006</v>
      </c>
      <c r="L13" s="15">
        <v>8.0128008728550611E-4</v>
      </c>
      <c r="M13" s="23">
        <f t="shared" si="5"/>
        <v>8.4251328816564469E-2</v>
      </c>
      <c r="N13" s="23">
        <f t="shared" si="6"/>
        <v>8.5417860698320608E-2</v>
      </c>
    </row>
    <row r="14" spans="1:18" x14ac:dyDescent="0.3">
      <c r="A14" s="9">
        <v>2019</v>
      </c>
      <c r="B14" s="10">
        <v>32</v>
      </c>
      <c r="C14" s="10" t="s">
        <v>11</v>
      </c>
      <c r="D14" s="10">
        <v>9.1399999999999999E-4</v>
      </c>
      <c r="E14" s="10">
        <v>-6.997679986510124</v>
      </c>
      <c r="F14" s="16">
        <f t="shared" si="0"/>
        <v>8.4826112927200098E-4</v>
      </c>
      <c r="G14" s="16">
        <f t="shared" si="2"/>
        <v>-7.0723220341124993</v>
      </c>
      <c r="H14" s="16">
        <f t="shared" si="3"/>
        <v>7.464204760237525E-2</v>
      </c>
      <c r="I14" s="16">
        <f t="shared" si="4"/>
        <v>5.5714352702752531E-3</v>
      </c>
      <c r="J14" s="16">
        <f t="shared" si="1"/>
        <v>-7.3481189419287984</v>
      </c>
      <c r="K14" s="16">
        <v>-7.0532000000000004</v>
      </c>
      <c r="L14" s="15">
        <v>8.6463768504400104E-4</v>
      </c>
      <c r="M14" s="23">
        <f t="shared" si="5"/>
        <v>5.4006909142230802E-2</v>
      </c>
      <c r="N14" s="23">
        <f t="shared" si="6"/>
        <v>7.1924366223193661E-2</v>
      </c>
    </row>
    <row r="15" spans="1:18" x14ac:dyDescent="0.3">
      <c r="A15" s="11">
        <v>2019</v>
      </c>
      <c r="B15" s="12">
        <v>33</v>
      </c>
      <c r="C15" s="12" t="s">
        <v>11</v>
      </c>
      <c r="D15" s="12">
        <v>1.0380000000000001E-3</v>
      </c>
      <c r="E15" s="12">
        <v>-6.8704594942384398</v>
      </c>
      <c r="F15" s="16">
        <f t="shared" si="0"/>
        <v>9.0060986936471034E-4</v>
      </c>
      <c r="G15" s="16">
        <f t="shared" si="2"/>
        <v>-7.0124383915018296</v>
      </c>
      <c r="H15" s="16">
        <f t="shared" si="3"/>
        <v>0.14197889726338975</v>
      </c>
      <c r="I15" s="16">
        <f t="shared" si="4"/>
        <v>2.0158007268128181E-2</v>
      </c>
      <c r="J15" s="16">
        <f t="shared" si="1"/>
        <v>-7.1719783430204265</v>
      </c>
      <c r="K15" s="16">
        <v>-6.9771000000000001</v>
      </c>
      <c r="L15" s="15">
        <v>9.330049982034192E-4</v>
      </c>
      <c r="M15" s="23">
        <f t="shared" si="5"/>
        <v>0.10115125413928792</v>
      </c>
      <c r="N15" s="23">
        <f t="shared" si="6"/>
        <v>0.13236043413804405</v>
      </c>
    </row>
    <row r="16" spans="1:18" x14ac:dyDescent="0.3">
      <c r="A16" s="9">
        <v>2019</v>
      </c>
      <c r="B16" s="10">
        <v>34</v>
      </c>
      <c r="C16" s="10" t="s">
        <v>11</v>
      </c>
      <c r="D16" s="10">
        <v>9.990000000000001E-4</v>
      </c>
      <c r="E16" s="10">
        <v>-6.9087557793157206</v>
      </c>
      <c r="F16" s="16">
        <f t="shared" si="0"/>
        <v>9.5769924981024303E-4</v>
      </c>
      <c r="G16" s="16">
        <f t="shared" si="2"/>
        <v>-6.9509767647613856</v>
      </c>
      <c r="H16" s="16">
        <f t="shared" si="3"/>
        <v>4.2220985445664994E-2</v>
      </c>
      <c r="I16" s="16">
        <f t="shared" si="4"/>
        <v>1.7826116120030551E-3</v>
      </c>
      <c r="J16" s="16">
        <f t="shared" si="1"/>
        <v>-7.2241081227224226</v>
      </c>
      <c r="K16" s="16">
        <v>-6.9009999999999998</v>
      </c>
      <c r="L16" s="15">
        <v>1.0067781473441825E-3</v>
      </c>
      <c r="M16" s="23">
        <f t="shared" si="5"/>
        <v>-7.785933277459839E-3</v>
      </c>
      <c r="N16" s="23">
        <f t="shared" si="6"/>
        <v>4.1342092282039111E-2</v>
      </c>
    </row>
    <row r="17" spans="1:14" x14ac:dyDescent="0.3">
      <c r="A17" s="11">
        <v>2019</v>
      </c>
      <c r="B17" s="12">
        <v>35</v>
      </c>
      <c r="C17" s="12" t="s">
        <v>11</v>
      </c>
      <c r="D17" s="12">
        <v>1.083E-3</v>
      </c>
      <c r="E17" s="12">
        <v>-6.8280203109632831</v>
      </c>
      <c r="F17" s="16">
        <f t="shared" si="0"/>
        <v>1.0199585774250573E-3</v>
      </c>
      <c r="G17" s="16">
        <f t="shared" si="2"/>
        <v>-6.8879932628781715</v>
      </c>
      <c r="H17" s="16">
        <f t="shared" si="3"/>
        <v>5.9972951914888384E-2</v>
      </c>
      <c r="I17" s="16">
        <f t="shared" si="4"/>
        <v>3.5967549613855144E-3</v>
      </c>
      <c r="J17" s="16">
        <f t="shared" si="1"/>
        <v>-7.115022711111318</v>
      </c>
      <c r="K17" s="16">
        <v>-6.8249000000000004</v>
      </c>
      <c r="L17" s="15">
        <v>1.0863845744894854E-3</v>
      </c>
      <c r="M17" s="23">
        <f t="shared" si="5"/>
        <v>-3.1251842008175774E-3</v>
      </c>
      <c r="N17" s="23">
        <f t="shared" si="6"/>
        <v>5.8209993143991424E-2</v>
      </c>
    </row>
    <row r="18" spans="1:14" x14ac:dyDescent="0.3">
      <c r="A18" s="9">
        <v>2019</v>
      </c>
      <c r="B18" s="10">
        <v>36</v>
      </c>
      <c r="C18" s="10" t="s">
        <v>11</v>
      </c>
      <c r="D18" s="10">
        <v>1.1329999999999999E-3</v>
      </c>
      <c r="E18" s="10">
        <v>-6.782886296936268</v>
      </c>
      <c r="F18" s="16">
        <f t="shared" si="0"/>
        <v>1.0878560365461449E-3</v>
      </c>
      <c r="G18" s="16">
        <f t="shared" si="2"/>
        <v>-6.8235464586543335</v>
      </c>
      <c r="H18" s="16">
        <f t="shared" si="3"/>
        <v>4.0660161718065524E-2</v>
      </c>
      <c r="I18" s="16">
        <f t="shared" si="4"/>
        <v>1.6532487509392411E-3</v>
      </c>
      <c r="J18" s="16">
        <f t="shared" si="1"/>
        <v>-7.0553250339458655</v>
      </c>
      <c r="K18" s="16">
        <v>-6.7488000000000001</v>
      </c>
      <c r="L18" s="15">
        <v>1.1722855197066767E-3</v>
      </c>
      <c r="M18" s="23">
        <f t="shared" si="5"/>
        <v>-3.4673892062380231E-2</v>
      </c>
      <c r="N18" s="23">
        <f t="shared" si="6"/>
        <v>3.9844627938089135E-2</v>
      </c>
    </row>
    <row r="19" spans="1:14" x14ac:dyDescent="0.3">
      <c r="A19" s="11">
        <v>2019</v>
      </c>
      <c r="B19" s="12">
        <v>37</v>
      </c>
      <c r="C19" s="12" t="s">
        <v>11</v>
      </c>
      <c r="D19" s="12">
        <v>1.2049999999999999E-3</v>
      </c>
      <c r="E19" s="12">
        <v>-6.7212757120395192</v>
      </c>
      <c r="F19" s="16">
        <f t="shared" si="0"/>
        <v>1.1619022097335795E-3</v>
      </c>
      <c r="G19" s="16">
        <f t="shared" si="2"/>
        <v>-6.7576967809495878</v>
      </c>
      <c r="H19" s="16">
        <f t="shared" si="3"/>
        <v>3.6421068910068577E-2</v>
      </c>
      <c r="I19" s="16">
        <f t="shared" si="4"/>
        <v>1.3264942605519638E-3</v>
      </c>
      <c r="J19" s="16">
        <f t="shared" si="1"/>
        <v>-6.975175546784631</v>
      </c>
      <c r="K19" s="16">
        <v>-6.6727000000000007</v>
      </c>
      <c r="L19" s="15">
        <v>1.2649786935346934E-3</v>
      </c>
      <c r="M19" s="23">
        <f t="shared" si="5"/>
        <v>-4.9774849406384616E-2</v>
      </c>
      <c r="N19" s="23">
        <f t="shared" si="6"/>
        <v>3.5765801050971303E-2</v>
      </c>
    </row>
    <row r="20" spans="1:14" x14ac:dyDescent="0.3">
      <c r="A20" s="9">
        <v>2019</v>
      </c>
      <c r="B20" s="10">
        <v>38</v>
      </c>
      <c r="C20" s="10" t="s">
        <v>11</v>
      </c>
      <c r="D20" s="10">
        <v>1.343E-3</v>
      </c>
      <c r="E20" s="10">
        <v>-6.6128493614410369</v>
      </c>
      <c r="F20" s="16">
        <f t="shared" si="0"/>
        <v>1.2426539173037484E-3</v>
      </c>
      <c r="G20" s="16">
        <f t="shared" si="2"/>
        <v>-6.6905059305599925</v>
      </c>
      <c r="H20" s="16">
        <f t="shared" si="3"/>
        <v>7.7656569118955687E-2</v>
      </c>
      <c r="I20" s="16">
        <f t="shared" si="4"/>
        <v>6.0305427273271419E-3</v>
      </c>
      <c r="J20" s="16">
        <f t="shared" si="1"/>
        <v>-6.8374811273016949</v>
      </c>
      <c r="K20" s="16">
        <v>-6.5966000000000005</v>
      </c>
      <c r="L20" s="15">
        <v>1.3650011607216016E-3</v>
      </c>
      <c r="M20" s="23">
        <f t="shared" si="5"/>
        <v>-1.6382100313925254E-2</v>
      </c>
      <c r="N20" s="23">
        <f t="shared" si="6"/>
        <v>7.471785755491557E-2</v>
      </c>
    </row>
    <row r="21" spans="1:14" x14ac:dyDescent="0.3">
      <c r="A21" s="11">
        <v>2019</v>
      </c>
      <c r="B21" s="12">
        <v>39</v>
      </c>
      <c r="C21" s="12" t="s">
        <v>11</v>
      </c>
      <c r="D21" s="12">
        <v>1.407E-3</v>
      </c>
      <c r="E21" s="12">
        <v>-6.5662955008498853</v>
      </c>
      <c r="F21" s="16">
        <f t="shared" si="0"/>
        <v>1.3307184045661994E-3</v>
      </c>
      <c r="G21" s="16">
        <f t="shared" si="2"/>
        <v>-6.6220363287698598</v>
      </c>
      <c r="H21" s="16">
        <f t="shared" si="3"/>
        <v>5.5740827919974478E-2</v>
      </c>
      <c r="I21" s="16">
        <f t="shared" si="4"/>
        <v>3.1070398972042061E-3</v>
      </c>
      <c r="J21" s="16">
        <f t="shared" si="1"/>
        <v>-6.7795360006392933</v>
      </c>
      <c r="K21" s="16">
        <v>-6.5205000000000002</v>
      </c>
      <c r="L21" s="15">
        <v>1.472932451980638E-3</v>
      </c>
      <c r="M21" s="23">
        <f t="shared" si="5"/>
        <v>-4.6860307022486079E-2</v>
      </c>
      <c r="N21" s="23">
        <f t="shared" si="6"/>
        <v>5.4215775006254914E-2</v>
      </c>
    </row>
    <row r="22" spans="1:14" x14ac:dyDescent="0.3">
      <c r="A22" s="9">
        <v>2019</v>
      </c>
      <c r="B22" s="10">
        <v>40</v>
      </c>
      <c r="C22" s="10" t="s">
        <v>11</v>
      </c>
      <c r="D22" s="10">
        <v>1.4630000000000001E-3</v>
      </c>
      <c r="E22" s="10">
        <v>-6.5272661569441501</v>
      </c>
      <c r="F22" s="16">
        <f t="shared" si="0"/>
        <v>1.4267579082517334E-3</v>
      </c>
      <c r="G22" s="16">
        <f t="shared" si="2"/>
        <v>-6.5523506057194796</v>
      </c>
      <c r="H22" s="16">
        <f t="shared" si="3"/>
        <v>2.5084448775329449E-2</v>
      </c>
      <c r="I22" s="16">
        <f t="shared" si="4"/>
        <v>6.2922957036212713E-4</v>
      </c>
      <c r="J22" s="16">
        <f t="shared" si="1"/>
        <v>-6.7314499069547642</v>
      </c>
      <c r="K22" s="16">
        <v>-6.4443999999999999</v>
      </c>
      <c r="L22" s="15">
        <v>1.5893979217942802E-3</v>
      </c>
      <c r="M22" s="23">
        <f t="shared" si="5"/>
        <v>-8.6396392203882497E-2</v>
      </c>
      <c r="N22" s="23">
        <f t="shared" si="6"/>
        <v>2.4772448221645021E-2</v>
      </c>
    </row>
    <row r="23" spans="1:14" x14ac:dyDescent="0.3">
      <c r="A23" s="11">
        <v>2019</v>
      </c>
      <c r="B23" s="12">
        <v>41</v>
      </c>
      <c r="C23" s="12" t="s">
        <v>11</v>
      </c>
      <c r="D23" s="12">
        <v>1.521E-3</v>
      </c>
      <c r="E23" s="12">
        <v>-6.488387265704981</v>
      </c>
      <c r="F23" s="16">
        <f t="shared" si="0"/>
        <v>1.5314946364708556E-3</v>
      </c>
      <c r="G23" s="16">
        <f t="shared" si="2"/>
        <v>-6.4815111338387092</v>
      </c>
      <c r="H23" s="16">
        <f t="shared" si="3"/>
        <v>-6.8761318662717841E-3</v>
      </c>
      <c r="I23" s="16">
        <f t="shared" si="4"/>
        <v>4.7281189442358288E-5</v>
      </c>
      <c r="J23" s="16">
        <f t="shared" si="1"/>
        <v>-6.6839701323482474</v>
      </c>
      <c r="K23" s="16">
        <v>-6.3683000000000005</v>
      </c>
      <c r="L23" s="15">
        <v>1.7150723717214865E-3</v>
      </c>
      <c r="M23" s="23">
        <f t="shared" si="5"/>
        <v>-0.12759524768013575</v>
      </c>
      <c r="N23" s="23">
        <f t="shared" si="6"/>
        <v>-6.8998267395500449E-3</v>
      </c>
    </row>
    <row r="24" spans="1:14" x14ac:dyDescent="0.3">
      <c r="A24" s="9">
        <v>2019</v>
      </c>
      <c r="B24" s="10">
        <v>42</v>
      </c>
      <c r="C24" s="10" t="s">
        <v>11</v>
      </c>
      <c r="D24" s="10">
        <v>1.5659999999999999E-3</v>
      </c>
      <c r="E24" s="10">
        <v>-6.4592306814135254</v>
      </c>
      <c r="F24" s="16">
        <f t="shared" si="0"/>
        <v>1.6457161996514093E-3</v>
      </c>
      <c r="G24" s="16">
        <f t="shared" si="2"/>
        <v>-6.4095796097877544</v>
      </c>
      <c r="H24" s="16">
        <f t="shared" si="3"/>
        <v>-4.9651071625770982E-2</v>
      </c>
      <c r="I24" s="16">
        <f t="shared" si="4"/>
        <v>2.4652289135874404E-3</v>
      </c>
      <c r="J24" s="16">
        <f t="shared" si="1"/>
        <v>-6.6486252764267926</v>
      </c>
      <c r="K24" s="16">
        <v>-6.2922000000000002</v>
      </c>
      <c r="L24" s="15">
        <v>1.8506839602015586E-3</v>
      </c>
      <c r="M24" s="23">
        <f t="shared" si="5"/>
        <v>-0.18179052375578458</v>
      </c>
      <c r="N24" s="23">
        <f t="shared" si="6"/>
        <v>-5.0904342050708443E-2</v>
      </c>
    </row>
    <row r="25" spans="1:14" x14ac:dyDescent="0.3">
      <c r="A25" s="11">
        <v>2019</v>
      </c>
      <c r="B25" s="12">
        <v>43</v>
      </c>
      <c r="C25" s="12" t="s">
        <v>11</v>
      </c>
      <c r="D25" s="12">
        <v>1.7359999999999999E-3</v>
      </c>
      <c r="E25" s="12">
        <v>-6.3561716627439786</v>
      </c>
      <c r="F25" s="16">
        <f t="shared" si="0"/>
        <v>1.7702815332955371E-3</v>
      </c>
      <c r="G25" s="16">
        <f t="shared" si="2"/>
        <v>-6.3366166866857787</v>
      </c>
      <c r="H25" s="16">
        <f t="shared" si="3"/>
        <v>-1.9554976058199891E-2</v>
      </c>
      <c r="I25" s="16">
        <f t="shared" si="4"/>
        <v>3.8239708863677097E-4</v>
      </c>
      <c r="J25" s="16">
        <f t="shared" si="1"/>
        <v>-6.5253525744643728</v>
      </c>
      <c r="K25" s="16">
        <v>-6.2161000000000008</v>
      </c>
      <c r="L25" s="15">
        <v>1.9970184215080569E-3</v>
      </c>
      <c r="M25" s="23">
        <f t="shared" si="5"/>
        <v>-0.15035623358759043</v>
      </c>
      <c r="N25" s="23">
        <f t="shared" si="6"/>
        <v>-1.9747427013558312E-2</v>
      </c>
    </row>
    <row r="26" spans="1:14" x14ac:dyDescent="0.3">
      <c r="A26" s="9">
        <v>2019</v>
      </c>
      <c r="B26" s="10">
        <v>44</v>
      </c>
      <c r="C26" s="10" t="s">
        <v>11</v>
      </c>
      <c r="D26" s="10">
        <v>1.7880000000000001E-3</v>
      </c>
      <c r="E26" s="10">
        <v>-6.3266576022308145</v>
      </c>
      <c r="F26" s="16">
        <f t="shared" si="0"/>
        <v>1.9061273570945459E-3</v>
      </c>
      <c r="G26" s="16">
        <f t="shared" si="2"/>
        <v>-6.2626816569401607</v>
      </c>
      <c r="H26" s="16">
        <f t="shared" si="3"/>
        <v>-6.3975945290653868E-2</v>
      </c>
      <c r="I26" s="16">
        <f t="shared" si="4"/>
        <v>4.0929215758327368E-3</v>
      </c>
      <c r="J26" s="16">
        <f t="shared" si="1"/>
        <v>-6.4904918776100846</v>
      </c>
      <c r="K26" s="16">
        <v>-6.1400000000000006</v>
      </c>
      <c r="L26" s="15">
        <v>2.1549236182974154E-3</v>
      </c>
      <c r="M26" s="23">
        <f t="shared" si="5"/>
        <v>-0.20521455162047836</v>
      </c>
      <c r="N26" s="23">
        <f t="shared" si="6"/>
        <v>-6.606675452715087E-2</v>
      </c>
    </row>
    <row r="27" spans="1:14" x14ac:dyDescent="0.3">
      <c r="A27" s="11">
        <v>2019</v>
      </c>
      <c r="B27" s="12">
        <v>45</v>
      </c>
      <c r="C27" s="12" t="s">
        <v>11</v>
      </c>
      <c r="D27" s="12">
        <v>1.993E-3</v>
      </c>
      <c r="E27" s="12">
        <v>-6.2181142377514798</v>
      </c>
      <c r="F27" s="16">
        <f t="shared" si="0"/>
        <v>2.0542752189736222E-3</v>
      </c>
      <c r="G27" s="16">
        <f t="shared" si="2"/>
        <v>-6.1878321847412341</v>
      </c>
      <c r="H27" s="16">
        <f t="shared" si="3"/>
        <v>-3.0282053010245669E-2</v>
      </c>
      <c r="I27" s="16">
        <f t="shared" si="4"/>
        <v>9.1700273451532875E-4</v>
      </c>
      <c r="J27" s="16">
        <f t="shared" si="1"/>
        <v>-6.3638030979112017</v>
      </c>
      <c r="K27" s="16">
        <v>-6.0639000000000003</v>
      </c>
      <c r="L27" s="15">
        <v>2.3253144541297305E-3</v>
      </c>
      <c r="M27" s="23">
        <f t="shared" si="5"/>
        <v>-0.16674081993463652</v>
      </c>
      <c r="N27" s="23">
        <f t="shared" si="6"/>
        <v>-3.0745217748932352E-2</v>
      </c>
    </row>
    <row r="28" spans="1:14" x14ac:dyDescent="0.3">
      <c r="A28" s="9">
        <v>2019</v>
      </c>
      <c r="B28" s="10">
        <v>46</v>
      </c>
      <c r="C28" s="10" t="s">
        <v>11</v>
      </c>
      <c r="D28" s="10">
        <v>2.163E-3</v>
      </c>
      <c r="E28" s="10">
        <v>-6.1362591320112152</v>
      </c>
      <c r="F28" s="16">
        <f t="shared" si="0"/>
        <v>2.2158391770369548E-3</v>
      </c>
      <c r="G28" s="16">
        <f t="shared" si="2"/>
        <v>-6.1121240862699668</v>
      </c>
      <c r="H28" s="16">
        <f t="shared" si="3"/>
        <v>-2.4135045741248362E-2</v>
      </c>
      <c r="I28" s="16">
        <f t="shared" si="4"/>
        <v>5.8250043293215075E-4</v>
      </c>
      <c r="J28" s="16">
        <f t="shared" si="1"/>
        <v>-6.2696968752425093</v>
      </c>
      <c r="K28" s="16">
        <v>-5.9878</v>
      </c>
      <c r="L28" s="15">
        <v>2.5091781744249184E-3</v>
      </c>
      <c r="M28" s="23">
        <f t="shared" si="5"/>
        <v>-0.16004538808364238</v>
      </c>
      <c r="N28" s="23">
        <f t="shared" si="6"/>
        <v>-2.4428653276446978E-2</v>
      </c>
    </row>
    <row r="29" spans="1:14" x14ac:dyDescent="0.3">
      <c r="A29" s="11">
        <v>2019</v>
      </c>
      <c r="B29" s="12">
        <v>47</v>
      </c>
      <c r="C29" s="12" t="s">
        <v>11</v>
      </c>
      <c r="D29" s="12">
        <v>2.3310000000000002E-3</v>
      </c>
      <c r="E29" s="12">
        <v>-6.0614579189285172</v>
      </c>
      <c r="F29" s="16">
        <f t="shared" si="0"/>
        <v>2.3920341771807743E-3</v>
      </c>
      <c r="G29" s="16">
        <f t="shared" si="2"/>
        <v>-6.035611154876773</v>
      </c>
      <c r="H29" s="16">
        <f t="shared" si="3"/>
        <v>-2.5846764051744131E-2</v>
      </c>
      <c r="I29" s="16">
        <f t="shared" si="4"/>
        <v>6.6805521194653267E-4</v>
      </c>
      <c r="J29" s="16">
        <f t="shared" si="1"/>
        <v>-6.1846599295264602</v>
      </c>
      <c r="K29" s="16">
        <v>-5.9116999999999997</v>
      </c>
      <c r="L29" s="15">
        <v>2.7075800865679861E-3</v>
      </c>
      <c r="M29" s="23">
        <f t="shared" si="5"/>
        <v>-0.16155301869068464</v>
      </c>
      <c r="N29" s="23">
        <f t="shared" si="6"/>
        <v>-2.6183688194240294E-2</v>
      </c>
    </row>
    <row r="30" spans="1:14" x14ac:dyDescent="0.3">
      <c r="A30" s="9">
        <v>2019</v>
      </c>
      <c r="B30" s="10">
        <v>48</v>
      </c>
      <c r="C30" s="10" t="s">
        <v>11</v>
      </c>
      <c r="D30" s="10">
        <v>2.5560000000000001E-3</v>
      </c>
      <c r="E30" s="10">
        <v>-5.9693117424668483</v>
      </c>
      <c r="F30" s="16">
        <f t="shared" si="0"/>
        <v>2.584185189373177E-3</v>
      </c>
      <c r="G30" s="16">
        <f t="shared" si="2"/>
        <v>-5.958345027915712</v>
      </c>
      <c r="H30" s="16">
        <f t="shared" si="3"/>
        <v>-1.0966714551136292E-2</v>
      </c>
      <c r="I30" s="16">
        <f t="shared" si="4"/>
        <v>1.2026882804610448E-4</v>
      </c>
      <c r="J30" s="16">
        <f t="shared" si="1"/>
        <v>-6.081038221514615</v>
      </c>
      <c r="K30" s="16">
        <v>-5.8356000000000003</v>
      </c>
      <c r="L30" s="15">
        <v>2.921669732305759E-3</v>
      </c>
      <c r="M30" s="23">
        <f t="shared" si="5"/>
        <v>-0.14306327554998391</v>
      </c>
      <c r="N30" s="23">
        <f t="shared" si="6"/>
        <v>-1.1027069394826634E-2</v>
      </c>
    </row>
    <row r="31" spans="1:14" x14ac:dyDescent="0.3">
      <c r="A31" s="11">
        <v>2019</v>
      </c>
      <c r="B31" s="12">
        <v>49</v>
      </c>
      <c r="C31" s="12" t="s">
        <v>11</v>
      </c>
      <c r="D31" s="12">
        <v>2.7160000000000001E-3</v>
      </c>
      <c r="E31" s="12">
        <v>-5.9085950692856875</v>
      </c>
      <c r="F31" s="16">
        <f t="shared" si="0"/>
        <v>2.7937371713047153E-3</v>
      </c>
      <c r="G31" s="16">
        <f t="shared" si="2"/>
        <v>-5.880375091539662</v>
      </c>
      <c r="H31" s="16">
        <f t="shared" si="3"/>
        <v>-2.8219977746025471E-2</v>
      </c>
      <c r="I31" s="16">
        <f t="shared" si="4"/>
        <v>7.9636714398617278E-4</v>
      </c>
      <c r="J31" s="16">
        <f t="shared" si="1"/>
        <v>-6.0133820906589017</v>
      </c>
      <c r="K31" s="16">
        <v>-5.759500000000001</v>
      </c>
      <c r="L31" s="15">
        <v>3.1526875481979453E-3</v>
      </c>
      <c r="M31" s="23">
        <f t="shared" si="5"/>
        <v>-0.16078333880631265</v>
      </c>
      <c r="N31" s="23">
        <f t="shared" si="6"/>
        <v>-2.8621933470071883E-2</v>
      </c>
    </row>
    <row r="32" spans="1:14" x14ac:dyDescent="0.3">
      <c r="A32" s="9">
        <v>2019</v>
      </c>
      <c r="B32" s="10">
        <v>50</v>
      </c>
      <c r="C32" s="10" t="s">
        <v>11</v>
      </c>
      <c r="D32" s="10">
        <v>2.9989999999999999E-3</v>
      </c>
      <c r="E32" s="10">
        <v>-5.8094763792152646</v>
      </c>
      <c r="F32" s="16">
        <f t="shared" si="0"/>
        <v>3.0222659343354624E-3</v>
      </c>
      <c r="G32" s="16">
        <f t="shared" si="2"/>
        <v>-5.8017484195541202</v>
      </c>
      <c r="H32" s="16">
        <f t="shared" si="3"/>
        <v>-7.7279596611443679E-3</v>
      </c>
      <c r="I32" s="16">
        <f t="shared" si="4"/>
        <v>5.9721360524274571E-5</v>
      </c>
      <c r="J32" s="16">
        <f t="shared" si="1"/>
        <v>-5.9038925017786497</v>
      </c>
      <c r="K32" s="16">
        <v>-5.6834000000000007</v>
      </c>
      <c r="L32" s="15">
        <v>3.4019720527132418E-3</v>
      </c>
      <c r="M32" s="23">
        <f t="shared" si="5"/>
        <v>-0.1343688071734718</v>
      </c>
      <c r="N32" s="23">
        <f t="shared" si="6"/>
        <v>-7.7578974109578118E-3</v>
      </c>
    </row>
    <row r="33" spans="1:14" x14ac:dyDescent="0.3">
      <c r="A33" s="11">
        <v>2019</v>
      </c>
      <c r="B33" s="12">
        <v>51</v>
      </c>
      <c r="C33" s="12" t="s">
        <v>11</v>
      </c>
      <c r="D33" s="12">
        <v>3.228E-3</v>
      </c>
      <c r="E33" s="12">
        <v>-5.7358925285744347</v>
      </c>
      <c r="F33" s="16">
        <f t="shared" si="0"/>
        <v>3.2714899934494709E-3</v>
      </c>
      <c r="G33" s="16">
        <f t="shared" si="2"/>
        <v>-5.7225097423632789</v>
      </c>
      <c r="H33" s="16">
        <f t="shared" si="3"/>
        <v>-1.3382786211155739E-2</v>
      </c>
      <c r="I33" s="16">
        <f t="shared" si="4"/>
        <v>1.7909896677350019E-4</v>
      </c>
      <c r="J33" s="16">
        <f t="shared" si="1"/>
        <v>-5.8233087690301648</v>
      </c>
      <c r="K33" s="16">
        <v>-5.6073000000000004</v>
      </c>
      <c r="L33" s="15">
        <v>3.6709676016125465E-3</v>
      </c>
      <c r="M33" s="23">
        <f t="shared" si="5"/>
        <v>-0.13722664238306892</v>
      </c>
      <c r="N33" s="23">
        <f t="shared" si="6"/>
        <v>-1.3472736508510217E-2</v>
      </c>
    </row>
    <row r="34" spans="1:14" x14ac:dyDescent="0.3">
      <c r="A34" s="9">
        <v>2019</v>
      </c>
      <c r="B34" s="10">
        <v>52</v>
      </c>
      <c r="C34" s="10" t="s">
        <v>11</v>
      </c>
      <c r="D34" s="10">
        <v>3.5330000000000001E-3</v>
      </c>
      <c r="E34" s="10">
        <v>-5.6456079106051291</v>
      </c>
      <c r="F34" s="16">
        <f t="shared" ref="F34:F66" si="7">$Q$2+($Q$3*($Q$4^(B34)))</f>
        <v>3.5432834903271746E-3</v>
      </c>
      <c r="G34" s="16">
        <f t="shared" si="2"/>
        <v>-5.6427014420950901</v>
      </c>
      <c r="H34" s="16">
        <f t="shared" si="3"/>
        <v>-2.9064685100390619E-3</v>
      </c>
      <c r="I34" s="16">
        <f t="shared" si="4"/>
        <v>8.447559199848684E-6</v>
      </c>
      <c r="J34" s="16">
        <f t="shared" ref="J34:J66" si="8">LN(D34-$Q$2)</f>
        <v>-5.725168866491968</v>
      </c>
      <c r="K34" s="16">
        <v>-5.5312000000000001</v>
      </c>
      <c r="L34" s="15">
        <v>3.9612327565540064E-3</v>
      </c>
      <c r="M34" s="23">
        <f t="shared" si="5"/>
        <v>-0.1212093848157391</v>
      </c>
      <c r="N34" s="23">
        <f t="shared" si="6"/>
        <v>-2.9106963847083259E-3</v>
      </c>
    </row>
    <row r="35" spans="1:14" x14ac:dyDescent="0.3">
      <c r="A35" s="11">
        <v>2019</v>
      </c>
      <c r="B35" s="12">
        <v>53</v>
      </c>
      <c r="C35" s="12" t="s">
        <v>11</v>
      </c>
      <c r="D35" s="12">
        <v>3.8899999999999998E-3</v>
      </c>
      <c r="E35" s="12">
        <v>-5.5493461213517818</v>
      </c>
      <c r="F35" s="16">
        <f t="shared" si="7"/>
        <v>3.8396902867160309E-3</v>
      </c>
      <c r="G35" s="16">
        <f t="shared" si="2"/>
        <v>-5.5623635701362844</v>
      </c>
      <c r="H35" s="16">
        <f t="shared" si="3"/>
        <v>1.3017448784502506E-2</v>
      </c>
      <c r="I35" s="16">
        <f t="shared" si="4"/>
        <v>1.6945397285714575E-4</v>
      </c>
      <c r="J35" s="16">
        <f t="shared" si="8"/>
        <v>-5.6213358812988474</v>
      </c>
      <c r="K35" s="16">
        <v>-5.4551000000000007</v>
      </c>
      <c r="L35" s="15">
        <v>4.2744493154076623E-3</v>
      </c>
      <c r="M35" s="23">
        <f t="shared" si="5"/>
        <v>-9.8830158202483934E-2</v>
      </c>
      <c r="N35" s="23">
        <f t="shared" si="6"/>
        <v>1.2933088247806916E-2</v>
      </c>
    </row>
    <row r="36" spans="1:14" x14ac:dyDescent="0.3">
      <c r="A36" s="9">
        <v>2019</v>
      </c>
      <c r="B36" s="10">
        <v>54</v>
      </c>
      <c r="C36" s="10" t="s">
        <v>11</v>
      </c>
      <c r="D36" s="10">
        <v>4.1910000000000003E-3</v>
      </c>
      <c r="E36" s="10">
        <v>-5.4748159100392026</v>
      </c>
      <c r="F36" s="16">
        <f t="shared" si="7"/>
        <v>4.1629393340802401E-3</v>
      </c>
      <c r="G36" s="16">
        <f t="shared" si="2"/>
        <v>-5.4815338835201501</v>
      </c>
      <c r="H36" s="16">
        <f t="shared" si="3"/>
        <v>6.7179734809474922E-3</v>
      </c>
      <c r="I36" s="16">
        <f t="shared" si="4"/>
        <v>4.5131167690713764E-5</v>
      </c>
      <c r="J36" s="16">
        <f t="shared" si="8"/>
        <v>-5.5414589901285183</v>
      </c>
      <c r="K36" s="16">
        <v>-5.3790000000000004</v>
      </c>
      <c r="L36" s="15">
        <v>4.61243205660135E-3</v>
      </c>
      <c r="M36" s="23">
        <f t="shared" si="5"/>
        <v>-0.10055644395164631</v>
      </c>
      <c r="N36" s="23">
        <f t="shared" si="6"/>
        <v>6.6954583440134085E-3</v>
      </c>
    </row>
    <row r="37" spans="1:14" x14ac:dyDescent="0.3">
      <c r="A37" s="11">
        <v>2019</v>
      </c>
      <c r="B37" s="12">
        <v>55</v>
      </c>
      <c r="C37" s="12" t="s">
        <v>11</v>
      </c>
      <c r="D37" s="12">
        <v>4.5859999999999998E-3</v>
      </c>
      <c r="E37" s="12">
        <v>-5.384747094546424</v>
      </c>
      <c r="F37" s="16">
        <f t="shared" si="7"/>
        <v>4.5154614351078709E-3</v>
      </c>
      <c r="G37" s="16">
        <f t="shared" si="2"/>
        <v>-5.4002478968684411</v>
      </c>
      <c r="H37" s="16">
        <f t="shared" si="3"/>
        <v>1.5500802322017115E-2</v>
      </c>
      <c r="I37" s="16">
        <f t="shared" si="4"/>
        <v>2.4027487262625119E-4</v>
      </c>
      <c r="J37" s="16">
        <f t="shared" si="8"/>
        <v>-5.4454720501793528</v>
      </c>
      <c r="K37" s="16">
        <v>-5.3029000000000002</v>
      </c>
      <c r="L37" s="15">
        <v>4.9771392539566858E-3</v>
      </c>
      <c r="M37" s="23">
        <f t="shared" si="5"/>
        <v>-8.5289850404859563E-2</v>
      </c>
      <c r="N37" s="23">
        <f t="shared" si="6"/>
        <v>1.5381283229858033E-2</v>
      </c>
    </row>
    <row r="38" spans="1:14" x14ac:dyDescent="0.3">
      <c r="A38" s="9">
        <v>2019</v>
      </c>
      <c r="B38" s="10">
        <v>56</v>
      </c>
      <c r="C38" s="10" t="s">
        <v>11</v>
      </c>
      <c r="D38" s="10">
        <v>4.9969999999999997E-3</v>
      </c>
      <c r="E38" s="10">
        <v>-5.2989175466200695</v>
      </c>
      <c r="F38" s="16">
        <f t="shared" si="7"/>
        <v>4.899907523120365E-3</v>
      </c>
      <c r="G38" s="16">
        <f t="shared" si="2"/>
        <v>-5.3185389468762292</v>
      </c>
      <c r="H38" s="16">
        <f t="shared" si="3"/>
        <v>1.962140025615966E-2</v>
      </c>
      <c r="I38" s="16">
        <f t="shared" si="4"/>
        <v>3.8499934801242239E-4</v>
      </c>
      <c r="J38" s="16">
        <f t="shared" si="8"/>
        <v>-5.3545063618767559</v>
      </c>
      <c r="K38" s="16">
        <v>-5.2268000000000008</v>
      </c>
      <c r="L38" s="15">
        <v>5.3706840229381268E-3</v>
      </c>
      <c r="M38" s="23">
        <f t="shared" si="5"/>
        <v>-7.4781673591780493E-2</v>
      </c>
      <c r="N38" s="23">
        <f t="shared" si="6"/>
        <v>1.9430153468007756E-2</v>
      </c>
    </row>
    <row r="39" spans="1:14" x14ac:dyDescent="0.3">
      <c r="A39" s="11">
        <v>2019</v>
      </c>
      <c r="B39" s="12">
        <v>57</v>
      </c>
      <c r="C39" s="12" t="s">
        <v>11</v>
      </c>
      <c r="D39" s="12">
        <v>5.522E-3</v>
      </c>
      <c r="E39" s="12">
        <v>-5.1990151654741741</v>
      </c>
      <c r="F39" s="16">
        <f t="shared" si="7"/>
        <v>5.3191685968438686E-3</v>
      </c>
      <c r="G39" s="16">
        <f t="shared" si="2"/>
        <v>-5.2364382666301328</v>
      </c>
      <c r="H39" s="16">
        <f t="shared" si="3"/>
        <v>3.7423101155958705E-2</v>
      </c>
      <c r="I39" s="16">
        <f t="shared" si="4"/>
        <v>1.4004885001291177E-3</v>
      </c>
      <c r="J39" s="16">
        <f t="shared" si="8"/>
        <v>-5.2491839752910989</v>
      </c>
      <c r="K39" s="16">
        <v>-5.1507000000000005</v>
      </c>
      <c r="L39" s="15">
        <v>5.7953465640553448E-3</v>
      </c>
      <c r="M39" s="23">
        <f t="shared" si="5"/>
        <v>-4.9501369803575661E-2</v>
      </c>
      <c r="N39" s="23">
        <f t="shared" si="6"/>
        <v>3.6731510893902829E-2</v>
      </c>
    </row>
    <row r="40" spans="1:14" x14ac:dyDescent="0.3">
      <c r="A40" s="9">
        <v>2019</v>
      </c>
      <c r="B40" s="10">
        <v>58</v>
      </c>
      <c r="C40" s="10" t="s">
        <v>11</v>
      </c>
      <c r="D40" s="10">
        <v>5.947E-3</v>
      </c>
      <c r="E40" s="10">
        <v>-5.1248683882576804</v>
      </c>
      <c r="F40" s="16">
        <f t="shared" si="7"/>
        <v>5.7763974604500227E-3</v>
      </c>
      <c r="G40" s="16">
        <f t="shared" si="2"/>
        <v>-5.1539750673542946</v>
      </c>
      <c r="H40" s="16">
        <f t="shared" si="3"/>
        <v>2.910667909661413E-2</v>
      </c>
      <c r="I40" s="16">
        <f t="shared" si="4"/>
        <v>8.4719876803327398E-4</v>
      </c>
      <c r="J40" s="16">
        <f t="shared" si="8"/>
        <v>-5.1713671886779444</v>
      </c>
      <c r="K40" s="16">
        <v>-5.0746000000000002</v>
      </c>
      <c r="L40" s="15">
        <v>6.2535873743572541E-3</v>
      </c>
      <c r="M40" s="23">
        <f t="shared" si="5"/>
        <v>-5.1553283059904836E-2</v>
      </c>
      <c r="N40" s="23">
        <f t="shared" si="6"/>
        <v>2.8687159836888743E-2</v>
      </c>
    </row>
    <row r="41" spans="1:14" x14ac:dyDescent="0.3">
      <c r="A41" s="11">
        <v>2019</v>
      </c>
      <c r="B41" s="12">
        <v>59</v>
      </c>
      <c r="C41" s="12" t="s">
        <v>11</v>
      </c>
      <c r="D41" s="12">
        <v>6.2550000000000001E-3</v>
      </c>
      <c r="E41" s="12">
        <v>-5.0743741350632625</v>
      </c>
      <c r="F41" s="16">
        <f t="shared" si="7"/>
        <v>6.2750324323492925E-3</v>
      </c>
      <c r="G41" s="16">
        <f t="shared" si="2"/>
        <v>-5.0711766254757666</v>
      </c>
      <c r="H41" s="16">
        <f t="shared" si="3"/>
        <v>-3.1975095874958726E-3</v>
      </c>
      <c r="I41" s="16">
        <f t="shared" si="4"/>
        <v>1.0224067562128026E-5</v>
      </c>
      <c r="J41" s="16">
        <f t="shared" si="8"/>
        <v>-5.1185319812060301</v>
      </c>
      <c r="K41" s="16">
        <v>-4.9984999999999999</v>
      </c>
      <c r="L41" s="15">
        <v>6.7480615035651528E-3</v>
      </c>
      <c r="M41" s="23">
        <f t="shared" si="5"/>
        <v>-7.8826779147106729E-2</v>
      </c>
      <c r="N41" s="23">
        <f t="shared" si="6"/>
        <v>-3.2026270742273925E-3</v>
      </c>
    </row>
    <row r="42" spans="1:14" x14ac:dyDescent="0.3">
      <c r="A42" s="9">
        <v>2019</v>
      </c>
      <c r="B42" s="10">
        <v>60</v>
      </c>
      <c r="C42" s="10" t="s">
        <v>11</v>
      </c>
      <c r="D42" s="10">
        <v>6.9959999999999996E-3</v>
      </c>
      <c r="E42" s="10">
        <v>-4.9624167218257815</v>
      </c>
      <c r="F42" s="16">
        <f t="shared" si="7"/>
        <v>6.8188232010247245E-3</v>
      </c>
      <c r="G42" s="16">
        <f t="shared" si="2"/>
        <v>-4.9880683731848272</v>
      </c>
      <c r="H42" s="16">
        <f t="shared" si="3"/>
        <v>2.565165135904568E-2</v>
      </c>
      <c r="I42" s="16">
        <f t="shared" si="4"/>
        <v>6.580072174460301E-4</v>
      </c>
      <c r="J42" s="16">
        <f t="shared" si="8"/>
        <v>-5.0018040667084458</v>
      </c>
      <c r="K42" s="16">
        <v>-4.9224000000000006</v>
      </c>
      <c r="L42" s="15">
        <v>7.2816339374451016E-3</v>
      </c>
      <c r="M42" s="23">
        <f t="shared" si="5"/>
        <v>-4.0828178594211263E-2</v>
      </c>
      <c r="N42" s="23">
        <f t="shared" si="6"/>
        <v>2.5325442963875799E-2</v>
      </c>
    </row>
    <row r="43" spans="1:14" x14ac:dyDescent="0.3">
      <c r="A43" s="11">
        <v>2019</v>
      </c>
      <c r="B43" s="12">
        <v>61</v>
      </c>
      <c r="C43" s="12" t="s">
        <v>11</v>
      </c>
      <c r="D43" s="12">
        <v>7.4710000000000002E-3</v>
      </c>
      <c r="E43" s="12">
        <v>-4.8967264199884726</v>
      </c>
      <c r="F43" s="16">
        <f t="shared" si="7"/>
        <v>7.4118590223396256E-3</v>
      </c>
      <c r="G43" s="16">
        <f t="shared" si="2"/>
        <v>-4.904673990931542</v>
      </c>
      <c r="H43" s="16">
        <f t="shared" si="3"/>
        <v>7.9475709430694153E-3</v>
      </c>
      <c r="I43" s="16">
        <f t="shared" si="4"/>
        <v>6.3163883895121271E-5</v>
      </c>
      <c r="J43" s="16">
        <f t="shared" si="8"/>
        <v>-4.9335628353502887</v>
      </c>
      <c r="K43" s="16">
        <v>-4.8463000000000003</v>
      </c>
      <c r="L43" s="15">
        <v>7.8573961975508741E-3</v>
      </c>
      <c r="M43" s="23">
        <f t="shared" si="5"/>
        <v>-5.1719474976693061E-2</v>
      </c>
      <c r="N43" s="23">
        <f t="shared" si="6"/>
        <v>7.9160725017232755E-3</v>
      </c>
    </row>
    <row r="44" spans="1:14" x14ac:dyDescent="0.3">
      <c r="A44" s="9">
        <v>2019</v>
      </c>
      <c r="B44" s="10">
        <v>62</v>
      </c>
      <c r="C44" s="10" t="s">
        <v>11</v>
      </c>
      <c r="D44" s="10">
        <v>7.9989999999999992E-3</v>
      </c>
      <c r="E44" s="10">
        <v>-4.8284387451154522</v>
      </c>
      <c r="F44" s="16">
        <f t="shared" si="7"/>
        <v>8.0585994703602729E-3</v>
      </c>
      <c r="G44" s="16">
        <f t="shared" si="2"/>
        <v>-4.8210155005447328</v>
      </c>
      <c r="H44" s="16">
        <f t="shared" si="3"/>
        <v>-7.4232445707194117E-3</v>
      </c>
      <c r="I44" s="16">
        <f t="shared" si="4"/>
        <v>5.5104559956715225E-5</v>
      </c>
      <c r="J44" s="16">
        <f t="shared" si="8"/>
        <v>-4.8628013764502729</v>
      </c>
      <c r="K44" s="16">
        <v>-4.7702</v>
      </c>
      <c r="L44" s="15">
        <v>8.4786842535164702E-3</v>
      </c>
      <c r="M44" s="23">
        <f t="shared" si="5"/>
        <v>-5.9968027693020509E-2</v>
      </c>
      <c r="N44" s="23">
        <f t="shared" si="6"/>
        <v>-7.4508651531783677E-3</v>
      </c>
    </row>
    <row r="45" spans="1:14" x14ac:dyDescent="0.3">
      <c r="A45" s="11">
        <v>2019</v>
      </c>
      <c r="B45" s="12">
        <v>63</v>
      </c>
      <c r="C45" s="12" t="s">
        <v>11</v>
      </c>
      <c r="D45" s="12">
        <v>8.5330000000000007E-3</v>
      </c>
      <c r="E45" s="12">
        <v>-4.763814279427689</v>
      </c>
      <c r="F45" s="16">
        <f t="shared" si="7"/>
        <v>8.763907972936958E-3</v>
      </c>
      <c r="G45" s="16">
        <f t="shared" si="2"/>
        <v>-4.737113357881757</v>
      </c>
      <c r="H45" s="16">
        <f t="shared" si="3"/>
        <v>-2.6700921545931955E-2</v>
      </c>
      <c r="I45" s="16">
        <f t="shared" si="4"/>
        <v>7.129392114020133E-4</v>
      </c>
      <c r="J45" s="16">
        <f t="shared" si="8"/>
        <v>-4.7959914933560102</v>
      </c>
      <c r="K45" s="16">
        <v>-4.6941000000000006</v>
      </c>
      <c r="L45" s="15">
        <v>9.1490978516821451E-3</v>
      </c>
      <c r="M45" s="23">
        <f t="shared" si="5"/>
        <v>-7.2201787376320686E-2</v>
      </c>
      <c r="N45" s="23">
        <f t="shared" si="6"/>
        <v>-2.7060585132656436E-2</v>
      </c>
    </row>
    <row r="46" spans="1:14" x14ac:dyDescent="0.3">
      <c r="A46" s="9">
        <v>2019</v>
      </c>
      <c r="B46" s="10">
        <v>64</v>
      </c>
      <c r="C46" s="10" t="s">
        <v>11</v>
      </c>
      <c r="D46" s="10">
        <v>9.0390000000000002E-3</v>
      </c>
      <c r="E46" s="10">
        <v>-4.7062067301658628</v>
      </c>
      <c r="F46" s="16">
        <f t="shared" si="7"/>
        <v>9.5330883842278304E-3</v>
      </c>
      <c r="G46" s="16">
        <f t="shared" si="2"/>
        <v>-4.6529865441166507</v>
      </c>
      <c r="H46" s="16">
        <f t="shared" si="3"/>
        <v>-5.3220186049212082E-2</v>
      </c>
      <c r="I46" s="16">
        <f t="shared" si="4"/>
        <v>2.8323882031127483E-3</v>
      </c>
      <c r="J46" s="16">
        <f t="shared" si="8"/>
        <v>-4.7365550553021789</v>
      </c>
      <c r="K46" s="16">
        <v>-4.6180000000000003</v>
      </c>
      <c r="L46" s="15">
        <v>9.8725213720440644E-3</v>
      </c>
      <c r="M46" s="23">
        <f t="shared" si="5"/>
        <v>-9.2213892249592228E-2</v>
      </c>
      <c r="N46" s="23">
        <f t="shared" si="6"/>
        <v>-5.4661841379337342E-2</v>
      </c>
    </row>
    <row r="47" spans="1:14" x14ac:dyDescent="0.3">
      <c r="A47" s="11">
        <v>2019</v>
      </c>
      <c r="B47" s="12">
        <v>65</v>
      </c>
      <c r="C47" s="12" t="s">
        <v>11</v>
      </c>
      <c r="D47" s="12">
        <v>9.5650000000000006E-3</v>
      </c>
      <c r="E47" s="12">
        <v>-4.6496446760899204</v>
      </c>
      <c r="F47" s="16">
        <f t="shared" si="7"/>
        <v>1.0371924869187501E-2</v>
      </c>
      <c r="G47" s="16">
        <f t="shared" si="2"/>
        <v>-4.5686526549505908</v>
      </c>
      <c r="H47" s="16">
        <f t="shared" si="3"/>
        <v>-8.0992021139329573E-2</v>
      </c>
      <c r="I47" s="16">
        <f t="shared" si="4"/>
        <v>6.5597074882336086E-3</v>
      </c>
      <c r="J47" s="16">
        <f t="shared" si="8"/>
        <v>-4.6782999327545145</v>
      </c>
      <c r="K47" s="16">
        <v>-4.5419</v>
      </c>
      <c r="L47" s="15">
        <v>1.0653146334372922E-2</v>
      </c>
      <c r="M47" s="23">
        <f t="shared" si="5"/>
        <v>-0.11376333866941156</v>
      </c>
      <c r="N47" s="23">
        <f t="shared" si="6"/>
        <v>-8.4362244556978591E-2</v>
      </c>
    </row>
    <row r="48" spans="1:14" x14ac:dyDescent="0.3">
      <c r="A48" s="9">
        <v>2019</v>
      </c>
      <c r="B48" s="10">
        <v>66</v>
      </c>
      <c r="C48" s="10" t="s">
        <v>11</v>
      </c>
      <c r="D48" s="10">
        <v>1.034E-2</v>
      </c>
      <c r="E48" s="10">
        <v>-4.5717354099018541</v>
      </c>
      <c r="F48" s="16">
        <f t="shared" si="7"/>
        <v>1.1286725399948039E-2</v>
      </c>
      <c r="G48" s="16">
        <f t="shared" si="2"/>
        <v>-4.484127987183129</v>
      </c>
      <c r="H48" s="16">
        <f t="shared" si="3"/>
        <v>-8.7607422718725125E-2</v>
      </c>
      <c r="I48" s="16">
        <f t="shared" si="4"/>
        <v>7.6750605154173954E-3</v>
      </c>
      <c r="J48" s="16">
        <f t="shared" si="8"/>
        <v>-4.598214209834504</v>
      </c>
      <c r="K48" s="16">
        <v>-4.4658000000000007</v>
      </c>
      <c r="L48" s="15">
        <v>1.1495495683902046E-2</v>
      </c>
      <c r="M48" s="23">
        <f t="shared" si="5"/>
        <v>-0.11175006614139706</v>
      </c>
      <c r="N48" s="23">
        <f t="shared" si="6"/>
        <v>-9.1559516435980551E-2</v>
      </c>
    </row>
    <row r="49" spans="1:14" x14ac:dyDescent="0.3">
      <c r="A49" s="11">
        <v>2019</v>
      </c>
      <c r="B49" s="12">
        <v>67</v>
      </c>
      <c r="C49" s="12" t="s">
        <v>11</v>
      </c>
      <c r="D49" s="12">
        <v>1.1150999999999999E-2</v>
      </c>
      <c r="E49" s="12">
        <v>-4.4962260989989122</v>
      </c>
      <c r="F49" s="16">
        <f t="shared" si="7"/>
        <v>1.2284369191181073E-2</v>
      </c>
      <c r="G49" s="16">
        <f t="shared" si="2"/>
        <v>-4.3994276222165514</v>
      </c>
      <c r="H49" s="16">
        <f t="shared" si="3"/>
        <v>-9.6798476782360865E-2</v>
      </c>
      <c r="I49" s="16">
        <f t="shared" si="4"/>
        <v>9.3699451073852563E-3</v>
      </c>
      <c r="J49" s="16">
        <f t="shared" si="8"/>
        <v>-4.5207553039232389</v>
      </c>
      <c r="K49" s="16">
        <v>-4.3897000000000004</v>
      </c>
      <c r="L49" s="15">
        <v>1.2404449997296419E-2</v>
      </c>
      <c r="M49" s="23">
        <f t="shared" si="5"/>
        <v>-0.11240695877467666</v>
      </c>
      <c r="N49" s="23">
        <f t="shared" si="6"/>
        <v>-0.10163834554578721</v>
      </c>
    </row>
    <row r="50" spans="1:14" x14ac:dyDescent="0.3">
      <c r="A50" s="9">
        <v>2019</v>
      </c>
      <c r="B50" s="10">
        <v>68</v>
      </c>
      <c r="C50" s="10" t="s">
        <v>11</v>
      </c>
      <c r="D50" s="10">
        <v>1.2078999999999999E-2</v>
      </c>
      <c r="E50" s="10">
        <v>-4.416286871358996</v>
      </c>
      <c r="F50" s="16">
        <f t="shared" si="7"/>
        <v>1.3372358431150541E-2</v>
      </c>
      <c r="G50" s="16">
        <f t="shared" si="2"/>
        <v>-4.3145655061805801</v>
      </c>
      <c r="H50" s="16">
        <f t="shared" si="3"/>
        <v>-0.1017213651784159</v>
      </c>
      <c r="I50" s="16">
        <f t="shared" si="4"/>
        <v>1.0347236133760642E-2</v>
      </c>
      <c r="J50" s="16">
        <f t="shared" si="8"/>
        <v>-4.4389100720800938</v>
      </c>
      <c r="K50" s="16">
        <v>-4.3136000000000001</v>
      </c>
      <c r="L50" s="15">
        <v>1.3385275760740155E-2</v>
      </c>
      <c r="M50" s="23">
        <f t="shared" si="5"/>
        <v>-0.10814436300522856</v>
      </c>
      <c r="N50" s="23">
        <f t="shared" si="6"/>
        <v>-0.10707495911503784</v>
      </c>
    </row>
    <row r="51" spans="1:14" x14ac:dyDescent="0.3">
      <c r="A51" s="11">
        <v>2019</v>
      </c>
      <c r="B51" s="12">
        <v>69</v>
      </c>
      <c r="C51" s="12" t="s">
        <v>11</v>
      </c>
      <c r="D51" s="12">
        <v>1.3070999999999999E-2</v>
      </c>
      <c r="E51" s="12">
        <v>-4.3373592431787227</v>
      </c>
      <c r="F51" s="16">
        <f t="shared" si="7"/>
        <v>1.4558874697468726E-2</v>
      </c>
      <c r="G51" s="16">
        <f t="shared" si="2"/>
        <v>-4.2295545264621746</v>
      </c>
      <c r="H51" s="16">
        <f t="shared" si="3"/>
        <v>-0.10780471671654812</v>
      </c>
      <c r="I51" s="16">
        <f t="shared" si="4"/>
        <v>1.1621856946335191E-2</v>
      </c>
      <c r="J51" s="16">
        <f t="shared" si="8"/>
        <v>-4.3582474341235491</v>
      </c>
      <c r="K51" s="16">
        <v>-4.2375000000000007</v>
      </c>
      <c r="L51" s="15">
        <v>1.4443655883985791E-2</v>
      </c>
      <c r="M51" s="23">
        <f t="shared" si="5"/>
        <v>-0.10501536867766745</v>
      </c>
      <c r="N51" s="23">
        <f t="shared" si="6"/>
        <v>-0.11383021172586084</v>
      </c>
    </row>
    <row r="52" spans="1:14" x14ac:dyDescent="0.3">
      <c r="A52" s="9">
        <v>2019</v>
      </c>
      <c r="B52" s="10">
        <v>70</v>
      </c>
      <c r="C52" s="10" t="s">
        <v>11</v>
      </c>
      <c r="D52" s="10">
        <v>1.4584E-2</v>
      </c>
      <c r="E52" s="10">
        <v>-4.2278302416057754</v>
      </c>
      <c r="F52" s="16">
        <f t="shared" si="7"/>
        <v>1.5852840481796852E-2</v>
      </c>
      <c r="G52" s="16">
        <f t="shared" si="2"/>
        <v>-4.1444065845070748</v>
      </c>
      <c r="H52" s="16">
        <f t="shared" si="3"/>
        <v>-8.3423657098700588E-2</v>
      </c>
      <c r="I52" s="16">
        <f t="shared" si="4"/>
        <v>6.9595065637215771E-3</v>
      </c>
      <c r="J52" s="16">
        <f t="shared" si="8"/>
        <v>-4.2465310148036028</v>
      </c>
      <c r="K52" s="16">
        <v>-4.1614000000000004</v>
      </c>
      <c r="L52" s="15">
        <v>1.5585722627163977E-2</v>
      </c>
      <c r="M52" s="23">
        <f t="shared" si="5"/>
        <v>-6.8686411626712629E-2</v>
      </c>
      <c r="N52" s="23">
        <f t="shared" si="6"/>
        <v>-8.7002227221396916E-2</v>
      </c>
    </row>
    <row r="53" spans="1:14" x14ac:dyDescent="0.3">
      <c r="A53" s="11">
        <v>2019</v>
      </c>
      <c r="B53" s="12">
        <v>71</v>
      </c>
      <c r="C53" s="12" t="s">
        <v>11</v>
      </c>
      <c r="D53" s="12">
        <v>1.6147999999999999E-2</v>
      </c>
      <c r="E53" s="12">
        <v>-4.1259590759914424</v>
      </c>
      <c r="F53" s="16">
        <f t="shared" si="7"/>
        <v>1.7263986286150185E-2</v>
      </c>
      <c r="G53" s="16">
        <f t="shared" si="2"/>
        <v>-4.0591326648277608</v>
      </c>
      <c r="H53" s="16">
        <f t="shared" si="3"/>
        <v>-6.6826411163681598E-2</v>
      </c>
      <c r="I53" s="16">
        <f t="shared" si="4"/>
        <v>4.4657692290174288E-3</v>
      </c>
      <c r="J53" s="16">
        <f t="shared" si="8"/>
        <v>-4.1428332300027408</v>
      </c>
      <c r="K53" s="16">
        <v>-4.0853000000000002</v>
      </c>
      <c r="L53" s="15">
        <v>1.6818093131131685E-2</v>
      </c>
      <c r="M53" s="23">
        <f t="shared" si="5"/>
        <v>-4.1496973689106112E-2</v>
      </c>
      <c r="N53" s="23">
        <f t="shared" si="6"/>
        <v>-6.9109876526516373E-2</v>
      </c>
    </row>
    <row r="54" spans="1:14" x14ac:dyDescent="0.3">
      <c r="A54" s="9">
        <v>2019</v>
      </c>
      <c r="B54" s="10">
        <v>72</v>
      </c>
      <c r="C54" s="10" t="s">
        <v>11</v>
      </c>
      <c r="D54" s="10">
        <v>1.7229000000000001E-2</v>
      </c>
      <c r="E54" s="10">
        <v>-4.0611612684318681</v>
      </c>
      <c r="F54" s="16">
        <f t="shared" si="7"/>
        <v>1.8802923795365703E-2</v>
      </c>
      <c r="G54" s="16">
        <f t="shared" si="2"/>
        <v>-3.9737429002082845</v>
      </c>
      <c r="H54" s="16">
        <f t="shared" si="3"/>
        <v>-8.741836822358362E-2</v>
      </c>
      <c r="I54" s="16">
        <f t="shared" si="4"/>
        <v>7.6419711028740548E-3</v>
      </c>
      <c r="J54" s="16">
        <f t="shared" si="8"/>
        <v>-4.0769682730767052</v>
      </c>
      <c r="K54" s="16">
        <v>-4.0091999999999999</v>
      </c>
      <c r="L54" s="15">
        <v>1.814790775722195E-2</v>
      </c>
      <c r="M54" s="23">
        <f t="shared" si="5"/>
        <v>-5.3334944408958633E-2</v>
      </c>
      <c r="N54" s="23">
        <f t="shared" si="6"/>
        <v>-9.1353171708497397E-2</v>
      </c>
    </row>
    <row r="55" spans="1:14" x14ac:dyDescent="0.3">
      <c r="A55" s="11">
        <v>2019</v>
      </c>
      <c r="B55" s="12">
        <v>73</v>
      </c>
      <c r="C55" s="12" t="s">
        <v>11</v>
      </c>
      <c r="D55" s="12">
        <v>2.0074000000000002E-2</v>
      </c>
      <c r="E55" s="12">
        <v>-3.9083298335905283</v>
      </c>
      <c r="F55" s="16">
        <f t="shared" si="7"/>
        <v>2.0481225675982324E-2</v>
      </c>
      <c r="G55" s="16">
        <f t="shared" si="2"/>
        <v>-3.8882466331415433</v>
      </c>
      <c r="H55" s="16">
        <f t="shared" si="3"/>
        <v>-2.0083200448985039E-2</v>
      </c>
      <c r="I55" s="16">
        <f t="shared" si="4"/>
        <v>4.033349402741129E-4</v>
      </c>
      <c r="J55" s="16">
        <f t="shared" si="8"/>
        <v>-3.9218813268144497</v>
      </c>
      <c r="K55" s="16">
        <v>-3.9331000000000005</v>
      </c>
      <c r="L55" s="15">
        <v>1.9582871458535853E-2</v>
      </c>
      <c r="M55" s="23">
        <f t="shared" si="5"/>
        <v>2.4465903231251779E-2</v>
      </c>
      <c r="N55" s="23">
        <f t="shared" si="6"/>
        <v>-2.0286224767476477E-2</v>
      </c>
    </row>
    <row r="56" spans="1:14" x14ac:dyDescent="0.3">
      <c r="A56" s="9">
        <v>2019</v>
      </c>
      <c r="B56" s="10">
        <v>74</v>
      </c>
      <c r="C56" s="10" t="s">
        <v>11</v>
      </c>
      <c r="D56" s="10">
        <v>2.1066000000000001E-2</v>
      </c>
      <c r="E56" s="10">
        <v>-3.8600949125677868</v>
      </c>
      <c r="F56" s="16">
        <f t="shared" si="7"/>
        <v>2.2311512601613962E-2</v>
      </c>
      <c r="G56" s="16">
        <f t="shared" si="2"/>
        <v>-3.8026524735704328</v>
      </c>
      <c r="H56" s="16">
        <f t="shared" si="3"/>
        <v>-5.7442438997354017E-2</v>
      </c>
      <c r="I56" s="16">
        <f t="shared" si="4"/>
        <v>3.2996337979647374E-3</v>
      </c>
      <c r="J56" s="16">
        <f t="shared" si="8"/>
        <v>-3.8730041274747915</v>
      </c>
      <c r="K56" s="16">
        <v>-3.8570000000000002</v>
      </c>
      <c r="L56" s="15">
        <v>2.1131298422482285E-2</v>
      </c>
      <c r="M56" s="23">
        <f t="shared" si="5"/>
        <v>-3.099706754119606E-3</v>
      </c>
      <c r="N56" s="23">
        <f t="shared" si="6"/>
        <v>-5.9124304643214692E-2</v>
      </c>
    </row>
    <row r="57" spans="1:14" x14ac:dyDescent="0.3">
      <c r="A57" s="11">
        <v>2019</v>
      </c>
      <c r="B57" s="12">
        <v>75</v>
      </c>
      <c r="C57" s="12" t="s">
        <v>11</v>
      </c>
      <c r="D57" s="12">
        <v>2.3810999999999999E-2</v>
      </c>
      <c r="E57" s="12">
        <v>-3.737607620205289</v>
      </c>
      <c r="F57" s="16">
        <f t="shared" si="7"/>
        <v>2.4307548159238034E-2</v>
      </c>
      <c r="G57" s="16">
        <f t="shared" si="2"/>
        <v>-3.7169683530322741</v>
      </c>
      <c r="H57" s="16">
        <f t="shared" si="3"/>
        <v>-2.0639267173014897E-2</v>
      </c>
      <c r="I57" s="16">
        <f t="shared" si="4"/>
        <v>4.2597934943909034E-4</v>
      </c>
      <c r="J57" s="16">
        <f t="shared" si="8"/>
        <v>-3.7490200973788816</v>
      </c>
      <c r="K57" s="16">
        <v>-3.7808999999999999</v>
      </c>
      <c r="L57" s="15">
        <v>2.2802160243224512E-2</v>
      </c>
      <c r="M57" s="23">
        <f t="shared" si="5"/>
        <v>4.2368642928708879E-2</v>
      </c>
      <c r="N57" s="23">
        <f t="shared" si="6"/>
        <v>-2.0853729756752568E-2</v>
      </c>
    </row>
    <row r="58" spans="1:14" x14ac:dyDescent="0.3">
      <c r="A58" s="9">
        <v>2019</v>
      </c>
      <c r="B58" s="10">
        <v>76</v>
      </c>
      <c r="C58" s="10" t="s">
        <v>11</v>
      </c>
      <c r="D58" s="10">
        <v>2.5933000000000001E-2</v>
      </c>
      <c r="E58" s="10">
        <v>-3.6522389900189443</v>
      </c>
      <c r="F58" s="16">
        <f t="shared" si="7"/>
        <v>2.648434235008584E-2</v>
      </c>
      <c r="G58" s="16">
        <f t="shared" si="2"/>
        <v>-3.6312015753271369</v>
      </c>
      <c r="H58" s="16">
        <f t="shared" si="3"/>
        <v>-2.103741469180731E-2</v>
      </c>
      <c r="I58" s="16">
        <f t="shared" si="4"/>
        <v>4.4257281691507006E-4</v>
      </c>
      <c r="J58" s="16">
        <f t="shared" si="8"/>
        <v>-3.6627127187626556</v>
      </c>
      <c r="K58" s="16">
        <v>-3.7048000000000005</v>
      </c>
      <c r="L58" s="15">
        <v>2.4605137903145072E-2</v>
      </c>
      <c r="M58" s="23">
        <f t="shared" si="5"/>
        <v>5.120356676261633E-2</v>
      </c>
      <c r="N58" s="23">
        <f t="shared" si="6"/>
        <v>-2.1260261060650081E-2</v>
      </c>
    </row>
    <row r="59" spans="1:14" x14ac:dyDescent="0.3">
      <c r="A59" s="11">
        <v>2019</v>
      </c>
      <c r="B59" s="12">
        <v>77</v>
      </c>
      <c r="C59" s="12" t="s">
        <v>11</v>
      </c>
      <c r="D59" s="12">
        <v>2.8867E-2</v>
      </c>
      <c r="E59" s="12">
        <v>-3.5450562048044163</v>
      </c>
      <c r="F59" s="16">
        <f t="shared" si="7"/>
        <v>2.88582644634519E-2</v>
      </c>
      <c r="G59" s="16">
        <f t="shared" si="2"/>
        <v>-3.5453588638462064</v>
      </c>
      <c r="H59" s="16">
        <f t="shared" si="3"/>
        <v>3.0265904179005432E-4</v>
      </c>
      <c r="I59" s="16">
        <f t="shared" si="4"/>
        <v>9.1602495577273849E-8</v>
      </c>
      <c r="J59" s="16">
        <f t="shared" si="8"/>
        <v>-3.5544603767961904</v>
      </c>
      <c r="K59" s="16">
        <v>-3.6287000000000003</v>
      </c>
      <c r="L59" s="15">
        <v>2.6550677864509788E-2</v>
      </c>
      <c r="M59" s="23">
        <f t="shared" si="5"/>
        <v>8.0241179737770188E-2</v>
      </c>
      <c r="N59" s="23">
        <f t="shared" si="6"/>
        <v>3.0261324516230942E-4</v>
      </c>
    </row>
    <row r="60" spans="1:14" x14ac:dyDescent="0.3">
      <c r="A60" s="9">
        <v>2019</v>
      </c>
      <c r="B60" s="10">
        <v>78</v>
      </c>
      <c r="C60" s="10" t="s">
        <v>11</v>
      </c>
      <c r="D60" s="10">
        <v>3.1864999999999997E-2</v>
      </c>
      <c r="E60" s="10">
        <v>-3.4462470502158795</v>
      </c>
      <c r="F60" s="16">
        <f t="shared" si="7"/>
        <v>3.1447166172222776E-2</v>
      </c>
      <c r="G60" s="16">
        <f t="shared" si="2"/>
        <v>-3.4594464057071366</v>
      </c>
      <c r="H60" s="16">
        <f t="shared" si="3"/>
        <v>1.3199355491257059E-2</v>
      </c>
      <c r="I60" s="16">
        <f t="shared" si="4"/>
        <v>1.7422298538457786E-4</v>
      </c>
      <c r="J60" s="16">
        <f t="shared" si="8"/>
        <v>-3.4547626576311092</v>
      </c>
      <c r="K60" s="16">
        <v>-3.5526</v>
      </c>
      <c r="L60" s="15">
        <v>2.8650052596326386E-2</v>
      </c>
      <c r="M60" s="23">
        <f t="shared" si="5"/>
        <v>0.10089274764392316</v>
      </c>
      <c r="N60" s="23">
        <f t="shared" si="6"/>
        <v>1.311262600901369E-2</v>
      </c>
    </row>
    <row r="61" spans="1:14" x14ac:dyDescent="0.3">
      <c r="A61" s="11">
        <v>2019</v>
      </c>
      <c r="B61" s="12">
        <v>79</v>
      </c>
      <c r="C61" s="12" t="s">
        <v>11</v>
      </c>
      <c r="D61" s="12">
        <v>3.5298000000000003E-2</v>
      </c>
      <c r="E61" s="12">
        <v>-3.3439289738717632</v>
      </c>
      <c r="F61" s="16">
        <f t="shared" si="7"/>
        <v>3.4270515775792196E-2</v>
      </c>
      <c r="G61" s="16">
        <f t="shared" si="2"/>
        <v>-3.3734698928501885</v>
      </c>
      <c r="H61" s="16">
        <f t="shared" si="3"/>
        <v>2.9540918978425257E-2</v>
      </c>
      <c r="I61" s="16">
        <f t="shared" si="4"/>
        <v>8.7266589408988547E-4</v>
      </c>
      <c r="J61" s="16">
        <f t="shared" si="8"/>
        <v>-3.3516131827793849</v>
      </c>
      <c r="K61" s="16">
        <v>-3.4765000000000006</v>
      </c>
      <c r="L61" s="15">
        <v>3.0915425887090564E-2</v>
      </c>
      <c r="M61" s="23">
        <f t="shared" si="5"/>
        <v>0.12415927567877609</v>
      </c>
      <c r="N61" s="23">
        <f t="shared" si="6"/>
        <v>2.9108851045606187E-2</v>
      </c>
    </row>
    <row r="62" spans="1:14" x14ac:dyDescent="0.3">
      <c r="A62" s="9">
        <v>2019</v>
      </c>
      <c r="B62" s="10">
        <v>80</v>
      </c>
      <c r="C62" s="10" t="s">
        <v>11</v>
      </c>
      <c r="D62" s="10">
        <v>3.9782999999999999E-2</v>
      </c>
      <c r="E62" s="10">
        <v>-3.2243155936185657</v>
      </c>
      <c r="F62" s="16">
        <f t="shared" si="7"/>
        <v>3.7349544599856802E-2</v>
      </c>
      <c r="G62" s="16">
        <f t="shared" si="2"/>
        <v>-3.2874345602525614</v>
      </c>
      <c r="H62" s="16">
        <f t="shared" si="3"/>
        <v>6.3118966633995743E-2</v>
      </c>
      <c r="I62" s="16">
        <f t="shared" si="4"/>
        <v>3.9840039489434679E-3</v>
      </c>
      <c r="J62" s="16">
        <f t="shared" si="8"/>
        <v>-3.2311305519541258</v>
      </c>
      <c r="K62" s="16">
        <v>-3.4004000000000003</v>
      </c>
      <c r="L62" s="15">
        <v>3.3359923321842025E-2</v>
      </c>
      <c r="M62" s="23">
        <f t="shared" si="5"/>
        <v>0.161452798385189</v>
      </c>
      <c r="N62" s="23">
        <f t="shared" si="6"/>
        <v>6.1168222611245944E-2</v>
      </c>
    </row>
    <row r="63" spans="1:14" x14ac:dyDescent="0.3">
      <c r="A63" s="11">
        <v>2019</v>
      </c>
      <c r="B63" s="12">
        <v>81</v>
      </c>
      <c r="C63" s="12" t="s">
        <v>11</v>
      </c>
      <c r="D63" s="12">
        <v>4.3970000000000002E-2</v>
      </c>
      <c r="E63" s="12">
        <v>-3.1242476957894181</v>
      </c>
      <c r="F63" s="16">
        <f t="shared" si="7"/>
        <v>4.0707406654005164E-2</v>
      </c>
      <c r="G63" s="16">
        <f t="shared" si="2"/>
        <v>-3.2013452214193547</v>
      </c>
      <c r="H63" s="16">
        <f t="shared" si="3"/>
        <v>7.7097525629936658E-2</v>
      </c>
      <c r="I63" s="16">
        <f t="shared" si="4"/>
        <v>5.9440284582587396E-3</v>
      </c>
      <c r="J63" s="16">
        <f t="shared" si="8"/>
        <v>-3.1304117020285318</v>
      </c>
      <c r="K63" s="16">
        <v>-3.3243</v>
      </c>
      <c r="L63" s="15">
        <v>3.599770833187485E-2</v>
      </c>
      <c r="M63" s="23">
        <f t="shared" si="5"/>
        <v>0.18131206886798162</v>
      </c>
      <c r="N63" s="23">
        <f t="shared" si="6"/>
        <v>7.4200439981688376E-2</v>
      </c>
    </row>
    <row r="64" spans="1:14" x14ac:dyDescent="0.3">
      <c r="A64" s="9">
        <v>2019</v>
      </c>
      <c r="B64" s="10">
        <v>82</v>
      </c>
      <c r="C64" s="10" t="s">
        <v>11</v>
      </c>
      <c r="D64" s="10">
        <v>4.9896999999999997E-2</v>
      </c>
      <c r="E64" s="10">
        <v>-2.9977943982724393</v>
      </c>
      <c r="F64" s="16">
        <f t="shared" si="7"/>
        <v>4.4369352747710512E-2</v>
      </c>
      <c r="G64" s="16">
        <f t="shared" si="2"/>
        <v>-3.1152063013084805</v>
      </c>
      <c r="H64" s="16">
        <f t="shared" si="3"/>
        <v>0.11741190303604121</v>
      </c>
      <c r="I64" s="16">
        <f t="shared" si="4"/>
        <v>1.3785554974544744E-2</v>
      </c>
      <c r="J64" s="16">
        <f t="shared" si="8"/>
        <v>-3.0032242232240178</v>
      </c>
      <c r="K64" s="16">
        <v>-3.2482000000000006</v>
      </c>
      <c r="L64" s="15">
        <v>3.8844064257734637E-2</v>
      </c>
      <c r="M64" s="23">
        <f t="shared" si="5"/>
        <v>0.22151503581909454</v>
      </c>
      <c r="N64" s="23">
        <f t="shared" si="6"/>
        <v>0.11078115422349009</v>
      </c>
    </row>
    <row r="65" spans="1:14" x14ac:dyDescent="0.3">
      <c r="A65" s="11">
        <v>2019</v>
      </c>
      <c r="B65" s="12">
        <v>83</v>
      </c>
      <c r="C65" s="12" t="s">
        <v>11</v>
      </c>
      <c r="D65" s="12">
        <v>5.6187000000000001E-2</v>
      </c>
      <c r="E65" s="12">
        <v>-2.8790698655663105</v>
      </c>
      <c r="F65" s="16">
        <f t="shared" si="7"/>
        <v>4.836292037406284E-2</v>
      </c>
      <c r="G65" s="16">
        <f t="shared" si="2"/>
        <v>-3.0290218668441411</v>
      </c>
      <c r="H65" s="16">
        <f t="shared" si="3"/>
        <v>0.14995200127783059</v>
      </c>
      <c r="I65" s="16">
        <f t="shared" si="4"/>
        <v>2.2485602687226509E-2</v>
      </c>
      <c r="J65" s="16">
        <f t="shared" si="8"/>
        <v>-2.8838903670356877</v>
      </c>
      <c r="K65" s="16">
        <v>-3.1721000000000004</v>
      </c>
      <c r="L65" s="15">
        <v>4.1915482900975895E-2</v>
      </c>
      <c r="M65" s="23">
        <f t="shared" si="5"/>
        <v>0.25400033991891552</v>
      </c>
      <c r="N65" s="23">
        <f t="shared" si="6"/>
        <v>0.13925070970041398</v>
      </c>
    </row>
    <row r="66" spans="1:14" x14ac:dyDescent="0.3">
      <c r="A66" s="9">
        <v>2019</v>
      </c>
      <c r="B66" s="10">
        <v>84</v>
      </c>
      <c r="C66" s="10" t="s">
        <v>11</v>
      </c>
      <c r="D66" s="10">
        <v>6.1448000000000003E-2</v>
      </c>
      <c r="E66" s="10">
        <v>-2.7895639902857563</v>
      </c>
      <c r="F66" s="16">
        <f t="shared" si="7"/>
        <v>5.2718140789148667E-2</v>
      </c>
      <c r="G66" s="16">
        <f t="shared" si="2"/>
        <v>-2.9427956551694359</v>
      </c>
      <c r="H66" s="16">
        <f t="shared" si="3"/>
        <v>0.15323166488367956</v>
      </c>
      <c r="I66" s="16">
        <f t="shared" si="4"/>
        <v>2.3479943123024278E-2</v>
      </c>
      <c r="J66" s="16">
        <f t="shared" si="8"/>
        <v>-2.7939708635675351</v>
      </c>
      <c r="K66" s="16">
        <v>-3.0960000000000001</v>
      </c>
      <c r="L66" s="15">
        <v>4.5229760077748982E-2</v>
      </c>
      <c r="M66" s="23">
        <f t="shared" si="5"/>
        <v>0.2639343822785285</v>
      </c>
      <c r="N66" s="23">
        <f t="shared" si="6"/>
        <v>0.14206905368525152</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CE570-760B-4717-957D-E4BACDF3F0D9}">
  <dimension ref="A1:K66"/>
  <sheetViews>
    <sheetView zoomScaleNormal="100" workbookViewId="0">
      <selection activeCell="N58" sqref="N58"/>
    </sheetView>
  </sheetViews>
  <sheetFormatPr defaultRowHeight="14.4" x14ac:dyDescent="0.3"/>
  <cols>
    <col min="1" max="1" width="19.5546875" bestFit="1" customWidth="1"/>
    <col min="2" max="2" width="9" bestFit="1" customWidth="1"/>
    <col min="3" max="5" width="12" bestFit="1" customWidth="1"/>
    <col min="6" max="8" width="12.6640625" bestFit="1" customWidth="1"/>
    <col min="9" max="9" width="10.5546875" style="19" bestFit="1" customWidth="1"/>
    <col min="10" max="10" width="8.88671875" style="19"/>
    <col min="11" max="11" width="9.44140625" style="19" bestFit="1" customWidth="1"/>
  </cols>
  <sheetData>
    <row r="1" spans="1:11" x14ac:dyDescent="0.3">
      <c r="A1" s="8" t="s">
        <v>1</v>
      </c>
      <c r="B1" s="8" t="s">
        <v>26</v>
      </c>
      <c r="C1" s="14" t="s">
        <v>37</v>
      </c>
      <c r="D1" s="14" t="s">
        <v>38</v>
      </c>
      <c r="E1" s="14" t="s">
        <v>39</v>
      </c>
      <c r="F1" s="14" t="s">
        <v>40</v>
      </c>
      <c r="G1" s="14" t="s">
        <v>41</v>
      </c>
      <c r="H1" s="14" t="s">
        <v>42</v>
      </c>
      <c r="I1" s="17" t="s">
        <v>43</v>
      </c>
      <c r="J1" s="17" t="s">
        <v>44</v>
      </c>
      <c r="K1" s="17" t="s">
        <v>45</v>
      </c>
    </row>
    <row r="2" spans="1:11" x14ac:dyDescent="0.3">
      <c r="A2" s="10">
        <v>20</v>
      </c>
      <c r="B2" s="10">
        <v>4.1300000000000001E-4</v>
      </c>
      <c r="C2" s="15">
        <v>3.4692567293355826E-4</v>
      </c>
      <c r="D2" s="16">
        <v>4.3349999999999997E-4</v>
      </c>
      <c r="E2" s="16">
        <v>4.4333333333333334E-4</v>
      </c>
      <c r="F2" s="16">
        <v>6.6074327066441751E-5</v>
      </c>
      <c r="G2" s="16">
        <v>-2.0499999999999956E-5</v>
      </c>
      <c r="H2" s="16">
        <v>-3.033333333333333E-5</v>
      </c>
      <c r="I2" s="18">
        <v>-0.15998626408339406</v>
      </c>
      <c r="J2" s="18">
        <v>4.9636803874091903E-2</v>
      </c>
      <c r="K2" s="18">
        <v>7.3446327683615809E-2</v>
      </c>
    </row>
    <row r="3" spans="1:11" x14ac:dyDescent="0.3">
      <c r="A3" s="12">
        <v>21</v>
      </c>
      <c r="B3" s="12">
        <v>4.5399999999999998E-4</v>
      </c>
      <c r="C3" s="15">
        <v>3.7435725096301162E-4</v>
      </c>
      <c r="D3" s="16">
        <v>4.4333333333333334E-4</v>
      </c>
      <c r="E3" s="16">
        <v>4.7024999999999996E-4</v>
      </c>
      <c r="F3" s="16">
        <v>7.9642749036988353E-5</v>
      </c>
      <c r="G3" s="16">
        <v>1.0666666666666637E-5</v>
      </c>
      <c r="H3" s="16">
        <v>-1.6249999999999988E-5</v>
      </c>
      <c r="I3" s="18">
        <v>-0.17542455735019463</v>
      </c>
      <c r="J3" s="18">
        <v>-2.3494860499265722E-2</v>
      </c>
      <c r="K3" s="18">
        <v>3.57929515418502E-2</v>
      </c>
    </row>
    <row r="4" spans="1:11" x14ac:dyDescent="0.3">
      <c r="A4" s="10">
        <v>22</v>
      </c>
      <c r="B4" s="10">
        <v>4.6299999999999998E-4</v>
      </c>
      <c r="C4" s="15">
        <v>4.0395785691946451E-4</v>
      </c>
      <c r="D4" s="16">
        <v>4.8933333333333327E-4</v>
      </c>
      <c r="E4" s="16">
        <v>4.8459999999999996E-4</v>
      </c>
      <c r="F4" s="16">
        <v>5.9042143080535465E-5</v>
      </c>
      <c r="G4" s="16">
        <v>-2.6333333333333287E-5</v>
      </c>
      <c r="H4" s="16">
        <v>-2.1599999999999983E-5</v>
      </c>
      <c r="I4" s="18">
        <v>-0.1275208273877656</v>
      </c>
      <c r="J4" s="18">
        <v>5.6875449964002782E-2</v>
      </c>
      <c r="K4" s="18">
        <v>4.6652267818574476E-2</v>
      </c>
    </row>
    <row r="5" spans="1:11" x14ac:dyDescent="0.3">
      <c r="A5" s="12">
        <v>23</v>
      </c>
      <c r="B5" s="12">
        <v>5.5099999999999995E-4</v>
      </c>
      <c r="C5" s="15">
        <v>4.3589899687314929E-4</v>
      </c>
      <c r="D5" s="16">
        <v>5.1866666666666662E-4</v>
      </c>
      <c r="E5" s="16">
        <v>5.1679999999999988E-4</v>
      </c>
      <c r="F5" s="16">
        <v>1.1510100312685066E-4</v>
      </c>
      <c r="G5" s="16">
        <v>3.2333333333333324E-5</v>
      </c>
      <c r="H5" s="16">
        <v>3.4200000000000072E-5</v>
      </c>
      <c r="I5" s="18">
        <v>-0.20889474251697038</v>
      </c>
      <c r="J5" s="18">
        <v>-5.8681185722927999E-2</v>
      </c>
      <c r="K5" s="18">
        <v>-6.2068965517241517E-2</v>
      </c>
    </row>
    <row r="6" spans="1:11" x14ac:dyDescent="0.3">
      <c r="A6" s="10">
        <v>24</v>
      </c>
      <c r="B6" s="10">
        <v>5.4199999999999995E-4</v>
      </c>
      <c r="C6" s="15">
        <v>4.7036573796087582E-4</v>
      </c>
      <c r="D6" s="16">
        <v>5.5566666666666655E-4</v>
      </c>
      <c r="E6" s="16">
        <v>5.4979999999999992E-4</v>
      </c>
      <c r="F6" s="16">
        <v>7.1634262039124122E-5</v>
      </c>
      <c r="G6" s="16">
        <v>-1.3666666666666601E-5</v>
      </c>
      <c r="H6" s="16">
        <v>-7.7999999999999728E-6</v>
      </c>
      <c r="I6" s="18">
        <v>-0.13216653512753529</v>
      </c>
      <c r="J6" s="18">
        <v>2.5215252152521406E-2</v>
      </c>
      <c r="K6" s="18">
        <v>1.4391143911439065E-2</v>
      </c>
    </row>
    <row r="7" spans="1:11" x14ac:dyDescent="0.3">
      <c r="A7" s="12">
        <v>25</v>
      </c>
      <c r="B7" s="12">
        <v>5.7399999999999997E-4</v>
      </c>
      <c r="C7" s="15">
        <v>5.0755778066601822E-4</v>
      </c>
      <c r="D7" s="16">
        <v>5.7833333333333326E-4</v>
      </c>
      <c r="E7" s="16">
        <v>5.886E-4</v>
      </c>
      <c r="F7" s="16">
        <v>6.6442219333981748E-5</v>
      </c>
      <c r="G7" s="16">
        <v>-4.3333333333332941E-6</v>
      </c>
      <c r="H7" s="16">
        <v>-1.460000000000003E-5</v>
      </c>
      <c r="I7" s="18">
        <v>-0.11575299535536891</v>
      </c>
      <c r="J7" s="18">
        <v>7.5493612078977252E-3</v>
      </c>
      <c r="K7" s="18">
        <v>2.5435540069686464E-2</v>
      </c>
    </row>
    <row r="8" spans="1:11" x14ac:dyDescent="0.3">
      <c r="A8" s="10">
        <v>26</v>
      </c>
      <c r="B8" s="10">
        <v>6.1899999999999998E-4</v>
      </c>
      <c r="C8" s="15">
        <v>5.4769061588419074E-4</v>
      </c>
      <c r="D8" s="16">
        <v>6.1666666666666673E-4</v>
      </c>
      <c r="E8" s="16">
        <v>6.1600000000000001E-4</v>
      </c>
      <c r="F8" s="16">
        <v>7.1309384115809233E-5</v>
      </c>
      <c r="G8" s="16">
        <v>2.3333333333332455E-6</v>
      </c>
      <c r="H8" s="16">
        <v>2.9999999999999645E-6</v>
      </c>
      <c r="I8" s="18">
        <v>-0.11520094364427987</v>
      </c>
      <c r="J8" s="18">
        <v>-3.7695207323638863E-3</v>
      </c>
      <c r="K8" s="18">
        <v>-4.8465266558965501E-3</v>
      </c>
    </row>
    <row r="9" spans="1:11" x14ac:dyDescent="0.3">
      <c r="A9" s="12">
        <v>27</v>
      </c>
      <c r="B9" s="12">
        <v>6.5700000000000003E-4</v>
      </c>
      <c r="C9" s="15">
        <v>5.9099677347865579E-4</v>
      </c>
      <c r="D9" s="16">
        <v>6.5466666666666668E-4</v>
      </c>
      <c r="E9" s="16">
        <v>6.5280000000000004E-4</v>
      </c>
      <c r="F9" s="16">
        <v>6.6003226521344242E-5</v>
      </c>
      <c r="G9" s="16">
        <v>2.3333333333333539E-6</v>
      </c>
      <c r="H9" s="16">
        <v>4.1999999999999937E-6</v>
      </c>
      <c r="I9" s="18">
        <v>-0.10046153199595774</v>
      </c>
      <c r="J9" s="18">
        <v>-3.5514967021816647E-3</v>
      </c>
      <c r="K9" s="18">
        <v>-6.3926940639269306E-3</v>
      </c>
    </row>
    <row r="10" spans="1:11" x14ac:dyDescent="0.3">
      <c r="A10" s="10">
        <v>28</v>
      </c>
      <c r="B10" s="10">
        <v>6.8800000000000003E-4</v>
      </c>
      <c r="C10" s="15">
        <v>6.3772716955960468E-4</v>
      </c>
      <c r="D10" s="16">
        <v>6.9033333333333327E-4</v>
      </c>
      <c r="E10" s="16">
        <v>7.0360000000000008E-4</v>
      </c>
      <c r="F10" s="16">
        <v>5.0272830440395346E-5</v>
      </c>
      <c r="G10" s="16">
        <v>-2.3333333333332455E-6</v>
      </c>
      <c r="H10" s="16">
        <v>-1.5600000000000054E-5</v>
      </c>
      <c r="I10" s="18">
        <v>-7.307097447731882E-2</v>
      </c>
      <c r="J10" s="18">
        <v>3.3914728682169263E-3</v>
      </c>
      <c r="K10" s="18">
        <v>2.2674418604651241E-2</v>
      </c>
    </row>
    <row r="11" spans="1:11" x14ac:dyDescent="0.3">
      <c r="A11" s="12">
        <v>29</v>
      </c>
      <c r="B11" s="12">
        <v>7.2599999999999997E-4</v>
      </c>
      <c r="C11" s="15">
        <v>6.8815256029344958E-4</v>
      </c>
      <c r="D11" s="16">
        <v>7.4733333333333336E-4</v>
      </c>
      <c r="E11" s="16">
        <v>7.5479999999999992E-4</v>
      </c>
      <c r="F11" s="16">
        <v>3.7847439706550391E-5</v>
      </c>
      <c r="G11" s="16">
        <v>-2.1333333333333382E-5</v>
      </c>
      <c r="H11" s="16">
        <v>-2.8799999999999941E-5</v>
      </c>
      <c r="I11" s="18">
        <v>-5.2131459650895856E-2</v>
      </c>
      <c r="J11" s="18">
        <v>2.9384756657483999E-2</v>
      </c>
      <c r="K11" s="18">
        <v>3.9669421487603225E-2</v>
      </c>
    </row>
    <row r="12" spans="1:11" x14ac:dyDescent="0.3">
      <c r="A12" s="10">
        <v>30</v>
      </c>
      <c r="B12" s="10">
        <v>8.2799999999999996E-4</v>
      </c>
      <c r="C12" s="15">
        <v>7.4256511066550903E-4</v>
      </c>
      <c r="D12" s="16">
        <v>8.0966666666666654E-4</v>
      </c>
      <c r="E12" s="16">
        <v>8.0619999999999997E-4</v>
      </c>
      <c r="F12" s="16">
        <v>8.5434889334490933E-5</v>
      </c>
      <c r="G12" s="16">
        <v>1.8333333333333418E-5</v>
      </c>
      <c r="H12" s="16">
        <v>2.1799999999999988E-5</v>
      </c>
      <c r="I12" s="18">
        <v>-0.103182233495762</v>
      </c>
      <c r="J12" s="18">
        <v>-2.2141706924315722E-2</v>
      </c>
      <c r="K12" s="18">
        <v>-2.6328502415458924E-2</v>
      </c>
    </row>
    <row r="13" spans="1:11" x14ac:dyDescent="0.3">
      <c r="A13" s="12">
        <v>31</v>
      </c>
      <c r="B13" s="12">
        <v>8.7500000000000002E-4</v>
      </c>
      <c r="C13" s="15">
        <v>8.0128008728550611E-4</v>
      </c>
      <c r="D13" s="16">
        <v>8.7233333333333336E-4</v>
      </c>
      <c r="E13" s="16">
        <v>8.7619999999999994E-4</v>
      </c>
      <c r="F13" s="16">
        <v>7.3719912714493912E-5</v>
      </c>
      <c r="G13" s="16">
        <v>2.6666666666666592E-6</v>
      </c>
      <c r="H13" s="16">
        <v>-1.1999999999999207E-6</v>
      </c>
      <c r="I13" s="18">
        <v>-8.4251328816564469E-2</v>
      </c>
      <c r="J13" s="18">
        <v>-3.047619047619039E-3</v>
      </c>
      <c r="K13" s="18">
        <v>1.3714285714284808E-3</v>
      </c>
    </row>
    <row r="14" spans="1:11" x14ac:dyDescent="0.3">
      <c r="A14" s="10">
        <v>32</v>
      </c>
      <c r="B14" s="10">
        <v>9.1399999999999999E-4</v>
      </c>
      <c r="C14" s="15">
        <v>8.6463768504400104E-4</v>
      </c>
      <c r="D14" s="16">
        <v>9.4233333333333333E-4</v>
      </c>
      <c r="E14" s="16">
        <v>9.3080000000000007E-4</v>
      </c>
      <c r="F14" s="16">
        <v>4.936231495599895E-5</v>
      </c>
      <c r="G14" s="16">
        <v>-2.8333333333333335E-5</v>
      </c>
      <c r="H14" s="16">
        <v>-1.6800000000000083E-5</v>
      </c>
      <c r="I14" s="18">
        <v>-5.4006909142230802E-2</v>
      </c>
      <c r="J14" s="18">
        <v>3.0999270605397523E-2</v>
      </c>
      <c r="K14" s="18">
        <v>1.8380743982494622E-2</v>
      </c>
    </row>
    <row r="15" spans="1:11" x14ac:dyDescent="0.3">
      <c r="A15" s="12">
        <v>33</v>
      </c>
      <c r="B15" s="12">
        <v>1.0380000000000001E-3</v>
      </c>
      <c r="C15" s="15">
        <v>9.330049982034192E-4</v>
      </c>
      <c r="D15" s="16">
        <v>9.8366666666666676E-4</v>
      </c>
      <c r="E15" s="16">
        <v>9.8180000000000012E-4</v>
      </c>
      <c r="F15" s="16">
        <v>1.0499500179658088E-4</v>
      </c>
      <c r="G15" s="16">
        <v>5.4333333333333317E-5</v>
      </c>
      <c r="H15" s="16">
        <v>5.6199999999999957E-5</v>
      </c>
      <c r="I15" s="18">
        <v>-0.10115125413928792</v>
      </c>
      <c r="J15" s="18">
        <v>-5.2344251766217063E-2</v>
      </c>
      <c r="K15" s="18">
        <v>-5.4142581888246583E-2</v>
      </c>
    </row>
    <row r="16" spans="1:11" x14ac:dyDescent="0.3">
      <c r="A16" s="10">
        <v>34</v>
      </c>
      <c r="B16" s="10">
        <v>9.990000000000001E-4</v>
      </c>
      <c r="C16" s="15">
        <v>1.0067781473441825E-3</v>
      </c>
      <c r="D16" s="16">
        <v>1.0400000000000001E-3</v>
      </c>
      <c r="E16" s="16">
        <v>1.0333999999999999E-3</v>
      </c>
      <c r="F16" s="16">
        <v>-7.7781473441823797E-6</v>
      </c>
      <c r="G16" s="16">
        <v>-4.1000000000000021E-5</v>
      </c>
      <c r="H16" s="16">
        <v>-3.4399999999999752E-5</v>
      </c>
      <c r="I16" s="18">
        <v>7.785933277459839E-3</v>
      </c>
      <c r="J16" s="18">
        <v>4.104104104104106E-2</v>
      </c>
      <c r="K16" s="18">
        <v>3.4434434434434183E-2</v>
      </c>
    </row>
    <row r="17" spans="1:11" x14ac:dyDescent="0.3">
      <c r="A17" s="12">
        <v>35</v>
      </c>
      <c r="B17" s="12">
        <v>1.083E-3</v>
      </c>
      <c r="C17" s="15">
        <v>1.0863845744894854E-3</v>
      </c>
      <c r="D17" s="16">
        <v>1.0716666666666667E-3</v>
      </c>
      <c r="E17" s="16">
        <v>1.0915999999999999E-3</v>
      </c>
      <c r="F17" s="16">
        <v>-3.3845744894854361E-6</v>
      </c>
      <c r="G17" s="16">
        <v>1.1333333333333247E-5</v>
      </c>
      <c r="H17" s="16">
        <v>-8.5999999999998838E-6</v>
      </c>
      <c r="I17" s="18">
        <v>3.1251842008175774E-3</v>
      </c>
      <c r="J17" s="18">
        <v>-1.0464758387195981E-2</v>
      </c>
      <c r="K17" s="18">
        <v>7.9409048938133744E-3</v>
      </c>
    </row>
    <row r="18" spans="1:11" x14ac:dyDescent="0.3">
      <c r="A18" s="10">
        <v>36</v>
      </c>
      <c r="B18" s="10">
        <v>1.1329999999999999E-3</v>
      </c>
      <c r="C18" s="15">
        <v>1.1722855197066767E-3</v>
      </c>
      <c r="D18" s="16">
        <v>1.1403333333333333E-3</v>
      </c>
      <c r="E18" s="16">
        <v>1.1526000000000002E-3</v>
      </c>
      <c r="F18" s="16">
        <v>-3.9285519706676797E-5</v>
      </c>
      <c r="G18" s="16">
        <v>-7.333333333333367E-6</v>
      </c>
      <c r="H18" s="16">
        <v>-1.960000000000026E-5</v>
      </c>
      <c r="I18" s="18">
        <v>3.4673892062380231E-2</v>
      </c>
      <c r="J18" s="18">
        <v>6.4724919093851439E-3</v>
      </c>
      <c r="K18" s="18">
        <v>1.7299205648720443E-2</v>
      </c>
    </row>
    <row r="19" spans="1:11" x14ac:dyDescent="0.3">
      <c r="A19" s="12">
        <v>37</v>
      </c>
      <c r="B19" s="12">
        <v>1.2049999999999999E-3</v>
      </c>
      <c r="C19" s="15">
        <v>1.2649786935346934E-3</v>
      </c>
      <c r="D19" s="16">
        <v>1.227E-3</v>
      </c>
      <c r="E19" s="16">
        <v>1.2342E-3</v>
      </c>
      <c r="F19" s="16">
        <v>-5.9978693534693461E-5</v>
      </c>
      <c r="G19" s="16">
        <v>-2.2000000000000101E-5</v>
      </c>
      <c r="H19" s="16">
        <v>-2.9200000000000059E-5</v>
      </c>
      <c r="I19" s="18">
        <v>4.9774849406384616E-2</v>
      </c>
      <c r="J19" s="18">
        <v>1.8257261410788466E-2</v>
      </c>
      <c r="K19" s="18">
        <v>2.4232365145228266E-2</v>
      </c>
    </row>
    <row r="20" spans="1:11" x14ac:dyDescent="0.3">
      <c r="A20" s="10">
        <v>38</v>
      </c>
      <c r="B20" s="10">
        <v>1.343E-3</v>
      </c>
      <c r="C20" s="15">
        <v>1.3650011607216016E-3</v>
      </c>
      <c r="D20" s="16">
        <v>1.3183333333333335E-3</v>
      </c>
      <c r="E20" s="16">
        <v>1.3101999999999999E-3</v>
      </c>
      <c r="F20" s="16">
        <v>-2.2001160721601618E-5</v>
      </c>
      <c r="G20" s="16">
        <v>2.4666666666666543E-5</v>
      </c>
      <c r="H20" s="16">
        <v>3.2800000000000147E-5</v>
      </c>
      <c r="I20" s="18">
        <v>1.6382100313925254E-2</v>
      </c>
      <c r="J20" s="18">
        <v>-1.8366840407048803E-2</v>
      </c>
      <c r="K20" s="18">
        <v>-2.4422933730454316E-2</v>
      </c>
    </row>
    <row r="21" spans="1:11" x14ac:dyDescent="0.3">
      <c r="A21" s="12">
        <v>39</v>
      </c>
      <c r="B21" s="12">
        <v>1.407E-3</v>
      </c>
      <c r="C21" s="15">
        <v>1.472932451980638E-3</v>
      </c>
      <c r="D21" s="16">
        <v>1.4043333333333332E-3</v>
      </c>
      <c r="E21" s="16">
        <v>1.3878E-3</v>
      </c>
      <c r="F21" s="16">
        <v>-6.5932451980637912E-5</v>
      </c>
      <c r="G21" s="16">
        <v>2.666666666666876E-6</v>
      </c>
      <c r="H21" s="16">
        <v>1.9200000000000033E-5</v>
      </c>
      <c r="I21" s="18">
        <v>4.6860307022486079E-2</v>
      </c>
      <c r="J21" s="18">
        <v>-1.8952854773751783E-3</v>
      </c>
      <c r="K21" s="18">
        <v>-1.3646055437100237E-2</v>
      </c>
    </row>
    <row r="22" spans="1:11" x14ac:dyDescent="0.3">
      <c r="A22" s="10">
        <v>40</v>
      </c>
      <c r="B22" s="10">
        <v>1.4630000000000001E-3</v>
      </c>
      <c r="C22" s="15">
        <v>1.5893979217942802E-3</v>
      </c>
      <c r="D22" s="16">
        <v>1.4636666666666667E-3</v>
      </c>
      <c r="E22" s="16">
        <v>1.4599999999999999E-3</v>
      </c>
      <c r="F22" s="16">
        <v>-1.2639792179428011E-4</v>
      </c>
      <c r="G22" s="16">
        <v>-6.6666666666661059E-7</v>
      </c>
      <c r="H22" s="16">
        <v>3.0000000000001813E-6</v>
      </c>
      <c r="I22" s="18">
        <v>8.6396392203882497E-2</v>
      </c>
      <c r="J22" s="18">
        <v>4.5568466621094365E-4</v>
      </c>
      <c r="K22" s="18">
        <v>-2.0505809979495426E-3</v>
      </c>
    </row>
    <row r="23" spans="1:11" x14ac:dyDescent="0.3">
      <c r="A23" s="12">
        <v>41</v>
      </c>
      <c r="B23" s="12">
        <v>1.521E-3</v>
      </c>
      <c r="C23" s="15">
        <v>1.7150723717214865E-3</v>
      </c>
      <c r="D23" s="16">
        <v>1.5166666666666668E-3</v>
      </c>
      <c r="E23" s="16">
        <v>1.5385999999999998E-3</v>
      </c>
      <c r="F23" s="16">
        <v>-1.9407237172148649E-4</v>
      </c>
      <c r="G23" s="16">
        <v>4.3333333333331857E-6</v>
      </c>
      <c r="H23" s="16">
        <v>-1.7599999999999777E-5</v>
      </c>
      <c r="I23" s="18">
        <v>0.12759524768013575</v>
      </c>
      <c r="J23" s="18">
        <v>-2.849002849002752E-3</v>
      </c>
      <c r="K23" s="18">
        <v>1.1571334648257579E-2</v>
      </c>
    </row>
    <row r="24" spans="1:11" x14ac:dyDescent="0.3">
      <c r="A24" s="10">
        <v>42</v>
      </c>
      <c r="B24" s="10">
        <v>1.5659999999999999E-3</v>
      </c>
      <c r="C24" s="15">
        <v>1.8506839602015586E-3</v>
      </c>
      <c r="D24" s="16">
        <v>1.6076666666666667E-3</v>
      </c>
      <c r="E24" s="16">
        <v>1.6148E-3</v>
      </c>
      <c r="F24" s="16">
        <v>-2.8468396020155866E-4</v>
      </c>
      <c r="G24" s="16">
        <v>-4.1666666666666848E-5</v>
      </c>
      <c r="H24" s="16">
        <v>-4.8800000000000102E-5</v>
      </c>
      <c r="I24" s="18">
        <v>0.18179052375578458</v>
      </c>
      <c r="J24" s="18">
        <v>2.6607066836952013E-2</v>
      </c>
      <c r="K24" s="18">
        <v>3.1162196679438127E-2</v>
      </c>
    </row>
    <row r="25" spans="1:11" x14ac:dyDescent="0.3">
      <c r="A25" s="12">
        <v>43</v>
      </c>
      <c r="B25" s="12">
        <v>1.7359999999999999E-3</v>
      </c>
      <c r="C25" s="15">
        <v>1.9970184215080569E-3</v>
      </c>
      <c r="D25" s="16">
        <v>1.6966666666666666E-3</v>
      </c>
      <c r="E25" s="16">
        <v>1.7208000000000002E-3</v>
      </c>
      <c r="F25" s="16">
        <v>-2.6101842150805699E-4</v>
      </c>
      <c r="G25" s="16">
        <v>3.9333333333333277E-5</v>
      </c>
      <c r="H25" s="16">
        <v>1.5199999999999719E-5</v>
      </c>
      <c r="I25" s="18">
        <v>0.15035623358759043</v>
      </c>
      <c r="J25" s="18">
        <v>-2.2657450076804884E-2</v>
      </c>
      <c r="K25" s="18">
        <v>-8.7557603686634327E-3</v>
      </c>
    </row>
    <row r="26" spans="1:11" x14ac:dyDescent="0.3">
      <c r="A26" s="10">
        <v>44</v>
      </c>
      <c r="B26" s="10">
        <v>1.7880000000000001E-3</v>
      </c>
      <c r="C26" s="15">
        <v>2.1549236182974154E-3</v>
      </c>
      <c r="D26" s="16">
        <v>1.8390000000000001E-3</v>
      </c>
      <c r="E26" s="16">
        <v>1.8492000000000001E-3</v>
      </c>
      <c r="F26" s="16">
        <v>-3.6692361829741534E-4</v>
      </c>
      <c r="G26" s="16">
        <v>-5.1000000000000047E-5</v>
      </c>
      <c r="H26" s="16">
        <v>-6.119999999999997E-5</v>
      </c>
      <c r="I26" s="18">
        <v>0.20521455162047836</v>
      </c>
      <c r="J26" s="18">
        <v>2.8523489932885931E-2</v>
      </c>
      <c r="K26" s="18">
        <v>3.4228187919463068E-2</v>
      </c>
    </row>
    <row r="27" spans="1:11" x14ac:dyDescent="0.3">
      <c r="A27" s="12">
        <v>45</v>
      </c>
      <c r="B27" s="12">
        <v>1.993E-3</v>
      </c>
      <c r="C27" s="15">
        <v>2.3253144541297305E-3</v>
      </c>
      <c r="D27" s="16">
        <v>1.9813333333333332E-3</v>
      </c>
      <c r="E27" s="16">
        <v>2.0022E-3</v>
      </c>
      <c r="F27" s="16">
        <v>-3.3231445412973057E-4</v>
      </c>
      <c r="G27" s="16">
        <v>1.166666666666677E-5</v>
      </c>
      <c r="H27" s="16">
        <v>-9.2000000000000068E-6</v>
      </c>
      <c r="I27" s="18">
        <v>0.16674081993463652</v>
      </c>
      <c r="J27" s="18">
        <v>-5.8538217093159909E-3</v>
      </c>
      <c r="K27" s="18">
        <v>4.6161565479177153E-3</v>
      </c>
    </row>
    <row r="28" spans="1:11" x14ac:dyDescent="0.3">
      <c r="A28" s="10">
        <v>46</v>
      </c>
      <c r="B28" s="10">
        <v>2.163E-3</v>
      </c>
      <c r="C28" s="15">
        <v>2.5091781744249184E-3</v>
      </c>
      <c r="D28" s="16">
        <v>2.1623333333333334E-3</v>
      </c>
      <c r="E28" s="16">
        <v>2.1662000000000001E-3</v>
      </c>
      <c r="F28" s="16">
        <v>-3.4617817442491846E-4</v>
      </c>
      <c r="G28" s="16">
        <v>6.6666666666661059E-7</v>
      </c>
      <c r="H28" s="16">
        <v>-3.2000000000000778E-6</v>
      </c>
      <c r="I28" s="18">
        <v>0.16004538808364238</v>
      </c>
      <c r="J28" s="18">
        <v>-3.0821390044688421E-4</v>
      </c>
      <c r="K28" s="18">
        <v>1.4794267221452048E-3</v>
      </c>
    </row>
    <row r="29" spans="1:11" x14ac:dyDescent="0.3">
      <c r="A29" s="12">
        <v>47</v>
      </c>
      <c r="B29" s="12">
        <v>2.3310000000000002E-3</v>
      </c>
      <c r="C29" s="15">
        <v>2.7075800865679861E-3</v>
      </c>
      <c r="D29" s="16">
        <v>2.3500000000000001E-3</v>
      </c>
      <c r="E29" s="16">
        <v>2.3517999999999998E-3</v>
      </c>
      <c r="F29" s="16">
        <v>-3.7658008656798591E-4</v>
      </c>
      <c r="G29" s="16">
        <v>-1.899999999999992E-5</v>
      </c>
      <c r="H29" s="16">
        <v>-2.0799999999999638E-5</v>
      </c>
      <c r="I29" s="18">
        <v>0.16155301869068464</v>
      </c>
      <c r="J29" s="18">
        <v>8.1510081510081153E-3</v>
      </c>
      <c r="K29" s="18">
        <v>8.9232089232087666E-3</v>
      </c>
    </row>
    <row r="30" spans="1:11" x14ac:dyDescent="0.3">
      <c r="A30" s="10">
        <v>48</v>
      </c>
      <c r="B30" s="10">
        <v>2.5560000000000001E-3</v>
      </c>
      <c r="C30" s="15">
        <v>2.921669732305759E-3</v>
      </c>
      <c r="D30" s="16">
        <v>2.5343333333333333E-3</v>
      </c>
      <c r="E30" s="16">
        <v>2.5530000000000001E-3</v>
      </c>
      <c r="F30" s="16">
        <v>-3.6566973230575889E-4</v>
      </c>
      <c r="G30" s="16">
        <v>2.1666666666666796E-5</v>
      </c>
      <c r="H30" s="16">
        <v>2.9999999999999645E-6</v>
      </c>
      <c r="I30" s="18">
        <v>0.14306327554998391</v>
      </c>
      <c r="J30" s="18">
        <v>-8.476786645800781E-3</v>
      </c>
      <c r="K30" s="18">
        <v>-1.1737089201877796E-3</v>
      </c>
    </row>
    <row r="31" spans="1:11" x14ac:dyDescent="0.3">
      <c r="A31" s="12">
        <v>49</v>
      </c>
      <c r="B31" s="12">
        <v>2.7160000000000001E-3</v>
      </c>
      <c r="C31" s="15">
        <v>3.1526875481979453E-3</v>
      </c>
      <c r="D31" s="16">
        <v>2.7570000000000003E-3</v>
      </c>
      <c r="E31" s="16">
        <v>2.7660000000000002E-3</v>
      </c>
      <c r="F31" s="16">
        <v>-4.3668754819794521E-4</v>
      </c>
      <c r="G31" s="16">
        <v>-4.1000000000000238E-5</v>
      </c>
      <c r="H31" s="16">
        <v>-5.0000000000000131E-5</v>
      </c>
      <c r="I31" s="18">
        <v>0.16078333880631265</v>
      </c>
      <c r="J31" s="18">
        <v>1.5095729013254873E-2</v>
      </c>
      <c r="K31" s="18">
        <v>1.840942562592052E-2</v>
      </c>
    </row>
    <row r="32" spans="1:11" x14ac:dyDescent="0.3">
      <c r="A32" s="10">
        <v>50</v>
      </c>
      <c r="B32" s="10">
        <v>2.9989999999999999E-3</v>
      </c>
      <c r="C32" s="15">
        <v>3.4019720527132418E-3</v>
      </c>
      <c r="D32" s="16">
        <v>2.9809999999999997E-3</v>
      </c>
      <c r="E32" s="16">
        <v>3.0064000000000002E-3</v>
      </c>
      <c r="F32" s="16">
        <v>-4.029720527132419E-4</v>
      </c>
      <c r="G32" s="16">
        <v>1.8000000000000221E-5</v>
      </c>
      <c r="H32" s="16">
        <v>-7.4000000000002883E-6</v>
      </c>
      <c r="I32" s="18">
        <v>0.1343688071734718</v>
      </c>
      <c r="J32" s="18">
        <v>-6.0020006668890366E-3</v>
      </c>
      <c r="K32" s="18">
        <v>2.4674891630544478E-3</v>
      </c>
    </row>
    <row r="33" spans="1:11" x14ac:dyDescent="0.3">
      <c r="A33" s="12">
        <v>51</v>
      </c>
      <c r="B33" s="12">
        <v>3.228E-3</v>
      </c>
      <c r="C33" s="15">
        <v>3.6709676016125465E-3</v>
      </c>
      <c r="D33" s="16">
        <v>3.2533333333333333E-3</v>
      </c>
      <c r="E33" s="16">
        <v>3.2731999999999995E-3</v>
      </c>
      <c r="F33" s="16">
        <v>-4.4296760161254651E-4</v>
      </c>
      <c r="G33" s="16">
        <v>-2.5333333333333371E-5</v>
      </c>
      <c r="H33" s="16">
        <v>-4.5199999999999581E-5</v>
      </c>
      <c r="I33" s="18">
        <v>0.13722664238306892</v>
      </c>
      <c r="J33" s="18">
        <v>7.8479966955803497E-3</v>
      </c>
      <c r="K33" s="18">
        <v>1.4002478314745843E-2</v>
      </c>
    </row>
    <row r="34" spans="1:11" x14ac:dyDescent="0.3">
      <c r="A34" s="10">
        <v>52</v>
      </c>
      <c r="B34" s="10">
        <v>3.5330000000000001E-3</v>
      </c>
      <c r="C34" s="15">
        <v>3.9612327565540064E-3</v>
      </c>
      <c r="D34" s="16">
        <v>3.5503333333333329E-3</v>
      </c>
      <c r="E34" s="16">
        <v>3.5681999999999997E-3</v>
      </c>
      <c r="F34" s="16">
        <v>-4.2823275655400625E-4</v>
      </c>
      <c r="G34" s="16">
        <v>-1.7333333333332743E-5</v>
      </c>
      <c r="H34" s="16">
        <v>-3.5199999999999555E-5</v>
      </c>
      <c r="I34" s="18">
        <v>0.1212093848157391</v>
      </c>
      <c r="J34" s="18">
        <v>4.9061232191714528E-3</v>
      </c>
      <c r="K34" s="18">
        <v>9.9632040758560868E-3</v>
      </c>
    </row>
    <row r="35" spans="1:11" x14ac:dyDescent="0.3">
      <c r="A35" s="12">
        <v>53</v>
      </c>
      <c r="B35" s="12">
        <v>3.8899999999999998E-3</v>
      </c>
      <c r="C35" s="15">
        <v>4.2744493154076623E-3</v>
      </c>
      <c r="D35" s="16">
        <v>3.871333333333333E-3</v>
      </c>
      <c r="E35" s="16">
        <v>3.8856000000000003E-3</v>
      </c>
      <c r="F35" s="16">
        <v>-3.8444931540766248E-4</v>
      </c>
      <c r="G35" s="16">
        <v>1.8666666666666831E-5</v>
      </c>
      <c r="H35" s="16">
        <v>4.3999999999994564E-6</v>
      </c>
      <c r="I35" s="18">
        <v>9.8830158202483934E-2</v>
      </c>
      <c r="J35" s="18">
        <v>-4.7986289631534269E-3</v>
      </c>
      <c r="K35" s="18">
        <v>-1.1311053984574438E-3</v>
      </c>
    </row>
    <row r="36" spans="1:11" x14ac:dyDescent="0.3">
      <c r="A36" s="10">
        <v>54</v>
      </c>
      <c r="B36" s="10">
        <v>4.1910000000000003E-3</v>
      </c>
      <c r="C36" s="15">
        <v>4.61243205660135E-3</v>
      </c>
      <c r="D36" s="16">
        <v>4.2223333333333331E-3</v>
      </c>
      <c r="E36" s="16">
        <v>4.2393999999999999E-3</v>
      </c>
      <c r="F36" s="16">
        <v>-4.2143205660134971E-4</v>
      </c>
      <c r="G36" s="16">
        <v>-3.1333333333332866E-5</v>
      </c>
      <c r="H36" s="16">
        <v>-4.8399999999999659E-5</v>
      </c>
      <c r="I36" s="18">
        <v>0.10055644395164631</v>
      </c>
      <c r="J36" s="18">
        <v>7.4763381849994905E-3</v>
      </c>
      <c r="K36" s="18">
        <v>1.1548556430446113E-2</v>
      </c>
    </row>
    <row r="37" spans="1:11" x14ac:dyDescent="0.3">
      <c r="A37" s="12">
        <v>55</v>
      </c>
      <c r="B37" s="12">
        <v>4.5859999999999998E-3</v>
      </c>
      <c r="C37" s="15">
        <v>4.9771392539566858E-3</v>
      </c>
      <c r="D37" s="16">
        <v>4.5913333333333336E-3</v>
      </c>
      <c r="E37" s="16">
        <v>4.6371999999999993E-3</v>
      </c>
      <c r="F37" s="16">
        <v>-3.9113925395668596E-4</v>
      </c>
      <c r="G37" s="16">
        <v>-5.3333333333337521E-6</v>
      </c>
      <c r="H37" s="16">
        <v>-5.119999999999951E-5</v>
      </c>
      <c r="I37" s="18">
        <v>8.5289850404859563E-2</v>
      </c>
      <c r="J37" s="18">
        <v>1.162959732519353E-3</v>
      </c>
      <c r="K37" s="18">
        <v>1.1164413432184803E-2</v>
      </c>
    </row>
    <row r="38" spans="1:11" x14ac:dyDescent="0.3">
      <c r="A38" s="10">
        <v>56</v>
      </c>
      <c r="B38" s="10">
        <v>4.9969999999999997E-3</v>
      </c>
      <c r="C38" s="15">
        <v>5.3706840229381268E-3</v>
      </c>
      <c r="D38" s="16">
        <v>5.0350000000000004E-3</v>
      </c>
      <c r="E38" s="16">
        <v>5.0486000000000003E-3</v>
      </c>
      <c r="F38" s="16">
        <v>-3.7368402293812709E-4</v>
      </c>
      <c r="G38" s="16">
        <v>-3.8000000000000707E-5</v>
      </c>
      <c r="H38" s="16">
        <v>-5.1600000000000604E-5</v>
      </c>
      <c r="I38" s="18">
        <v>7.4781673591780493E-2</v>
      </c>
      <c r="J38" s="18">
        <v>7.6045627376427278E-3</v>
      </c>
      <c r="K38" s="18">
        <v>1.032619571743058E-2</v>
      </c>
    </row>
    <row r="39" spans="1:11" x14ac:dyDescent="0.3">
      <c r="A39" s="12">
        <v>57</v>
      </c>
      <c r="B39" s="12">
        <v>5.522E-3</v>
      </c>
      <c r="C39" s="15">
        <v>5.7953465640553448E-3</v>
      </c>
      <c r="D39" s="16">
        <v>5.4886666666666669E-3</v>
      </c>
      <c r="E39" s="16">
        <v>5.4613999999999999E-3</v>
      </c>
      <c r="F39" s="16">
        <v>-2.733465640553448E-4</v>
      </c>
      <c r="G39" s="16">
        <v>3.3333333333333132E-5</v>
      </c>
      <c r="H39" s="16">
        <v>6.0600000000000064E-5</v>
      </c>
      <c r="I39" s="18">
        <v>4.9501369803575661E-2</v>
      </c>
      <c r="J39" s="18">
        <v>-6.0364602197271154E-3</v>
      </c>
      <c r="K39" s="18">
        <v>-1.0974284679463974E-2</v>
      </c>
    </row>
    <row r="40" spans="1:11" x14ac:dyDescent="0.3">
      <c r="A40" s="10">
        <v>58</v>
      </c>
      <c r="B40" s="10">
        <v>5.947E-3</v>
      </c>
      <c r="C40" s="15">
        <v>6.2535873743572541E-3</v>
      </c>
      <c r="D40" s="16">
        <v>5.9080000000000001E-3</v>
      </c>
      <c r="E40" s="16">
        <v>5.9433999999999997E-3</v>
      </c>
      <c r="F40" s="16">
        <v>-3.0658737435725406E-4</v>
      </c>
      <c r="G40" s="16">
        <v>3.8999999999999972E-5</v>
      </c>
      <c r="H40" s="16">
        <v>3.6000000000003043E-6</v>
      </c>
      <c r="I40" s="18">
        <v>5.1553283059904836E-2</v>
      </c>
      <c r="J40" s="18">
        <v>-6.5579283672439837E-3</v>
      </c>
      <c r="K40" s="18">
        <v>-6.0534723389949624E-4</v>
      </c>
    </row>
    <row r="41" spans="1:11" x14ac:dyDescent="0.3">
      <c r="A41" s="12">
        <v>59</v>
      </c>
      <c r="B41" s="12">
        <v>6.2550000000000001E-3</v>
      </c>
      <c r="C41" s="15">
        <v>6.7480615035651528E-3</v>
      </c>
      <c r="D41" s="16">
        <v>6.3993333333333333E-3</v>
      </c>
      <c r="E41" s="16">
        <v>6.4381999999999998E-3</v>
      </c>
      <c r="F41" s="16">
        <v>-4.9306150356515262E-4</v>
      </c>
      <c r="G41" s="16">
        <v>-1.4433333333333312E-4</v>
      </c>
      <c r="H41" s="16">
        <v>-1.8319999999999968E-4</v>
      </c>
      <c r="I41" s="18">
        <v>7.8826779147106729E-2</v>
      </c>
      <c r="J41" s="18">
        <v>2.3074873434585631E-2</v>
      </c>
      <c r="K41" s="18">
        <v>2.9288569144684203E-2</v>
      </c>
    </row>
    <row r="42" spans="1:11" x14ac:dyDescent="0.3">
      <c r="A42" s="10">
        <v>60</v>
      </c>
      <c r="B42" s="10">
        <v>6.9959999999999996E-3</v>
      </c>
      <c r="C42" s="15">
        <v>7.2816339374451016E-3</v>
      </c>
      <c r="D42" s="16">
        <v>6.9073333333333322E-3</v>
      </c>
      <c r="E42" s="16">
        <v>6.9335999999999998E-3</v>
      </c>
      <c r="F42" s="16">
        <v>-2.8563393744510199E-4</v>
      </c>
      <c r="G42" s="16">
        <v>8.8666666666667449E-5</v>
      </c>
      <c r="H42" s="16">
        <v>6.2399999999999782E-5</v>
      </c>
      <c r="I42" s="18">
        <v>4.0828178594211263E-2</v>
      </c>
      <c r="J42" s="18">
        <v>-1.2673908900324106E-2</v>
      </c>
      <c r="K42" s="18">
        <v>-8.9193825042881338E-3</v>
      </c>
    </row>
    <row r="43" spans="1:11" x14ac:dyDescent="0.3">
      <c r="A43" s="12">
        <v>61</v>
      </c>
      <c r="B43" s="12">
        <v>7.4710000000000002E-3</v>
      </c>
      <c r="C43" s="15">
        <v>7.8573961975508741E-3</v>
      </c>
      <c r="D43" s="16">
        <v>7.4886666666666669E-3</v>
      </c>
      <c r="E43" s="16">
        <v>7.4507999999999987E-3</v>
      </c>
      <c r="F43" s="16">
        <v>-3.8639619755087388E-4</v>
      </c>
      <c r="G43" s="16">
        <v>-1.7666666666666699E-5</v>
      </c>
      <c r="H43" s="16">
        <v>2.0200000000001467E-5</v>
      </c>
      <c r="I43" s="18">
        <v>5.1719474976693061E-2</v>
      </c>
      <c r="J43" s="18">
        <v>2.3646990585820772E-3</v>
      </c>
      <c r="K43" s="18">
        <v>-2.7037879801902645E-3</v>
      </c>
    </row>
    <row r="44" spans="1:11" x14ac:dyDescent="0.3">
      <c r="A44" s="10">
        <v>62</v>
      </c>
      <c r="B44" s="10">
        <v>7.9989999999999992E-3</v>
      </c>
      <c r="C44" s="15">
        <v>8.4786842535164702E-3</v>
      </c>
      <c r="D44" s="16">
        <v>8.0009999999999994E-3</v>
      </c>
      <c r="E44" s="16">
        <v>8.0076000000000001E-3</v>
      </c>
      <c r="F44" s="16">
        <v>-4.7968425351647102E-4</v>
      </c>
      <c r="G44" s="16">
        <v>-2.0000000000002655E-6</v>
      </c>
      <c r="H44" s="16">
        <v>-8.600000000000968E-6</v>
      </c>
      <c r="I44" s="18">
        <v>5.9968027693020509E-2</v>
      </c>
      <c r="J44" s="18">
        <v>2.5003125390677154E-4</v>
      </c>
      <c r="K44" s="18">
        <v>1.0751343917990959E-3</v>
      </c>
    </row>
    <row r="45" spans="1:11" x14ac:dyDescent="0.3">
      <c r="A45" s="12">
        <v>63</v>
      </c>
      <c r="B45" s="12">
        <v>8.5330000000000007E-3</v>
      </c>
      <c r="C45" s="15">
        <v>9.1490978516821451E-3</v>
      </c>
      <c r="D45" s="16">
        <v>8.5236666666666655E-3</v>
      </c>
      <c r="E45" s="16">
        <v>8.5214000000000019E-3</v>
      </c>
      <c r="F45" s="16">
        <v>-6.1609785168214443E-4</v>
      </c>
      <c r="G45" s="16">
        <v>9.3333333333351504E-6</v>
      </c>
      <c r="H45" s="16">
        <v>1.1599999999998764E-5</v>
      </c>
      <c r="I45" s="18">
        <v>7.2201787376320686E-2</v>
      </c>
      <c r="J45" s="18">
        <v>-1.0937927262785832E-3</v>
      </c>
      <c r="K45" s="18">
        <v>-1.3594281026601152E-3</v>
      </c>
    </row>
    <row r="46" spans="1:11" x14ac:dyDescent="0.3">
      <c r="A46" s="10">
        <v>64</v>
      </c>
      <c r="B46" s="10">
        <v>9.0390000000000002E-3</v>
      </c>
      <c r="C46" s="15">
        <v>9.8725213720440644E-3</v>
      </c>
      <c r="D46" s="16">
        <v>9.0456666666666671E-3</v>
      </c>
      <c r="E46" s="16">
        <v>9.0952000000000012E-3</v>
      </c>
      <c r="F46" s="16">
        <v>-8.3352137204406422E-4</v>
      </c>
      <c r="G46" s="16">
        <v>-6.6666666666669733E-6</v>
      </c>
      <c r="H46" s="16">
        <v>-5.6200000000001041E-5</v>
      </c>
      <c r="I46" s="18">
        <v>9.2213892249592228E-2</v>
      </c>
      <c r="J46" s="18">
        <v>7.3754471364829879E-4</v>
      </c>
      <c r="K46" s="18">
        <v>6.2175019360549881E-3</v>
      </c>
    </row>
    <row r="47" spans="1:11" x14ac:dyDescent="0.3">
      <c r="A47" s="12">
        <v>65</v>
      </c>
      <c r="B47" s="12">
        <v>9.5650000000000006E-3</v>
      </c>
      <c r="C47" s="15">
        <v>1.0653146334372922E-2</v>
      </c>
      <c r="D47" s="16">
        <v>9.6480000000000021E-3</v>
      </c>
      <c r="E47" s="16">
        <v>9.7256000000000009E-3</v>
      </c>
      <c r="F47" s="16">
        <v>-1.0881463343729216E-3</v>
      </c>
      <c r="G47" s="16">
        <v>-8.3000000000001475E-5</v>
      </c>
      <c r="H47" s="16">
        <v>-1.6060000000000033E-4</v>
      </c>
      <c r="I47" s="18">
        <v>0.11376333866941156</v>
      </c>
      <c r="J47" s="18">
        <v>8.6774699424988465E-3</v>
      </c>
      <c r="K47" s="18">
        <v>1.6790381599581843E-2</v>
      </c>
    </row>
    <row r="48" spans="1:11" x14ac:dyDescent="0.3">
      <c r="A48" s="10">
        <v>66</v>
      </c>
      <c r="B48" s="10">
        <v>1.034E-2</v>
      </c>
      <c r="C48" s="15">
        <v>1.1495495683902046E-2</v>
      </c>
      <c r="D48" s="16">
        <v>1.0352E-2</v>
      </c>
      <c r="E48" s="16">
        <v>1.0434800000000001E-2</v>
      </c>
      <c r="F48" s="16">
        <v>-1.1554956839020455E-3</v>
      </c>
      <c r="G48" s="16">
        <v>-1.1999999999999858E-5</v>
      </c>
      <c r="H48" s="16">
        <v>-9.4800000000000786E-5</v>
      </c>
      <c r="I48" s="18">
        <v>0.11175006614139706</v>
      </c>
      <c r="J48" s="18">
        <v>1.1605415860734872E-3</v>
      </c>
      <c r="K48" s="18">
        <v>9.1682785299807331E-3</v>
      </c>
    </row>
    <row r="49" spans="1:11" x14ac:dyDescent="0.3">
      <c r="A49" s="12">
        <v>67</v>
      </c>
      <c r="B49" s="12">
        <v>1.1150999999999999E-2</v>
      </c>
      <c r="C49" s="15">
        <v>1.2404449997296419E-2</v>
      </c>
      <c r="D49" s="16">
        <v>1.119E-2</v>
      </c>
      <c r="E49" s="16">
        <v>1.12412E-2</v>
      </c>
      <c r="F49" s="16">
        <v>-1.2534499972964193E-3</v>
      </c>
      <c r="G49" s="16">
        <v>-3.900000000000084E-5</v>
      </c>
      <c r="H49" s="16">
        <v>-9.0200000000000349E-5</v>
      </c>
      <c r="I49" s="18">
        <v>0.11240695877467666</v>
      </c>
      <c r="J49" s="18">
        <v>3.4974441754103526E-3</v>
      </c>
      <c r="K49" s="18">
        <v>8.0889606313335437E-3</v>
      </c>
    </row>
    <row r="50" spans="1:11" x14ac:dyDescent="0.3">
      <c r="A50" s="10">
        <v>68</v>
      </c>
      <c r="B50" s="10">
        <v>1.2078999999999999E-2</v>
      </c>
      <c r="C50" s="15">
        <v>1.3385275760740155E-2</v>
      </c>
      <c r="D50" s="16">
        <v>1.2100333333333333E-2</v>
      </c>
      <c r="E50" s="16">
        <v>1.2245000000000001E-2</v>
      </c>
      <c r="F50" s="16">
        <v>-1.3062757607401557E-3</v>
      </c>
      <c r="G50" s="16">
        <v>-2.1333333333333274E-5</v>
      </c>
      <c r="H50" s="16">
        <v>-1.6600000000000122E-4</v>
      </c>
      <c r="I50" s="18">
        <v>0.10814436300522856</v>
      </c>
      <c r="J50" s="18">
        <v>1.7661506195325171E-3</v>
      </c>
      <c r="K50" s="18">
        <v>1.3742859508237538E-2</v>
      </c>
    </row>
    <row r="51" spans="1:11" x14ac:dyDescent="0.3">
      <c r="A51" s="12">
        <v>69</v>
      </c>
      <c r="B51" s="12">
        <v>1.3070999999999999E-2</v>
      </c>
      <c r="C51" s="15">
        <v>1.4443655883985791E-2</v>
      </c>
      <c r="D51" s="16">
        <v>1.3244666666666667E-2</v>
      </c>
      <c r="E51" s="16">
        <v>1.3406599999999999E-2</v>
      </c>
      <c r="F51" s="16">
        <v>-1.3726558839857912E-3</v>
      </c>
      <c r="G51" s="16">
        <v>-1.7366666666666745E-4</v>
      </c>
      <c r="H51" s="16">
        <v>-3.3560000000000013E-4</v>
      </c>
      <c r="I51" s="18">
        <v>0.10501536867766745</v>
      </c>
      <c r="J51" s="18">
        <v>1.3286410119093218E-2</v>
      </c>
      <c r="K51" s="18">
        <v>2.5675158748374276E-2</v>
      </c>
    </row>
    <row r="52" spans="1:11" x14ac:dyDescent="0.3">
      <c r="A52" s="10">
        <v>70</v>
      </c>
      <c r="B52" s="10">
        <v>1.4584E-2</v>
      </c>
      <c r="C52" s="15">
        <v>1.5585722627163977E-2</v>
      </c>
      <c r="D52" s="16">
        <v>1.4600999999999998E-2</v>
      </c>
      <c r="E52" s="16">
        <v>1.4622200000000002E-2</v>
      </c>
      <c r="F52" s="16">
        <v>-1.001722627163977E-3</v>
      </c>
      <c r="G52" s="16">
        <v>-1.699999999999792E-5</v>
      </c>
      <c r="H52" s="16">
        <v>-3.8200000000002121E-5</v>
      </c>
      <c r="I52" s="18">
        <v>6.8686411626712629E-2</v>
      </c>
      <c r="J52" s="18">
        <v>1.1656609983542183E-3</v>
      </c>
      <c r="K52" s="18">
        <v>2.6193088315964153E-3</v>
      </c>
    </row>
    <row r="53" spans="1:11" x14ac:dyDescent="0.3">
      <c r="A53" s="12">
        <v>71</v>
      </c>
      <c r="B53" s="12">
        <v>1.6147999999999999E-2</v>
      </c>
      <c r="C53" s="15">
        <v>1.6818093131131685E-2</v>
      </c>
      <c r="D53" s="16">
        <v>1.5987000000000001E-2</v>
      </c>
      <c r="E53" s="16">
        <v>1.6221199999999998E-2</v>
      </c>
      <c r="F53" s="16">
        <v>-6.7009313113168545E-4</v>
      </c>
      <c r="G53" s="16">
        <v>1.6099999999999795E-4</v>
      </c>
      <c r="H53" s="16">
        <v>-7.319999999999896E-5</v>
      </c>
      <c r="I53" s="18">
        <v>4.1496973689106112E-2</v>
      </c>
      <c r="J53" s="18">
        <v>-9.9702749566508517E-3</v>
      </c>
      <c r="K53" s="18">
        <v>4.5330691107257227E-3</v>
      </c>
    </row>
    <row r="54" spans="1:11" x14ac:dyDescent="0.3">
      <c r="A54" s="10">
        <v>72</v>
      </c>
      <c r="B54" s="10">
        <v>1.7229000000000001E-2</v>
      </c>
      <c r="C54" s="15">
        <v>1.814790775722195E-2</v>
      </c>
      <c r="D54" s="16">
        <v>1.7817000000000003E-2</v>
      </c>
      <c r="E54" s="16">
        <v>1.7820200000000001E-2</v>
      </c>
      <c r="F54" s="16">
        <v>-9.189077572219484E-4</v>
      </c>
      <c r="G54" s="16">
        <v>-5.8800000000000172E-4</v>
      </c>
      <c r="H54" s="16">
        <v>-5.9120000000000006E-4</v>
      </c>
      <c r="I54" s="18">
        <v>5.3334944408958633E-2</v>
      </c>
      <c r="J54" s="18">
        <v>3.4128504266063134E-2</v>
      </c>
      <c r="K54" s="18">
        <v>3.4314237622613035E-2</v>
      </c>
    </row>
    <row r="55" spans="1:11" x14ac:dyDescent="0.3">
      <c r="A55" s="12">
        <v>73</v>
      </c>
      <c r="B55" s="12">
        <v>2.0074000000000002E-2</v>
      </c>
      <c r="C55" s="15">
        <v>1.9582871458535853E-2</v>
      </c>
      <c r="D55" s="16">
        <v>1.9456333333333336E-2</v>
      </c>
      <c r="E55" s="16">
        <v>1.9665599999999998E-2</v>
      </c>
      <c r="F55" s="16">
        <v>4.9112854146414822E-4</v>
      </c>
      <c r="G55" s="16">
        <v>6.1766666666666567E-4</v>
      </c>
      <c r="H55" s="16">
        <v>4.084000000000032E-4</v>
      </c>
      <c r="I55" s="18">
        <v>-2.4465903231251779E-2</v>
      </c>
      <c r="J55" s="18">
        <v>-3.0769486234266494E-2</v>
      </c>
      <c r="K55" s="18">
        <v>-2.0344724519278826E-2</v>
      </c>
    </row>
    <row r="56" spans="1:11" x14ac:dyDescent="0.3">
      <c r="A56" s="10">
        <v>74</v>
      </c>
      <c r="B56" s="10">
        <v>2.1066000000000001E-2</v>
      </c>
      <c r="C56" s="15">
        <v>2.1131298422482285E-2</v>
      </c>
      <c r="D56" s="16">
        <v>2.1650333333333337E-2</v>
      </c>
      <c r="E56" s="16">
        <v>2.1622599999999999E-2</v>
      </c>
      <c r="F56" s="16">
        <v>-6.5298422482283625E-5</v>
      </c>
      <c r="G56" s="16">
        <v>-5.8433333333333601E-4</v>
      </c>
      <c r="H56" s="16">
        <v>-5.5659999999999737E-4</v>
      </c>
      <c r="I56" s="18">
        <v>3.099706754119606E-3</v>
      </c>
      <c r="J56" s="18">
        <v>2.7738219563910375E-2</v>
      </c>
      <c r="K56" s="18">
        <v>2.6421722206398809E-2</v>
      </c>
    </row>
    <row r="57" spans="1:11" x14ac:dyDescent="0.3">
      <c r="A57" s="12">
        <v>75</v>
      </c>
      <c r="B57" s="12">
        <v>2.3810999999999999E-2</v>
      </c>
      <c r="C57" s="15">
        <v>2.2802160243224512E-2</v>
      </c>
      <c r="D57" s="16">
        <v>2.3603333333333334E-2</v>
      </c>
      <c r="E57" s="16">
        <v>2.3950200000000001E-2</v>
      </c>
      <c r="F57" s="16">
        <v>1.008839756775487E-3</v>
      </c>
      <c r="G57" s="16">
        <v>2.0766666666666503E-4</v>
      </c>
      <c r="H57" s="16">
        <v>-1.3920000000000252E-4</v>
      </c>
      <c r="I57" s="18">
        <v>-4.2368642928708879E-2</v>
      </c>
      <c r="J57" s="18">
        <v>-8.7214592695252207E-3</v>
      </c>
      <c r="K57" s="18">
        <v>5.846037545672274E-3</v>
      </c>
    </row>
    <row r="58" spans="1:11" x14ac:dyDescent="0.3">
      <c r="A58" s="10">
        <v>76</v>
      </c>
      <c r="B58" s="10">
        <v>2.5933000000000001E-2</v>
      </c>
      <c r="C58" s="15">
        <v>2.4605137903145072E-2</v>
      </c>
      <c r="D58" s="16">
        <v>2.6203666666666667E-2</v>
      </c>
      <c r="E58" s="16">
        <v>2.6308399999999999E-2</v>
      </c>
      <c r="F58" s="16">
        <v>1.3278620968549294E-3</v>
      </c>
      <c r="G58" s="16">
        <v>-2.7066666666666558E-4</v>
      </c>
      <c r="H58" s="16">
        <v>-3.7539999999999796E-4</v>
      </c>
      <c r="I58" s="18">
        <v>-5.120356676261633E-2</v>
      </c>
      <c r="J58" s="18">
        <v>1.0437152148485156E-2</v>
      </c>
      <c r="K58" s="18">
        <v>1.4475764469980255E-2</v>
      </c>
    </row>
    <row r="59" spans="1:11" x14ac:dyDescent="0.3">
      <c r="A59" s="12">
        <v>77</v>
      </c>
      <c r="B59" s="12">
        <v>2.8867E-2</v>
      </c>
      <c r="C59" s="15">
        <v>2.6550677864509788E-2</v>
      </c>
      <c r="D59" s="16">
        <v>2.8888333333333332E-2</v>
      </c>
      <c r="E59" s="16">
        <v>2.9154799999999998E-2</v>
      </c>
      <c r="F59" s="16">
        <v>2.3163221354902119E-3</v>
      </c>
      <c r="G59" s="16">
        <v>-2.1333333333331539E-5</v>
      </c>
      <c r="H59" s="16">
        <v>-2.8779999999999778E-4</v>
      </c>
      <c r="I59" s="18">
        <v>-8.0241179737770188E-2</v>
      </c>
      <c r="J59" s="18">
        <v>7.3902148935918314E-4</v>
      </c>
      <c r="K59" s="18">
        <v>9.9698617798869918E-3</v>
      </c>
    </row>
    <row r="60" spans="1:11" x14ac:dyDescent="0.3">
      <c r="A60" s="10">
        <v>78</v>
      </c>
      <c r="B60" s="10">
        <v>3.1864999999999997E-2</v>
      </c>
      <c r="C60" s="15">
        <v>2.8650052596326386E-2</v>
      </c>
      <c r="D60" s="16">
        <v>3.2010000000000004E-2</v>
      </c>
      <c r="E60" s="16">
        <v>3.2349200000000002E-2</v>
      </c>
      <c r="F60" s="16">
        <v>3.2149474036736111E-3</v>
      </c>
      <c r="G60" s="16">
        <v>-1.4500000000000624E-4</v>
      </c>
      <c r="H60" s="16">
        <v>-4.8420000000000407E-4</v>
      </c>
      <c r="I60" s="18">
        <v>-0.10089274764392316</v>
      </c>
      <c r="J60" s="18">
        <v>4.5504471991214893E-3</v>
      </c>
      <c r="K60" s="18">
        <v>1.5195355405617578E-2</v>
      </c>
    </row>
    <row r="61" spans="1:11" x14ac:dyDescent="0.3">
      <c r="A61" s="12">
        <v>79</v>
      </c>
      <c r="B61" s="12">
        <v>3.5298000000000003E-2</v>
      </c>
      <c r="C61" s="15">
        <v>3.0915425887090564E-2</v>
      </c>
      <c r="D61" s="16">
        <v>3.5648666666666669E-2</v>
      </c>
      <c r="E61" s="16">
        <v>3.5956600000000005E-2</v>
      </c>
      <c r="F61" s="16">
        <v>4.3825741129094389E-3</v>
      </c>
      <c r="G61" s="16">
        <v>-3.5066666666666579E-4</v>
      </c>
      <c r="H61" s="16">
        <v>-6.5860000000000224E-4</v>
      </c>
      <c r="I61" s="18">
        <v>-0.12415927567877609</v>
      </c>
      <c r="J61" s="18">
        <v>9.9344627646514184E-3</v>
      </c>
      <c r="K61" s="18">
        <v>1.8658280922431929E-2</v>
      </c>
    </row>
    <row r="62" spans="1:11" x14ac:dyDescent="0.3">
      <c r="A62" s="10">
        <v>80</v>
      </c>
      <c r="B62" s="10">
        <v>3.9782999999999999E-2</v>
      </c>
      <c r="C62" s="15">
        <v>3.3359923321842025E-2</v>
      </c>
      <c r="D62" s="16">
        <v>3.9683666666666673E-2</v>
      </c>
      <c r="E62" s="16">
        <v>4.01626E-2</v>
      </c>
      <c r="F62" s="16">
        <v>6.423076678157974E-3</v>
      </c>
      <c r="G62" s="16">
        <v>9.9333333333326279E-5</v>
      </c>
      <c r="H62" s="16">
        <v>-3.7960000000000077E-4</v>
      </c>
      <c r="I62" s="18">
        <v>-0.161452798385189</v>
      </c>
      <c r="J62" s="18">
        <v>-2.496878901373106E-3</v>
      </c>
      <c r="K62" s="18">
        <v>9.541764070080205E-3</v>
      </c>
    </row>
    <row r="63" spans="1:11" x14ac:dyDescent="0.3">
      <c r="A63" s="12">
        <v>81</v>
      </c>
      <c r="B63" s="12">
        <v>4.3970000000000002E-2</v>
      </c>
      <c r="C63" s="15">
        <v>3.599770833187485E-2</v>
      </c>
      <c r="D63" s="16">
        <v>4.4549999999999999E-2</v>
      </c>
      <c r="E63" s="16">
        <v>4.5027000000000005E-2</v>
      </c>
      <c r="F63" s="16">
        <v>7.9722916681251518E-3</v>
      </c>
      <c r="G63" s="16">
        <v>-5.7999999999999718E-4</v>
      </c>
      <c r="H63" s="16">
        <v>-1.0570000000000024E-3</v>
      </c>
      <c r="I63" s="18">
        <v>-0.18131206886798162</v>
      </c>
      <c r="J63" s="18">
        <v>1.319081191721622E-2</v>
      </c>
      <c r="K63" s="18">
        <v>2.403911758016835E-2</v>
      </c>
    </row>
    <row r="64" spans="1:11" x14ac:dyDescent="0.3">
      <c r="A64" s="10">
        <v>82</v>
      </c>
      <c r="B64" s="10">
        <v>4.9896999999999997E-2</v>
      </c>
      <c r="C64" s="15">
        <v>3.8844064257734637E-2</v>
      </c>
      <c r="D64" s="16">
        <v>5.0018000000000007E-2</v>
      </c>
      <c r="E64" s="16">
        <v>5.0256999999999996E-2</v>
      </c>
      <c r="F64" s="16">
        <v>1.105293574226536E-2</v>
      </c>
      <c r="G64" s="16">
        <v>-1.2100000000000999E-4</v>
      </c>
      <c r="H64" s="16">
        <v>-3.5999999999999921E-4</v>
      </c>
      <c r="I64" s="18">
        <v>-0.22151503581909454</v>
      </c>
      <c r="J64" s="18">
        <v>2.4249954907110648E-3</v>
      </c>
      <c r="K64" s="18">
        <v>7.2148626169909859E-3</v>
      </c>
    </row>
    <row r="65" spans="1:11" x14ac:dyDescent="0.3">
      <c r="A65" s="12">
        <v>83</v>
      </c>
      <c r="B65" s="12">
        <v>5.6187000000000001E-2</v>
      </c>
      <c r="C65" s="15">
        <v>4.1915482900975895E-2</v>
      </c>
      <c r="D65" s="16">
        <v>5.5844000000000005E-2</v>
      </c>
      <c r="E65" s="16">
        <v>5.2875500000000006E-2</v>
      </c>
      <c r="F65" s="16">
        <v>1.4271517099024106E-2</v>
      </c>
      <c r="G65" s="16">
        <v>3.4299999999999609E-4</v>
      </c>
      <c r="H65" s="16">
        <v>3.311499999999995E-3</v>
      </c>
      <c r="I65" s="18">
        <v>-0.25400033991891552</v>
      </c>
      <c r="J65" s="18">
        <v>-6.1046149465178081E-3</v>
      </c>
      <c r="K65" s="18">
        <v>-5.8937120686279654E-2</v>
      </c>
    </row>
    <row r="66" spans="1:11" x14ac:dyDescent="0.3">
      <c r="A66" s="10">
        <v>84</v>
      </c>
      <c r="B66" s="10">
        <v>6.1448000000000003E-2</v>
      </c>
      <c r="C66" s="15">
        <v>4.5229760077748982E-2</v>
      </c>
      <c r="D66" s="16">
        <v>5.8817500000000002E-2</v>
      </c>
      <c r="E66" s="16">
        <v>5.5844000000000005E-2</v>
      </c>
      <c r="F66" s="16">
        <v>1.6218239922251021E-2</v>
      </c>
      <c r="G66" s="16">
        <v>2.6305000000000009E-3</v>
      </c>
      <c r="H66" s="16">
        <v>5.6039999999999979E-3</v>
      </c>
      <c r="I66" s="18">
        <v>-0.2639343822785285</v>
      </c>
      <c r="J66" s="18">
        <v>-4.2808553573753433E-2</v>
      </c>
      <c r="K66" s="18">
        <v>-9.1199062622054378E-2</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E2FD0-9C7D-4F4D-A81F-E710D2CAA34A}">
  <dimension ref="A1:Q66"/>
  <sheetViews>
    <sheetView tabSelected="1" topLeftCell="A55" zoomScaleNormal="100" workbookViewId="0">
      <selection activeCell="S3" sqref="S3"/>
    </sheetView>
  </sheetViews>
  <sheetFormatPr defaultRowHeight="14.4" x14ac:dyDescent="0.3"/>
  <cols>
    <col min="1" max="1" width="4" bestFit="1" customWidth="1"/>
    <col min="3" max="3" width="12.6640625" bestFit="1" customWidth="1"/>
    <col min="4" max="4" width="9.6640625" bestFit="1" customWidth="1"/>
    <col min="7" max="7" width="9.6640625" bestFit="1" customWidth="1"/>
    <col min="9" max="9" width="13.5546875" bestFit="1" customWidth="1"/>
    <col min="10" max="10" width="12.6640625" bestFit="1" customWidth="1"/>
    <col min="11" max="11" width="11.44140625" bestFit="1" customWidth="1"/>
    <col min="12" max="12" width="7.44140625" bestFit="1" customWidth="1"/>
    <col min="13" max="13" width="10" bestFit="1" customWidth="1"/>
    <col min="14" max="14" width="9.77734375" bestFit="1" customWidth="1"/>
  </cols>
  <sheetData>
    <row r="1" spans="1:17" x14ac:dyDescent="0.3">
      <c r="A1" s="8" t="s">
        <v>16</v>
      </c>
      <c r="B1" s="8" t="s">
        <v>26</v>
      </c>
      <c r="C1" s="8" t="s">
        <v>27</v>
      </c>
      <c r="D1" s="14" t="s">
        <v>60</v>
      </c>
      <c r="E1" s="14" t="s">
        <v>52</v>
      </c>
      <c r="F1" s="14" t="s">
        <v>61</v>
      </c>
      <c r="G1" s="14" t="s">
        <v>62</v>
      </c>
      <c r="H1" s="14" t="s">
        <v>66</v>
      </c>
      <c r="I1" s="14" t="s">
        <v>67</v>
      </c>
      <c r="J1" s="14" t="s">
        <v>68</v>
      </c>
      <c r="K1" s="14" t="s">
        <v>69</v>
      </c>
      <c r="L1" s="14" t="s">
        <v>70</v>
      </c>
      <c r="M1" s="14" t="s">
        <v>71</v>
      </c>
      <c r="N1" s="14" t="s">
        <v>57</v>
      </c>
      <c r="P1" s="24" t="s">
        <v>28</v>
      </c>
      <c r="Q1" s="24" t="s">
        <v>29</v>
      </c>
    </row>
    <row r="2" spans="1:17" x14ac:dyDescent="0.3">
      <c r="A2" s="10">
        <v>20</v>
      </c>
      <c r="B2" s="10">
        <v>4.1300000000000001E-4</v>
      </c>
      <c r="C2" s="10">
        <v>-7.7920629650032396</v>
      </c>
      <c r="D2" s="16">
        <v>-7.7882268755698307</v>
      </c>
      <c r="E2" s="16">
        <f>(C2-D2)^2</f>
        <v>1.4715582141111041E-5</v>
      </c>
      <c r="F2" s="16">
        <f>D4-2*D3+D2</f>
        <v>-3.8360996064898956E-3</v>
      </c>
      <c r="G2" s="16">
        <f>F2^2</f>
        <v>1.4715660190911932E-5</v>
      </c>
      <c r="H2" s="16">
        <f>EXP(D2)</f>
        <v>4.1458734759310161E-4</v>
      </c>
      <c r="I2" s="16">
        <v>-7.6016279713928245</v>
      </c>
      <c r="J2" s="16">
        <v>-7.7787810208892827</v>
      </c>
      <c r="K2" s="16">
        <v>-7.788229370493724</v>
      </c>
      <c r="L2" s="16">
        <v>-7.788229370493724</v>
      </c>
      <c r="M2" s="23">
        <f>(B2-EXP(K2))/B2</f>
        <v>-3.8409521319917204E-3</v>
      </c>
      <c r="N2" s="18">
        <v>-0.1488114976505773</v>
      </c>
      <c r="P2" s="16" t="s">
        <v>63</v>
      </c>
      <c r="Q2" s="16">
        <v>1</v>
      </c>
    </row>
    <row r="3" spans="1:17" x14ac:dyDescent="0.3">
      <c r="A3" s="12">
        <v>21</v>
      </c>
      <c r="B3" s="12">
        <v>4.5399999999999998E-4</v>
      </c>
      <c r="C3" s="12">
        <v>-7.6974133599229262</v>
      </c>
      <c r="D3" s="16">
        <v>-7.7108553235602759</v>
      </c>
      <c r="E3" s="16">
        <f t="shared" ref="E3:E66" si="0">(C3-D3)^2</f>
        <v>1.8068638642783238E-4</v>
      </c>
      <c r="F3" s="16">
        <f t="shared" ref="F3:F66" si="1">D5-2*D4+D3</f>
        <v>5.7698027738934954E-3</v>
      </c>
      <c r="G3" s="16">
        <f t="shared" ref="G3:G66" si="2">F3^2</f>
        <v>3.3290624049629072E-5</v>
      </c>
      <c r="H3" s="16">
        <f t="shared" ref="H3:H66" si="3">EXP(D3)</f>
        <v>4.4793818115661466E-4</v>
      </c>
      <c r="I3" s="16">
        <v>-7.5839311997502694</v>
      </c>
      <c r="J3" s="16">
        <v>-7.7088512495220547</v>
      </c>
      <c r="K3" s="16">
        <v>-7.7108547136349248</v>
      </c>
      <c r="L3" s="16">
        <v>-7.7108547136349248</v>
      </c>
      <c r="M3" s="23">
        <f t="shared" ref="M3:M66" si="4">(B3-EXP(K3))/B3</f>
        <v>1.3351422102311876E-2</v>
      </c>
      <c r="N3" s="18">
        <v>-8.580797522197256E-2</v>
      </c>
      <c r="P3" s="16" t="s">
        <v>53</v>
      </c>
      <c r="Q3" s="16">
        <f>SUM(E2:E66)</f>
        <v>2.2398032227984035</v>
      </c>
    </row>
    <row r="4" spans="1:17" x14ac:dyDescent="0.3">
      <c r="A4" s="10">
        <v>22</v>
      </c>
      <c r="B4" s="10">
        <v>4.6299999999999998E-4</v>
      </c>
      <c r="C4" s="10">
        <v>-7.6777835038780404</v>
      </c>
      <c r="D4" s="16">
        <v>-7.637319871157211</v>
      </c>
      <c r="E4" s="16">
        <f t="shared" si="0"/>
        <v>1.6373055729661775E-3</v>
      </c>
      <c r="F4" s="16">
        <f t="shared" si="1"/>
        <v>-2.5087980816570266E-2</v>
      </c>
      <c r="G4" s="16">
        <f t="shared" si="2"/>
        <v>6.2940678145259762E-4</v>
      </c>
      <c r="H4" s="16">
        <f t="shared" si="3"/>
        <v>4.8211886272216738E-4</v>
      </c>
      <c r="I4" s="16">
        <v>-7.5658049008515906</v>
      </c>
      <c r="J4" s="16">
        <v>-7.6401600238839915</v>
      </c>
      <c r="K4" s="16">
        <v>-7.6373143774895311</v>
      </c>
      <c r="L4" s="16">
        <v>-7.6373143774895311</v>
      </c>
      <c r="M4" s="23">
        <f t="shared" si="4"/>
        <v>-4.1299160540511137E-2</v>
      </c>
      <c r="N4" s="18">
        <v>-0.10827131840007249</v>
      </c>
      <c r="P4" s="16" t="s">
        <v>64</v>
      </c>
      <c r="Q4" s="16">
        <f>SUM(G2:G66)</f>
        <v>2.3639076441954261</v>
      </c>
    </row>
    <row r="5" spans="1:17" x14ac:dyDescent="0.3">
      <c r="A5" s="12">
        <v>23</v>
      </c>
      <c r="B5" s="12">
        <v>5.5099999999999995E-4</v>
      </c>
      <c r="C5" s="12">
        <v>-7.5037757488113597</v>
      </c>
      <c r="D5" s="16">
        <v>-7.5580146159802526</v>
      </c>
      <c r="E5" s="16">
        <f t="shared" si="0"/>
        <v>2.9418547117648105E-3</v>
      </c>
      <c r="F5" s="16">
        <f t="shared" si="1"/>
        <v>-1.7068505413426749E-3</v>
      </c>
      <c r="G5" s="16">
        <f t="shared" si="2"/>
        <v>2.9133387704817821E-6</v>
      </c>
      <c r="H5" s="16">
        <f t="shared" si="3"/>
        <v>5.2191040853014591E-4</v>
      </c>
      <c r="I5" s="16">
        <v>-7.5424042577448231</v>
      </c>
      <c r="J5" s="16">
        <v>-7.572752803287532</v>
      </c>
      <c r="K5" s="16">
        <v>-7.5580156340521247</v>
      </c>
      <c r="L5" s="16">
        <v>-7.5580156340521247</v>
      </c>
      <c r="M5" s="23">
        <f t="shared" si="4"/>
        <v>5.2795141219401397E-2</v>
      </c>
      <c r="N5" s="18">
        <v>2.8803547899936451E-2</v>
      </c>
      <c r="P5" s="16" t="s">
        <v>65</v>
      </c>
      <c r="Q5" s="16">
        <f>Q3+$Q$2*Q4</f>
        <v>4.6037108669938291</v>
      </c>
    </row>
    <row r="6" spans="1:17" x14ac:dyDescent="0.3">
      <c r="A6" s="10">
        <v>24</v>
      </c>
      <c r="B6" s="10">
        <v>5.4199999999999995E-4</v>
      </c>
      <c r="C6" s="10">
        <v>-7.5202445565246281</v>
      </c>
      <c r="D6" s="16">
        <v>-7.5037973416198644</v>
      </c>
      <c r="E6" s="16">
        <f t="shared" si="0"/>
        <v>2.7051087812347927E-4</v>
      </c>
      <c r="F6" s="16">
        <f t="shared" si="1"/>
        <v>5.2270425573377466E-3</v>
      </c>
      <c r="G6" s="16">
        <f t="shared" si="2"/>
        <v>2.732197389621993E-5</v>
      </c>
      <c r="H6" s="16">
        <f t="shared" si="3"/>
        <v>5.5098810249096459E-4</v>
      </c>
      <c r="I6" s="16">
        <v>-7.5102457506606735</v>
      </c>
      <c r="J6" s="16">
        <v>-7.510355467008953</v>
      </c>
      <c r="K6" s="16">
        <v>-7.503794909784264</v>
      </c>
      <c r="L6" s="16">
        <v>-7.503794909784264</v>
      </c>
      <c r="M6" s="23">
        <f t="shared" si="4"/>
        <v>-1.6585687094237859E-2</v>
      </c>
      <c r="N6" s="18">
        <v>-3.1588800627894167E-2</v>
      </c>
    </row>
    <row r="7" spans="1:17" x14ac:dyDescent="0.3">
      <c r="A7" s="12">
        <v>25</v>
      </c>
      <c r="B7" s="12">
        <v>5.7399999999999997E-4</v>
      </c>
      <c r="C7" s="12">
        <v>-7.4628811616447077</v>
      </c>
      <c r="D7" s="16">
        <v>-7.451286917800819</v>
      </c>
      <c r="E7" s="16">
        <f t="shared" si="0"/>
        <v>1.3442649031155196E-4</v>
      </c>
      <c r="F7" s="16">
        <f t="shared" si="1"/>
        <v>5.6669135388620617E-4</v>
      </c>
      <c r="G7" s="16">
        <f t="shared" si="2"/>
        <v>3.2113909056938138E-7</v>
      </c>
      <c r="H7" s="16">
        <f t="shared" si="3"/>
        <v>5.806938259058336E-4</v>
      </c>
      <c r="I7" s="16">
        <v>-7.4703236254396677</v>
      </c>
      <c r="J7" s="16">
        <v>-7.4498728854563412</v>
      </c>
      <c r="K7" s="16">
        <v>-7.4512883464378046</v>
      </c>
      <c r="L7" s="16">
        <v>-7.4512883464378046</v>
      </c>
      <c r="M7" s="23">
        <f t="shared" si="4"/>
        <v>-1.1660272309667504E-2</v>
      </c>
      <c r="N7" s="18">
        <v>-1.9661483719695547E-2</v>
      </c>
    </row>
    <row r="8" spans="1:17" x14ac:dyDescent="0.3">
      <c r="A8" s="10">
        <v>26</v>
      </c>
      <c r="B8" s="10">
        <v>6.1899999999999998E-4</v>
      </c>
      <c r="C8" s="10">
        <v>-7.3874052852796783</v>
      </c>
      <c r="D8" s="16">
        <v>-7.3935494514244358</v>
      </c>
      <c r="E8" s="16">
        <f t="shared" si="0"/>
        <v>3.7750777614383437E-5</v>
      </c>
      <c r="F8" s="16">
        <f t="shared" si="1"/>
        <v>2.0505096678116175E-3</v>
      </c>
      <c r="G8" s="16">
        <f t="shared" si="2"/>
        <v>4.20458989778891E-6</v>
      </c>
      <c r="H8" s="16">
        <f t="shared" si="3"/>
        <v>6.1520842112957371E-4</v>
      </c>
      <c r="I8" s="16">
        <v>-7.4235209790971464</v>
      </c>
      <c r="J8" s="16">
        <v>-7.3889738741598965</v>
      </c>
      <c r="K8" s="16">
        <v>-7.3935497004328843</v>
      </c>
      <c r="L8" s="16">
        <v>-7.3935497004328843</v>
      </c>
      <c r="M8" s="23">
        <f t="shared" si="4"/>
        <v>6.1255768376439522E-3</v>
      </c>
      <c r="N8" s="18">
        <v>8.3688444017307947E-3</v>
      </c>
    </row>
    <row r="9" spans="1:17" x14ac:dyDescent="0.3">
      <c r="A9" s="12">
        <v>27</v>
      </c>
      <c r="B9" s="12">
        <v>6.5700000000000003E-4</v>
      </c>
      <c r="C9" s="12">
        <v>-7.3278265394796636</v>
      </c>
      <c r="D9" s="16">
        <v>-7.3352452936941663</v>
      </c>
      <c r="E9" s="16">
        <f t="shared" si="0"/>
        <v>5.5037914095202704E-5</v>
      </c>
      <c r="F9" s="16">
        <f t="shared" si="1"/>
        <v>1.0953083964632349E-2</v>
      </c>
      <c r="G9" s="16">
        <f t="shared" si="2"/>
        <v>1.1997004833628629E-4</v>
      </c>
      <c r="H9" s="16">
        <f t="shared" si="3"/>
        <v>6.5214391380840578E-4</v>
      </c>
      <c r="I9" s="16">
        <v>-7.3724722223659018</v>
      </c>
      <c r="J9" s="16">
        <v>-7.3268181557619343</v>
      </c>
      <c r="K9" s="16">
        <v>-7.3352442151468189</v>
      </c>
      <c r="L9" s="16">
        <v>-7.3352442151468189</v>
      </c>
      <c r="M9" s="23">
        <f t="shared" si="4"/>
        <v>7.3902326074986495E-3</v>
      </c>
      <c r="N9" s="18">
        <v>1.8359689662000099E-2</v>
      </c>
    </row>
    <row r="10" spans="1:17" x14ac:dyDescent="0.3">
      <c r="A10" s="10">
        <v>28</v>
      </c>
      <c r="B10" s="10">
        <v>6.8800000000000003E-4</v>
      </c>
      <c r="C10" s="10">
        <v>-7.2817217200309301</v>
      </c>
      <c r="D10" s="16">
        <v>-7.2748906262960853</v>
      </c>
      <c r="E10" s="16">
        <f t="shared" si="0"/>
        <v>4.6663841614235968E-5</v>
      </c>
      <c r="F10" s="16">
        <f t="shared" si="1"/>
        <v>1.3024567327494907E-2</v>
      </c>
      <c r="G10" s="16">
        <f t="shared" si="2"/>
        <v>1.6963935406844781E-4</v>
      </c>
      <c r="H10" s="16">
        <f t="shared" si="3"/>
        <v>6.9271588146532499E-4</v>
      </c>
      <c r="I10" s="16">
        <v>-7.3197666785176478</v>
      </c>
      <c r="J10" s="16">
        <v>-7.2621911019669918</v>
      </c>
      <c r="K10" s="16">
        <v>-7.2748915041816709</v>
      </c>
      <c r="L10" s="16">
        <v>-7.2748915041816709</v>
      </c>
      <c r="M10" s="23">
        <f t="shared" si="4"/>
        <v>-6.8535949713729241E-3</v>
      </c>
      <c r="N10" s="18">
        <v>1.3264982801793638E-2</v>
      </c>
    </row>
    <row r="11" spans="1:17" x14ac:dyDescent="0.3">
      <c r="A11" s="12">
        <v>29</v>
      </c>
      <c r="B11" s="12">
        <v>7.2599999999999997E-4</v>
      </c>
      <c r="C11" s="12">
        <v>-7.2279605431394778</v>
      </c>
      <c r="D11" s="16">
        <v>-7.2035828749333719</v>
      </c>
      <c r="E11" s="16">
        <f t="shared" si="0"/>
        <v>5.9427070716698517E-4</v>
      </c>
      <c r="F11" s="16">
        <f t="shared" si="1"/>
        <v>-9.2816245235951556E-3</v>
      </c>
      <c r="G11" s="16">
        <f t="shared" si="2"/>
        <v>8.6148553797002996E-5</v>
      </c>
      <c r="H11" s="16">
        <f t="shared" si="3"/>
        <v>7.4391567103868105E-4</v>
      </c>
      <c r="I11" s="16">
        <v>-7.26101617893036</v>
      </c>
      <c r="J11" s="16">
        <v>-7.1942266300416726</v>
      </c>
      <c r="K11" s="16">
        <v>-7.203583169822287</v>
      </c>
      <c r="L11" s="16">
        <v>-7.203583169822287</v>
      </c>
      <c r="M11" s="23">
        <f t="shared" si="4"/>
        <v>-2.4676930669735891E-2</v>
      </c>
      <c r="N11" s="18">
        <v>1.3935392905140587E-2</v>
      </c>
    </row>
    <row r="12" spans="1:17" x14ac:dyDescent="0.3">
      <c r="A12" s="10">
        <v>30</v>
      </c>
      <c r="B12" s="10">
        <v>8.2799999999999996E-4</v>
      </c>
      <c r="C12" s="10">
        <v>-7.096497403579014</v>
      </c>
      <c r="D12" s="16">
        <v>-7.1192505562431636</v>
      </c>
      <c r="E12" s="16">
        <f t="shared" si="0"/>
        <v>5.1770595615809652E-4</v>
      </c>
      <c r="F12" s="16">
        <f t="shared" si="1"/>
        <v>-8.8346615940277928E-3</v>
      </c>
      <c r="G12" s="16">
        <f t="shared" si="2"/>
        <v>7.8051245480989704E-5</v>
      </c>
      <c r="H12" s="16">
        <f t="shared" si="3"/>
        <v>8.093731035015996E-4</v>
      </c>
      <c r="I12" s="16">
        <v>-7.1950131981467225</v>
      </c>
      <c r="J12" s="16">
        <v>-7.1238367559042786</v>
      </c>
      <c r="K12" s="16">
        <v>-7.1192488652898636</v>
      </c>
      <c r="L12" s="16">
        <v>-7.1192488652898636</v>
      </c>
      <c r="M12" s="23">
        <f t="shared" si="4"/>
        <v>2.2494598895076042E-2</v>
      </c>
      <c r="N12" s="18">
        <v>8.666228444804111E-2</v>
      </c>
    </row>
    <row r="13" spans="1:17" x14ac:dyDescent="0.3">
      <c r="A13" s="12">
        <v>31</v>
      </c>
      <c r="B13" s="12">
        <v>8.7500000000000002E-4</v>
      </c>
      <c r="C13" s="12">
        <v>-7.0412866716066596</v>
      </c>
      <c r="D13" s="16">
        <v>-7.0441998620765505</v>
      </c>
      <c r="E13" s="16">
        <f t="shared" si="0"/>
        <v>8.4866787138632432E-6</v>
      </c>
      <c r="F13" s="16">
        <f t="shared" si="1"/>
        <v>-5.4744809350761869E-3</v>
      </c>
      <c r="G13" s="16">
        <f t="shared" si="2"/>
        <v>2.9969941508512643E-5</v>
      </c>
      <c r="H13" s="16">
        <f t="shared" si="3"/>
        <v>8.7245466765792422E-4</v>
      </c>
      <c r="I13" s="16">
        <v>-7.1247070742772287</v>
      </c>
      <c r="J13" s="16">
        <v>-7.0554647962077777</v>
      </c>
      <c r="K13" s="16">
        <v>-7.0442048663974699</v>
      </c>
      <c r="L13" s="16">
        <v>-7.0442048663974699</v>
      </c>
      <c r="M13" s="23">
        <f t="shared" si="4"/>
        <v>2.9139409991952043E-3</v>
      </c>
      <c r="N13" s="18">
        <v>8.5417860698320608E-2</v>
      </c>
    </row>
    <row r="14" spans="1:17" x14ac:dyDescent="0.3">
      <c r="A14" s="10">
        <v>32</v>
      </c>
      <c r="B14" s="10">
        <v>9.1399999999999999E-4</v>
      </c>
      <c r="C14" s="10">
        <v>-6.997679986510124</v>
      </c>
      <c r="D14" s="16">
        <v>-6.9779838295039651</v>
      </c>
      <c r="E14" s="16">
        <f t="shared" si="0"/>
        <v>3.8793860081126228E-4</v>
      </c>
      <c r="F14" s="16">
        <f t="shared" si="1"/>
        <v>-2.181051817141455E-2</v>
      </c>
      <c r="G14" s="16">
        <f t="shared" si="2"/>
        <v>4.7569870290560431E-4</v>
      </c>
      <c r="H14" s="16">
        <f t="shared" si="3"/>
        <v>9.3218074516195895E-4</v>
      </c>
      <c r="I14" s="16">
        <v>-7.0483207534764523</v>
      </c>
      <c r="J14" s="16">
        <v>-6.9908198030484527</v>
      </c>
      <c r="K14" s="16">
        <v>-6.9779830420482929</v>
      </c>
      <c r="L14" s="16">
        <v>-6.9779830420482929</v>
      </c>
      <c r="M14" s="23">
        <f t="shared" si="4"/>
        <v>-1.989220920488325E-2</v>
      </c>
      <c r="N14" s="18">
        <v>7.1924366223193661E-2</v>
      </c>
    </row>
    <row r="15" spans="1:17" x14ac:dyDescent="0.3">
      <c r="A15" s="12">
        <v>33</v>
      </c>
      <c r="B15" s="12">
        <v>1.0380000000000001E-3</v>
      </c>
      <c r="C15" s="12">
        <v>-6.8704594942384398</v>
      </c>
      <c r="D15" s="16">
        <v>-6.917242277866456</v>
      </c>
      <c r="E15" s="16">
        <f t="shared" si="0"/>
        <v>2.1886288439857743E-3</v>
      </c>
      <c r="F15" s="16">
        <f t="shared" si="1"/>
        <v>8.6362873969569875E-3</v>
      </c>
      <c r="G15" s="16">
        <f t="shared" si="2"/>
        <v>7.4585460002838099E-5</v>
      </c>
      <c r="H15" s="16">
        <f t="shared" si="3"/>
        <v>9.9055786071652039E-4</v>
      </c>
      <c r="I15" s="16">
        <v>-6.968641516788721</v>
      </c>
      <c r="J15" s="16">
        <v>-6.9302216609317249</v>
      </c>
      <c r="K15" s="16">
        <v>-6.9172424583926189</v>
      </c>
      <c r="L15" s="16">
        <v>-6.9172424583926189</v>
      </c>
      <c r="M15" s="23">
        <f t="shared" si="4"/>
        <v>4.5705508771746901E-2</v>
      </c>
      <c r="N15" s="18">
        <v>0.13236043413804405</v>
      </c>
    </row>
    <row r="16" spans="1:17" x14ac:dyDescent="0.3">
      <c r="A16" s="10">
        <v>34</v>
      </c>
      <c r="B16" s="10">
        <v>9.990000000000001E-4</v>
      </c>
      <c r="C16" s="10">
        <v>-6.9087557793157206</v>
      </c>
      <c r="D16" s="16">
        <v>-6.8783112444003613</v>
      </c>
      <c r="E16" s="16">
        <f t="shared" si="0"/>
        <v>9.2686970621252886E-4</v>
      </c>
      <c r="F16" s="16">
        <f t="shared" si="1"/>
        <v>8.6385007652030055E-3</v>
      </c>
      <c r="G16" s="16">
        <f t="shared" si="2"/>
        <v>7.4623695470412915E-5</v>
      </c>
      <c r="H16" s="16">
        <f t="shared" si="3"/>
        <v>1.0298817960935609E-3</v>
      </c>
      <c r="I16" s="16">
        <v>-6.8920633628813794</v>
      </c>
      <c r="J16" s="16">
        <v>-6.8747198412311494</v>
      </c>
      <c r="K16" s="16">
        <v>-6.8783117469025008</v>
      </c>
      <c r="L16" s="16">
        <v>-6.8783117469025008</v>
      </c>
      <c r="M16" s="23">
        <f t="shared" si="4"/>
        <v>-3.0912190766651412E-2</v>
      </c>
      <c r="N16" s="18">
        <v>4.1342092282039111E-2</v>
      </c>
    </row>
    <row r="17" spans="1:14" x14ac:dyDescent="0.3">
      <c r="A17" s="12">
        <v>35</v>
      </c>
      <c r="B17" s="12">
        <v>1.083E-3</v>
      </c>
      <c r="C17" s="12">
        <v>-6.8280203109632831</v>
      </c>
      <c r="D17" s="16">
        <v>-6.8307439235373097</v>
      </c>
      <c r="E17" s="16">
        <f t="shared" si="0"/>
        <v>7.4180654533960515E-6</v>
      </c>
      <c r="F17" s="16">
        <f t="shared" si="1"/>
        <v>1.1364356832630484E-2</v>
      </c>
      <c r="G17" s="16">
        <f t="shared" si="2"/>
        <v>1.2914860621935517E-4</v>
      </c>
      <c r="H17" s="16">
        <f t="shared" si="3"/>
        <v>1.0800543408204439E-3</v>
      </c>
      <c r="I17" s="16">
        <v>-6.823508730095261</v>
      </c>
      <c r="J17" s="16">
        <v>-6.8194432505605622</v>
      </c>
      <c r="K17" s="16">
        <v>-6.8307469047841982</v>
      </c>
      <c r="L17" s="16">
        <v>-6.8307469047841982</v>
      </c>
      <c r="M17" s="23">
        <f t="shared" si="4"/>
        <v>2.7228800400733179E-3</v>
      </c>
      <c r="N17" s="18">
        <v>5.8209993143991424E-2</v>
      </c>
    </row>
    <row r="18" spans="1:14" x14ac:dyDescent="0.3">
      <c r="A18" s="10">
        <v>36</v>
      </c>
      <c r="B18" s="10">
        <v>1.1329999999999999E-3</v>
      </c>
      <c r="C18" s="10">
        <v>-6.782886296936268</v>
      </c>
      <c r="D18" s="16">
        <v>-6.7745381019090551</v>
      </c>
      <c r="E18" s="16">
        <f t="shared" si="0"/>
        <v>6.9692360212381281E-5</v>
      </c>
      <c r="F18" s="16">
        <f t="shared" si="1"/>
        <v>5.7420224787207985E-3</v>
      </c>
      <c r="G18" s="16">
        <f t="shared" si="2"/>
        <v>3.2970822146134942E-5</v>
      </c>
      <c r="H18" s="16">
        <f t="shared" si="3"/>
        <v>1.1424980957818235E-3</v>
      </c>
      <c r="I18" s="16">
        <v>-6.7625721771986989</v>
      </c>
      <c r="J18" s="16">
        <v>-6.7629818681348048</v>
      </c>
      <c r="K18" s="16">
        <v>-6.7745377392796788</v>
      </c>
      <c r="L18" s="16">
        <v>-6.7745377392796788</v>
      </c>
      <c r="M18" s="23">
        <f t="shared" si="4"/>
        <v>-8.3835040470173067E-3</v>
      </c>
      <c r="N18" s="18">
        <v>3.9844627938089135E-2</v>
      </c>
    </row>
    <row r="19" spans="1:14" x14ac:dyDescent="0.3">
      <c r="A19" s="12">
        <v>37</v>
      </c>
      <c r="B19" s="12">
        <v>1.2049999999999999E-3</v>
      </c>
      <c r="C19" s="12">
        <v>-6.7212757120395192</v>
      </c>
      <c r="D19" s="16">
        <v>-6.7069679234481701</v>
      </c>
      <c r="E19" s="16">
        <f t="shared" si="0"/>
        <v>2.0471281437474176E-4</v>
      </c>
      <c r="F19" s="16">
        <f t="shared" si="1"/>
        <v>-1.4188117122013288E-2</v>
      </c>
      <c r="G19" s="16">
        <f t="shared" si="2"/>
        <v>2.0130266746796663E-4</v>
      </c>
      <c r="H19" s="16">
        <f t="shared" si="3"/>
        <v>1.2223648150717259E-3</v>
      </c>
      <c r="I19" s="16">
        <v>-6.7024811651772662</v>
      </c>
      <c r="J19" s="16">
        <v>-6.7044034187275772</v>
      </c>
      <c r="K19" s="16">
        <v>-6.7069687837177003</v>
      </c>
      <c r="L19" s="16">
        <v>-6.7069687837177003</v>
      </c>
      <c r="M19" s="23">
        <f t="shared" si="4"/>
        <v>-1.4409762248110291E-2</v>
      </c>
      <c r="N19" s="18">
        <v>3.5765801050971303E-2</v>
      </c>
    </row>
    <row r="20" spans="1:14" x14ac:dyDescent="0.3">
      <c r="A20" s="10">
        <v>38</v>
      </c>
      <c r="B20" s="10">
        <v>1.343E-3</v>
      </c>
      <c r="C20" s="10">
        <v>-6.6128493614410369</v>
      </c>
      <c r="D20" s="16">
        <v>-6.6336557225085642</v>
      </c>
      <c r="E20" s="16">
        <f t="shared" si="0"/>
        <v>4.329046608723163E-4</v>
      </c>
      <c r="F20" s="16">
        <f t="shared" si="1"/>
        <v>-1.3311884652617678E-2</v>
      </c>
      <c r="G20" s="16">
        <f t="shared" si="2"/>
        <v>1.7720627300459808E-4</v>
      </c>
      <c r="H20" s="16">
        <f t="shared" si="3"/>
        <v>1.3153457469045127E-3</v>
      </c>
      <c r="I20" s="16">
        <v>-6.6444834356321145</v>
      </c>
      <c r="J20" s="16">
        <v>-6.6458555992507637</v>
      </c>
      <c r="K20" s="16">
        <v>-6.633659924294026</v>
      </c>
      <c r="L20" s="16">
        <v>-6.633659924294026</v>
      </c>
      <c r="M20" s="23">
        <f t="shared" si="4"/>
        <v>2.0595517412146411E-2</v>
      </c>
      <c r="N20" s="18">
        <v>7.471785755491557E-2</v>
      </c>
    </row>
    <row r="21" spans="1:14" x14ac:dyDescent="0.3">
      <c r="A21" s="12">
        <v>39</v>
      </c>
      <c r="B21" s="12">
        <v>1.407E-3</v>
      </c>
      <c r="C21" s="12">
        <v>-6.5662955008498853</v>
      </c>
      <c r="D21" s="16">
        <v>-6.5745316386909716</v>
      </c>
      <c r="E21" s="16">
        <f t="shared" si="0"/>
        <v>6.7833966537372598E-5</v>
      </c>
      <c r="F21" s="16">
        <f t="shared" si="1"/>
        <v>-4.1994943813907781E-3</v>
      </c>
      <c r="G21" s="16">
        <f t="shared" si="2"/>
        <v>1.7635753059332713E-5</v>
      </c>
      <c r="H21" s="16">
        <f t="shared" si="3"/>
        <v>1.3954593445095851E-3</v>
      </c>
      <c r="I21" s="16">
        <v>-6.5877588491060042</v>
      </c>
      <c r="J21" s="16">
        <v>-6.5897157125589461</v>
      </c>
      <c r="K21" s="16">
        <v>-6.5745326097049599</v>
      </c>
      <c r="L21" s="16">
        <v>-6.5745326097049599</v>
      </c>
      <c r="M21" s="23">
        <f t="shared" si="4"/>
        <v>8.20327683034878E-3</v>
      </c>
      <c r="N21" s="18">
        <v>5.4215775006254914E-2</v>
      </c>
    </row>
    <row r="22" spans="1:14" x14ac:dyDescent="0.3">
      <c r="A22" s="10">
        <v>40</v>
      </c>
      <c r="B22" s="10">
        <v>1.4630000000000001E-3</v>
      </c>
      <c r="C22" s="10">
        <v>-6.5272661569441501</v>
      </c>
      <c r="D22" s="16">
        <v>-6.5287194395259966</v>
      </c>
      <c r="E22" s="16">
        <f t="shared" si="0"/>
        <v>2.1120302626984741E-6</v>
      </c>
      <c r="F22" s="16">
        <f t="shared" si="1"/>
        <v>6.3660835245071823E-3</v>
      </c>
      <c r="G22" s="16">
        <f t="shared" si="2"/>
        <v>4.0527019441001787E-5</v>
      </c>
      <c r="H22" s="16">
        <f t="shared" si="3"/>
        <v>1.4608753917847506E-3</v>
      </c>
      <c r="I22" s="16">
        <v>-6.5296486348006049</v>
      </c>
      <c r="J22" s="16">
        <v>-6.5363396209369746</v>
      </c>
      <c r="K22" s="16">
        <v>-6.5287154950133761</v>
      </c>
      <c r="L22" s="16">
        <v>-6.5287154950133761</v>
      </c>
      <c r="M22" s="23">
        <f t="shared" si="4"/>
        <v>1.4482882860318354E-3</v>
      </c>
      <c r="N22" s="18">
        <v>2.4772448221645021E-2</v>
      </c>
    </row>
    <row r="23" spans="1:14" x14ac:dyDescent="0.3">
      <c r="A23" s="12">
        <v>41</v>
      </c>
      <c r="B23" s="12">
        <v>1.521E-3</v>
      </c>
      <c r="C23" s="12">
        <v>-6.488387265704981</v>
      </c>
      <c r="D23" s="16">
        <v>-6.4871067347424125</v>
      </c>
      <c r="E23" s="16">
        <f t="shared" si="0"/>
        <v>1.639759546096678E-6</v>
      </c>
      <c r="F23" s="16">
        <f t="shared" si="1"/>
        <v>1.5651324825451063E-2</v>
      </c>
      <c r="G23" s="16">
        <f t="shared" si="2"/>
        <v>2.4496396879178074E-4</v>
      </c>
      <c r="H23" s="16">
        <f t="shared" si="3"/>
        <v>1.5229489351636621E-3</v>
      </c>
      <c r="I23" s="16">
        <v>-6.4713962889375658</v>
      </c>
      <c r="J23" s="16">
        <v>-6.48355924503349</v>
      </c>
      <c r="K23" s="16">
        <v>-6.4871091040416369</v>
      </c>
      <c r="L23" s="16">
        <v>-6.4871091040416369</v>
      </c>
      <c r="M23" s="23">
        <f t="shared" si="4"/>
        <v>-1.278978860095896E-3</v>
      </c>
      <c r="N23" s="18">
        <v>-6.8998267395500449E-3</v>
      </c>
    </row>
    <row r="24" spans="1:14" x14ac:dyDescent="0.3">
      <c r="A24" s="10">
        <v>42</v>
      </c>
      <c r="B24" s="10">
        <v>1.5659999999999999E-3</v>
      </c>
      <c r="C24" s="10">
        <v>-6.4592306814135254</v>
      </c>
      <c r="D24" s="16">
        <v>-6.4391279464343212</v>
      </c>
      <c r="E24" s="16">
        <f t="shared" si="0"/>
        <v>4.0411995364412123E-4</v>
      </c>
      <c r="F24" s="16">
        <f t="shared" si="1"/>
        <v>4.8335525061249385E-3</v>
      </c>
      <c r="G24" s="16">
        <f t="shared" si="2"/>
        <v>2.3363229829466673E-5</v>
      </c>
      <c r="H24" s="16">
        <f t="shared" si="3"/>
        <v>1.597799439942456E-3</v>
      </c>
      <c r="I24" s="16">
        <v>-6.410489335652743</v>
      </c>
      <c r="J24" s="16">
        <v>-6.4273894614635436</v>
      </c>
      <c r="K24" s="16">
        <v>-6.4391209637196321</v>
      </c>
      <c r="L24" s="16">
        <v>-6.4391209637196321</v>
      </c>
      <c r="M24" s="23">
        <f t="shared" si="4"/>
        <v>-2.0313280305893109E-2</v>
      </c>
      <c r="N24" s="18">
        <v>-5.0904342050708443E-2</v>
      </c>
    </row>
    <row r="25" spans="1:14" x14ac:dyDescent="0.3">
      <c r="A25" s="12">
        <v>43</v>
      </c>
      <c r="B25" s="12">
        <v>1.7359999999999999E-3</v>
      </c>
      <c r="C25" s="12">
        <v>-6.3561716627439786</v>
      </c>
      <c r="D25" s="16">
        <v>-6.3754978333007788</v>
      </c>
      <c r="E25" s="16">
        <f t="shared" si="0"/>
        <v>3.7350086839053068E-4</v>
      </c>
      <c r="F25" s="16">
        <f t="shared" si="1"/>
        <v>1.3342201739036774E-2</v>
      </c>
      <c r="G25" s="16">
        <f t="shared" si="2"/>
        <v>1.7801434724515591E-4</v>
      </c>
      <c r="H25" s="16">
        <f t="shared" si="3"/>
        <v>1.7027718882121868E-3</v>
      </c>
      <c r="I25" s="16">
        <v>-6.3494713775680385</v>
      </c>
      <c r="J25" s="16">
        <v>-6.3650492337611455</v>
      </c>
      <c r="K25" s="16">
        <v>-6.3755017454060185</v>
      </c>
      <c r="L25" s="16">
        <v>-6.3755017454060185</v>
      </c>
      <c r="M25" s="23">
        <f t="shared" si="4"/>
        <v>1.9144454606917664E-2</v>
      </c>
      <c r="N25" s="18">
        <v>-1.9747427013558312E-2</v>
      </c>
    </row>
    <row r="26" spans="1:14" x14ac:dyDescent="0.3">
      <c r="A26" s="10">
        <v>44</v>
      </c>
      <c r="B26" s="10">
        <v>1.7880000000000001E-3</v>
      </c>
      <c r="C26" s="10">
        <v>-6.3266576022308145</v>
      </c>
      <c r="D26" s="16">
        <v>-6.3070341676611115</v>
      </c>
      <c r="E26" s="16">
        <f t="shared" si="0"/>
        <v>3.8507918431141702E-4</v>
      </c>
      <c r="F26" s="16">
        <f t="shared" si="1"/>
        <v>2.2273863750514877E-3</v>
      </c>
      <c r="G26" s="16">
        <f t="shared" si="2"/>
        <v>4.9612500637650072E-6</v>
      </c>
      <c r="H26" s="16">
        <f t="shared" si="3"/>
        <v>1.8234332247519093E-3</v>
      </c>
      <c r="I26" s="16">
        <v>-6.2855306819344881</v>
      </c>
      <c r="J26" s="16">
        <v>-6.297318761251999</v>
      </c>
      <c r="K26" s="16">
        <v>-6.3070258482561936</v>
      </c>
      <c r="L26" s="16">
        <v>-6.3070258482561936</v>
      </c>
      <c r="M26" s="23">
        <f t="shared" si="4"/>
        <v>-1.9825724101984913E-2</v>
      </c>
      <c r="N26" s="18">
        <v>-6.606675452715087E-2</v>
      </c>
    </row>
    <row r="27" spans="1:14" x14ac:dyDescent="0.3">
      <c r="A27" s="12">
        <v>45</v>
      </c>
      <c r="B27" s="12">
        <v>1.993E-3</v>
      </c>
      <c r="C27" s="12">
        <v>-6.2181142377514798</v>
      </c>
      <c r="D27" s="16">
        <v>-6.2252283002824074</v>
      </c>
      <c r="E27" s="16">
        <f t="shared" si="0"/>
        <v>5.0609885693948178E-5</v>
      </c>
      <c r="F27" s="16">
        <f t="shared" si="1"/>
        <v>-1.773608925228487E-3</v>
      </c>
      <c r="G27" s="16">
        <f t="shared" si="2"/>
        <v>3.1456886196501487E-6</v>
      </c>
      <c r="H27" s="16">
        <f t="shared" si="3"/>
        <v>1.9788719867454368E-3</v>
      </c>
      <c r="I27" s="16">
        <v>-6.2177195731118076</v>
      </c>
      <c r="J27" s="16">
        <v>-6.2233144647675882</v>
      </c>
      <c r="K27" s="16">
        <v>-6.2252301204073852</v>
      </c>
      <c r="L27" s="16">
        <v>-6.2252301204073852</v>
      </c>
      <c r="M27" s="23">
        <f t="shared" si="4"/>
        <v>7.0906247092905796E-3</v>
      </c>
      <c r="N27" s="18">
        <v>-3.0745217748932352E-2</v>
      </c>
    </row>
    <row r="28" spans="1:14" x14ac:dyDescent="0.3">
      <c r="A28" s="10">
        <v>46</v>
      </c>
      <c r="B28" s="10">
        <v>2.163E-3</v>
      </c>
      <c r="C28" s="10">
        <v>-6.1362591320112152</v>
      </c>
      <c r="D28" s="16">
        <v>-6.1411950465286518</v>
      </c>
      <c r="E28" s="16">
        <f t="shared" si="0"/>
        <v>2.4363252123441181E-5</v>
      </c>
      <c r="F28" s="16">
        <f t="shared" si="1"/>
        <v>-8.3840160080850268E-4</v>
      </c>
      <c r="G28" s="16">
        <f t="shared" si="2"/>
        <v>7.0291724423825984E-7</v>
      </c>
      <c r="H28" s="16">
        <f t="shared" si="3"/>
        <v>2.1523499224574967E-3</v>
      </c>
      <c r="I28" s="16">
        <v>-6.143675321877053</v>
      </c>
      <c r="J28" s="16">
        <v>-6.144757008277363</v>
      </c>
      <c r="K28" s="16">
        <v>-6.1411958596254195</v>
      </c>
      <c r="L28" s="16">
        <v>-6.1411958596254195</v>
      </c>
      <c r="M28" s="23">
        <f t="shared" si="4"/>
        <v>4.9245620021065428E-3</v>
      </c>
      <c r="N28" s="18">
        <v>-2.4428653276446978E-2</v>
      </c>
    </row>
    <row r="29" spans="1:14" x14ac:dyDescent="0.3">
      <c r="A29" s="12">
        <v>47</v>
      </c>
      <c r="B29" s="12">
        <v>2.3310000000000002E-3</v>
      </c>
      <c r="C29" s="12">
        <v>-6.0614579189285172</v>
      </c>
      <c r="D29" s="16">
        <v>-6.0589354017001247</v>
      </c>
      <c r="E29" s="16">
        <f t="shared" si="0"/>
        <v>6.3630931675368465E-6</v>
      </c>
      <c r="F29" s="16">
        <f t="shared" si="1"/>
        <v>-2.4257354387655639E-3</v>
      </c>
      <c r="G29" s="16">
        <f t="shared" si="2"/>
        <v>5.8841924188831629E-6</v>
      </c>
      <c r="H29" s="16">
        <f t="shared" si="3"/>
        <v>2.336887410084222E-3</v>
      </c>
      <c r="I29" s="16">
        <v>-6.0646860522485859</v>
      </c>
      <c r="J29" s="16">
        <v>-6.0637707606404572</v>
      </c>
      <c r="K29" s="16">
        <v>-6.0589382516784145</v>
      </c>
      <c r="L29" s="16">
        <v>-6.0589382516784145</v>
      </c>
      <c r="M29" s="23">
        <f t="shared" si="4"/>
        <v>-2.5228442794199184E-3</v>
      </c>
      <c r="N29" s="18">
        <v>-2.6183688194240294E-2</v>
      </c>
    </row>
    <row r="30" spans="1:14" x14ac:dyDescent="0.3">
      <c r="A30" s="10">
        <v>48</v>
      </c>
      <c r="B30" s="10">
        <v>2.5560000000000001E-3</v>
      </c>
      <c r="C30" s="10">
        <v>-5.9693117424668483</v>
      </c>
      <c r="D30" s="16">
        <v>-5.9775141584724061</v>
      </c>
      <c r="E30" s="16">
        <f t="shared" si="0"/>
        <v>6.7279628328231137E-5</v>
      </c>
      <c r="F30" s="16">
        <f t="shared" si="1"/>
        <v>4.1892023412550827E-3</v>
      </c>
      <c r="G30" s="16">
        <f t="shared" si="2"/>
        <v>1.7549416255977065E-5</v>
      </c>
      <c r="H30" s="16">
        <f t="shared" si="3"/>
        <v>2.5351203734456434E-3</v>
      </c>
      <c r="I30" s="16">
        <v>-5.9818299602563485</v>
      </c>
      <c r="J30" s="16">
        <v>-5.981721510936107</v>
      </c>
      <c r="K30" s="16">
        <v>-5.9775120932976167</v>
      </c>
      <c r="L30" s="16">
        <v>-5.9775120932976167</v>
      </c>
      <c r="M30" s="23">
        <f t="shared" si="4"/>
        <v>8.1668196722485976E-3</v>
      </c>
      <c r="N30" s="18">
        <v>-1.1027069394826634E-2</v>
      </c>
    </row>
    <row r="31" spans="1:14" x14ac:dyDescent="0.3">
      <c r="A31" s="12">
        <v>49</v>
      </c>
      <c r="B31" s="12">
        <v>2.7160000000000001E-3</v>
      </c>
      <c r="C31" s="12">
        <v>-5.9085950692856875</v>
      </c>
      <c r="D31" s="16">
        <v>-5.898518650683453</v>
      </c>
      <c r="E31" s="16">
        <f t="shared" si="0"/>
        <v>1.0153421184745556E-4</v>
      </c>
      <c r="F31" s="16">
        <f t="shared" si="1"/>
        <v>7.2765178225786542E-4</v>
      </c>
      <c r="G31" s="16">
        <f t="shared" si="2"/>
        <v>5.2947711622304799E-7</v>
      </c>
      <c r="H31" s="16">
        <f t="shared" si="3"/>
        <v>2.7435059006761893E-3</v>
      </c>
      <c r="I31" s="16">
        <v>-5.8961697390336187</v>
      </c>
      <c r="J31" s="16">
        <v>-5.8992342669305922</v>
      </c>
      <c r="K31" s="16">
        <v>-5.8985173858970033</v>
      </c>
      <c r="L31" s="16">
        <v>-5.8985173858970033</v>
      </c>
      <c r="M31" s="23">
        <f t="shared" si="4"/>
        <v>-1.0128634251646404E-2</v>
      </c>
      <c r="N31" s="18">
        <v>-2.8621933470071883E-2</v>
      </c>
    </row>
    <row r="32" spans="1:14" x14ac:dyDescent="0.3">
      <c r="A32" s="10">
        <v>50</v>
      </c>
      <c r="B32" s="10">
        <v>2.9989999999999999E-3</v>
      </c>
      <c r="C32" s="10">
        <v>-5.8094763792152646</v>
      </c>
      <c r="D32" s="16">
        <v>-5.8153339405532449</v>
      </c>
      <c r="E32" s="16">
        <f t="shared" si="0"/>
        <v>3.4311024828201815E-5</v>
      </c>
      <c r="F32" s="16">
        <f t="shared" si="1"/>
        <v>3.1239271703160654E-3</v>
      </c>
      <c r="G32" s="16">
        <f t="shared" si="2"/>
        <v>9.7589209654389397E-6</v>
      </c>
      <c r="H32" s="16">
        <f t="shared" si="3"/>
        <v>2.981484522620093E-3</v>
      </c>
      <c r="I32" s="16">
        <v>-5.8111210495822467</v>
      </c>
      <c r="J32" s="16">
        <v>-5.8150039954095165</v>
      </c>
      <c r="K32" s="16">
        <v>-5.8153287261555437</v>
      </c>
      <c r="L32" s="16">
        <v>-5.8153287261555437</v>
      </c>
      <c r="M32" s="23">
        <f t="shared" si="4"/>
        <v>5.8352553162163987E-3</v>
      </c>
      <c r="N32" s="18">
        <v>-7.7578974109578118E-3</v>
      </c>
    </row>
    <row r="33" spans="1:14" x14ac:dyDescent="0.3">
      <c r="A33" s="12">
        <v>51</v>
      </c>
      <c r="B33" s="12">
        <v>3.228E-3</v>
      </c>
      <c r="C33" s="12">
        <v>-5.7358925285744347</v>
      </c>
      <c r="D33" s="16">
        <v>-5.7314215786407789</v>
      </c>
      <c r="E33" s="16">
        <f t="shared" si="0"/>
        <v>1.9989393309255998E-5</v>
      </c>
      <c r="F33" s="16">
        <f t="shared" si="1"/>
        <v>1.0492301063171894E-3</v>
      </c>
      <c r="G33" s="16">
        <f t="shared" si="2"/>
        <v>1.1008838160023804E-6</v>
      </c>
      <c r="H33" s="16">
        <f t="shared" si="3"/>
        <v>3.242464537402341E-3</v>
      </c>
      <c r="I33" s="16">
        <v>-5.7251324520710973</v>
      </c>
      <c r="J33" s="16">
        <v>-5.7294257289695869</v>
      </c>
      <c r="K33" s="16">
        <v>-5.7314220197141381</v>
      </c>
      <c r="L33" s="16">
        <v>-5.7314220197141381</v>
      </c>
      <c r="M33" s="23">
        <f t="shared" si="4"/>
        <v>-4.4805164925436573E-3</v>
      </c>
      <c r="N33" s="18">
        <v>-1.3472736508510217E-2</v>
      </c>
    </row>
    <row r="34" spans="1:14" x14ac:dyDescent="0.3">
      <c r="A34" s="10">
        <v>52</v>
      </c>
      <c r="B34" s="10">
        <v>3.5330000000000001E-3</v>
      </c>
      <c r="C34" s="10">
        <v>-5.6456079106051291</v>
      </c>
      <c r="D34" s="16">
        <v>-5.6443852895579969</v>
      </c>
      <c r="E34" s="16">
        <f t="shared" si="0"/>
        <v>1.4948022248906906E-6</v>
      </c>
      <c r="F34" s="16">
        <f t="shared" si="1"/>
        <v>-2.2482370210079594E-3</v>
      </c>
      <c r="G34" s="16">
        <f t="shared" si="2"/>
        <v>5.0545697026307434E-6</v>
      </c>
      <c r="H34" s="16">
        <f t="shared" si="3"/>
        <v>3.5373221618041147E-3</v>
      </c>
      <c r="I34" s="16">
        <v>-5.6396097484933314</v>
      </c>
      <c r="J34" s="16">
        <v>-5.6426395892584447</v>
      </c>
      <c r="K34" s="16">
        <v>-5.6443802122427842</v>
      </c>
      <c r="L34" s="16">
        <v>-5.6443802122427842</v>
      </c>
      <c r="M34" s="23">
        <f t="shared" si="4"/>
        <v>-1.2284522924805236E-3</v>
      </c>
      <c r="N34" s="18">
        <v>-2.9106963847083259E-3</v>
      </c>
    </row>
    <row r="35" spans="1:14" x14ac:dyDescent="0.3">
      <c r="A35" s="12">
        <v>53</v>
      </c>
      <c r="B35" s="12">
        <v>3.8899999999999998E-3</v>
      </c>
      <c r="C35" s="12">
        <v>-5.5493461213517818</v>
      </c>
      <c r="D35" s="16">
        <v>-5.5562997703688977</v>
      </c>
      <c r="E35" s="16">
        <f t="shared" si="0"/>
        <v>4.8353234653235742E-5</v>
      </c>
      <c r="F35" s="16">
        <f t="shared" si="1"/>
        <v>1.4078545264135656E-3</v>
      </c>
      <c r="G35" s="16">
        <f t="shared" si="2"/>
        <v>1.9820543675431652E-6</v>
      </c>
      <c r="H35" s="16">
        <f t="shared" si="3"/>
        <v>3.8630441347532124E-3</v>
      </c>
      <c r="I35" s="16">
        <v>-5.5542435519741495</v>
      </c>
      <c r="J35" s="16">
        <v>-5.5556428064439203</v>
      </c>
      <c r="K35" s="16">
        <v>-5.5563096291616256</v>
      </c>
      <c r="L35" s="16">
        <v>-5.5563096291616256</v>
      </c>
      <c r="M35" s="23">
        <f t="shared" si="4"/>
        <v>6.9393187687598968E-3</v>
      </c>
      <c r="N35" s="18">
        <v>1.2933088247806916E-2</v>
      </c>
    </row>
    <row r="36" spans="1:14" x14ac:dyDescent="0.3">
      <c r="A36" s="10">
        <v>54</v>
      </c>
      <c r="B36" s="10">
        <v>4.1910000000000003E-3</v>
      </c>
      <c r="C36" s="10">
        <v>-5.4748159100392026</v>
      </c>
      <c r="D36" s="16">
        <v>-5.4704624882008064</v>
      </c>
      <c r="E36" s="16">
        <f t="shared" si="0"/>
        <v>1.8952281703025518E-5</v>
      </c>
      <c r="F36" s="16">
        <f t="shared" si="1"/>
        <v>7.1059318987209963E-4</v>
      </c>
      <c r="G36" s="16">
        <f t="shared" si="2"/>
        <v>5.0494268149260583E-7</v>
      </c>
      <c r="H36" s="16">
        <f t="shared" si="3"/>
        <v>4.2092849631251384E-3</v>
      </c>
      <c r="I36" s="16">
        <v>-5.4713180404947668</v>
      </c>
      <c r="J36" s="16">
        <v>-5.4691383805722369</v>
      </c>
      <c r="K36" s="16">
        <v>-5.4704585988253598</v>
      </c>
      <c r="L36" s="16">
        <v>-5.4704585988253598</v>
      </c>
      <c r="M36" s="23">
        <f t="shared" si="4"/>
        <v>-4.366818097484803E-3</v>
      </c>
      <c r="N36" s="18">
        <v>6.6954583440134085E-3</v>
      </c>
    </row>
    <row r="37" spans="1:14" x14ac:dyDescent="0.3">
      <c r="A37" s="12">
        <v>55</v>
      </c>
      <c r="B37" s="12">
        <v>4.5859999999999998E-3</v>
      </c>
      <c r="C37" s="12">
        <v>-5.384747094546424</v>
      </c>
      <c r="D37" s="16">
        <v>-5.3832173515063015</v>
      </c>
      <c r="E37" s="16">
        <f t="shared" si="0"/>
        <v>2.3401137688030243E-6</v>
      </c>
      <c r="F37" s="16">
        <f t="shared" si="1"/>
        <v>-1.5162305944604881E-3</v>
      </c>
      <c r="G37" s="16">
        <f t="shared" si="2"/>
        <v>2.2989552155780053E-6</v>
      </c>
      <c r="H37" s="16">
        <f t="shared" si="3"/>
        <v>4.5930207702000615E-3</v>
      </c>
      <c r="I37" s="16">
        <v>-5.390908423996831</v>
      </c>
      <c r="J37" s="16">
        <v>-5.3826926612261135</v>
      </c>
      <c r="K37" s="16">
        <v>-5.3832244163152172</v>
      </c>
      <c r="L37" s="16">
        <v>-5.3832244163152172</v>
      </c>
      <c r="M37" s="23">
        <f t="shared" si="4"/>
        <v>-1.5238380943297901E-3</v>
      </c>
      <c r="N37" s="18">
        <v>1.5381283229858033E-2</v>
      </c>
    </row>
    <row r="38" spans="1:14" x14ac:dyDescent="0.3">
      <c r="A38" s="10">
        <v>56</v>
      </c>
      <c r="B38" s="10">
        <v>4.9969999999999997E-3</v>
      </c>
      <c r="C38" s="10">
        <v>-5.2989175466200695</v>
      </c>
      <c r="D38" s="16">
        <v>-5.2952616216219246</v>
      </c>
      <c r="E38" s="16">
        <f t="shared" si="0"/>
        <v>1.3365787592061025E-5</v>
      </c>
      <c r="F38" s="16">
        <f t="shared" si="1"/>
        <v>-7.3989658665079006E-3</v>
      </c>
      <c r="G38" s="16">
        <f t="shared" si="2"/>
        <v>5.4744695893749007E-5</v>
      </c>
      <c r="H38" s="16">
        <f t="shared" si="3"/>
        <v>5.0153020923690813E-3</v>
      </c>
      <c r="I38" s="16">
        <v>-5.3110886675116724</v>
      </c>
      <c r="J38" s="16">
        <v>-5.2966793387699731</v>
      </c>
      <c r="K38" s="16">
        <v>-5.2952576848606991</v>
      </c>
      <c r="L38" s="16">
        <v>-5.2952576848606991</v>
      </c>
      <c r="M38" s="23">
        <f t="shared" si="4"/>
        <v>-3.666567231290171E-3</v>
      </c>
      <c r="N38" s="18">
        <v>1.9430153468007756E-2</v>
      </c>
    </row>
    <row r="39" spans="1:14" x14ac:dyDescent="0.3">
      <c r="A39" s="12">
        <v>57</v>
      </c>
      <c r="B39" s="12">
        <v>5.522E-3</v>
      </c>
      <c r="C39" s="12">
        <v>-5.1990151654741741</v>
      </c>
      <c r="D39" s="16">
        <v>-5.2088221223320081</v>
      </c>
      <c r="E39" s="16">
        <f t="shared" si="0"/>
        <v>9.6176402811418493E-5</v>
      </c>
      <c r="F39" s="16">
        <f t="shared" si="1"/>
        <v>-3.4748365163208561E-3</v>
      </c>
      <c r="G39" s="16">
        <f t="shared" si="2"/>
        <v>1.2074488815156863E-5</v>
      </c>
      <c r="H39" s="16">
        <f t="shared" si="3"/>
        <v>5.4681106613468792E-3</v>
      </c>
      <c r="I39" s="16">
        <v>-5.2284454184198088</v>
      </c>
      <c r="J39" s="16">
        <v>-5.2119429701744009</v>
      </c>
      <c r="K39" s="16">
        <v>-5.2088246333472661</v>
      </c>
      <c r="L39" s="16">
        <v>-5.2088246333472661</v>
      </c>
      <c r="M39" s="23">
        <f t="shared" si="4"/>
        <v>9.7615119784834024E-3</v>
      </c>
      <c r="N39" s="18">
        <v>3.6731510893902829E-2</v>
      </c>
    </row>
    <row r="40" spans="1:14" x14ac:dyDescent="0.3">
      <c r="A40" s="10">
        <v>58</v>
      </c>
      <c r="B40" s="10">
        <v>5.947E-3</v>
      </c>
      <c r="C40" s="10">
        <v>-5.1248683882576804</v>
      </c>
      <c r="D40" s="16">
        <v>-5.1297815889085996</v>
      </c>
      <c r="E40" s="16">
        <f t="shared" si="0"/>
        <v>2.4139540636192441E-5</v>
      </c>
      <c r="F40" s="16">
        <f t="shared" si="1"/>
        <v>5.3623548056958015E-3</v>
      </c>
      <c r="G40" s="16">
        <f t="shared" si="2"/>
        <v>2.8754849062168856E-5</v>
      </c>
      <c r="H40" s="16">
        <f t="shared" si="3"/>
        <v>5.9178528572425637E-3</v>
      </c>
      <c r="I40" s="16">
        <v>-5.1457091254175378</v>
      </c>
      <c r="J40" s="16">
        <v>-5.1301996316842535</v>
      </c>
      <c r="K40" s="16">
        <v>-5.1297824803115919</v>
      </c>
      <c r="L40" s="16">
        <v>-5.1297824803115919</v>
      </c>
      <c r="M40" s="23">
        <f t="shared" si="4"/>
        <v>4.9020376571094829E-3</v>
      </c>
      <c r="N40" s="18">
        <v>2.8687159836888743E-2</v>
      </c>
    </row>
    <row r="41" spans="1:14" x14ac:dyDescent="0.3">
      <c r="A41" s="12">
        <v>59</v>
      </c>
      <c r="B41" s="12">
        <v>6.2550000000000001E-3</v>
      </c>
      <c r="C41" s="12">
        <v>-5.0743741350632625</v>
      </c>
      <c r="D41" s="16">
        <v>-5.0542158920015119</v>
      </c>
      <c r="E41" s="16">
        <f t="shared" si="0"/>
        <v>4.0635476333661722E-4</v>
      </c>
      <c r="F41" s="16">
        <f t="shared" si="1"/>
        <v>-5.9587778994734109E-3</v>
      </c>
      <c r="G41" s="16">
        <f t="shared" si="2"/>
        <v>3.5507034055252756E-5</v>
      </c>
      <c r="H41" s="16">
        <f t="shared" si="3"/>
        <v>6.382369267615675E-3</v>
      </c>
      <c r="I41" s="16">
        <v>-5.0646131845440738</v>
      </c>
      <c r="J41" s="16">
        <v>-5.0518343619551755</v>
      </c>
      <c r="K41" s="16">
        <v>-5.0542191924493043</v>
      </c>
      <c r="L41" s="16">
        <v>-5.0542191924493043</v>
      </c>
      <c r="M41" s="23">
        <f t="shared" si="4"/>
        <v>-2.0359424935871565E-2</v>
      </c>
      <c r="N41" s="18">
        <v>-3.2026270742273925E-3</v>
      </c>
    </row>
    <row r="42" spans="1:14" x14ac:dyDescent="0.3">
      <c r="A42" s="10">
        <v>60</v>
      </c>
      <c r="B42" s="10">
        <v>6.9959999999999996E-3</v>
      </c>
      <c r="C42" s="10">
        <v>-4.9624167218257815</v>
      </c>
      <c r="D42" s="16">
        <v>-4.9732878402887284</v>
      </c>
      <c r="E42" s="16">
        <f t="shared" si="0"/>
        <v>1.181812166354241E-4</v>
      </c>
      <c r="F42" s="16">
        <f t="shared" si="1"/>
        <v>-6.4087141778479406E-3</v>
      </c>
      <c r="G42" s="16">
        <f t="shared" si="2"/>
        <v>4.1071617413349207E-5</v>
      </c>
      <c r="H42" s="16">
        <f t="shared" si="3"/>
        <v>6.9203575591590006E-3</v>
      </c>
      <c r="I42" s="16">
        <v>-4.9854382311542542</v>
      </c>
      <c r="J42" s="16">
        <v>-4.9764341810861552</v>
      </c>
      <c r="K42" s="16">
        <v>-4.9732882613982605</v>
      </c>
      <c r="L42" s="16">
        <v>-4.9732882613982605</v>
      </c>
      <c r="M42" s="23">
        <f t="shared" si="4"/>
        <v>1.081265795724968E-2</v>
      </c>
      <c r="N42" s="18">
        <v>2.5325442963875799E-2</v>
      </c>
    </row>
    <row r="43" spans="1:14" x14ac:dyDescent="0.3">
      <c r="A43" s="12">
        <v>61</v>
      </c>
      <c r="B43" s="12">
        <v>7.4710000000000002E-3</v>
      </c>
      <c r="C43" s="12">
        <v>-4.8967264199884726</v>
      </c>
      <c r="D43" s="16">
        <v>-4.8983185664754183</v>
      </c>
      <c r="E43" s="16">
        <f t="shared" si="0"/>
        <v>2.5349304358936058E-6</v>
      </c>
      <c r="F43" s="16">
        <f t="shared" si="1"/>
        <v>-5.2664172338463544E-3</v>
      </c>
      <c r="G43" s="16">
        <f t="shared" si="2"/>
        <v>2.7735150480953888E-5</v>
      </c>
      <c r="H43" s="16">
        <f t="shared" si="3"/>
        <v>7.4591145378052051E-3</v>
      </c>
      <c r="I43" s="16">
        <v>-4.9070797758924396</v>
      </c>
      <c r="J43" s="16">
        <v>-4.905222765734182</v>
      </c>
      <c r="K43" s="16">
        <v>-4.8983274151437213</v>
      </c>
      <c r="L43" s="16">
        <v>-4.8983274151437213</v>
      </c>
      <c r="M43" s="23">
        <f t="shared" si="4"/>
        <v>1.5997142461724951E-3</v>
      </c>
      <c r="N43" s="18">
        <v>7.9160725017232755E-3</v>
      </c>
    </row>
    <row r="44" spans="1:14" x14ac:dyDescent="0.3">
      <c r="A44" s="10">
        <v>62</v>
      </c>
      <c r="B44" s="10">
        <v>7.9989999999999992E-3</v>
      </c>
      <c r="C44" s="10">
        <v>-4.8284387451154522</v>
      </c>
      <c r="D44" s="16">
        <v>-4.8297580068399562</v>
      </c>
      <c r="E44" s="16">
        <f t="shared" si="0"/>
        <v>1.7404514977410499E-6</v>
      </c>
      <c r="F44" s="16">
        <f t="shared" si="1"/>
        <v>-2.804717107403043E-3</v>
      </c>
      <c r="G44" s="16">
        <f t="shared" si="2"/>
        <v>7.8664380525592926E-6</v>
      </c>
      <c r="H44" s="16">
        <f t="shared" si="3"/>
        <v>7.9884541833413689E-3</v>
      </c>
      <c r="I44" s="16">
        <v>-4.8295529696250838</v>
      </c>
      <c r="J44" s="16">
        <v>-4.83769057939534</v>
      </c>
      <c r="K44" s="16">
        <v>-4.8297400497510479</v>
      </c>
      <c r="L44" s="16">
        <v>-4.8297400497510479</v>
      </c>
      <c r="M44" s="23">
        <f t="shared" si="4"/>
        <v>1.3004583058688929E-3</v>
      </c>
      <c r="N44" s="18">
        <v>-7.4508651531783677E-3</v>
      </c>
    </row>
    <row r="45" spans="1:14" x14ac:dyDescent="0.3">
      <c r="A45" s="12">
        <v>63</v>
      </c>
      <c r="B45" s="12">
        <v>8.5330000000000007E-3</v>
      </c>
      <c r="C45" s="12">
        <v>-4.763814279427689</v>
      </c>
      <c r="D45" s="16">
        <v>-4.7664638644383404</v>
      </c>
      <c r="E45" s="16">
        <f t="shared" si="0"/>
        <v>7.0203007286684653E-6</v>
      </c>
      <c r="F45" s="16">
        <f t="shared" si="1"/>
        <v>2.3066033835492661E-3</v>
      </c>
      <c r="G45" s="16">
        <f t="shared" si="2"/>
        <v>5.3204191690009227E-6</v>
      </c>
      <c r="H45" s="16">
        <f t="shared" si="3"/>
        <v>8.5104210167811292E-3</v>
      </c>
      <c r="I45" s="16">
        <v>-4.7521108096952833</v>
      </c>
      <c r="J45" s="16">
        <v>-4.7723185885328911</v>
      </c>
      <c r="K45" s="16">
        <v>-4.7665098741751768</v>
      </c>
      <c r="L45" s="16">
        <v>-4.7665098741751768</v>
      </c>
      <c r="M45" s="23">
        <f t="shared" si="4"/>
        <v>2.691964894236639E-3</v>
      </c>
      <c r="N45" s="18">
        <v>-2.7060585132656436E-2</v>
      </c>
    </row>
    <row r="46" spans="1:14" x14ac:dyDescent="0.3">
      <c r="A46" s="10">
        <v>64</v>
      </c>
      <c r="B46" s="10">
        <v>9.0390000000000002E-3</v>
      </c>
      <c r="C46" s="10">
        <v>-4.7062067301658628</v>
      </c>
      <c r="D46" s="16">
        <v>-4.7059744391441276</v>
      </c>
      <c r="E46" s="16">
        <f t="shared" si="0"/>
        <v>5.3959118778766808E-8</v>
      </c>
      <c r="F46" s="16">
        <f t="shared" si="1"/>
        <v>7.1856070839704245E-3</v>
      </c>
      <c r="G46" s="16">
        <f t="shared" si="2"/>
        <v>5.1632949165205949E-5</v>
      </c>
      <c r="H46" s="16">
        <f t="shared" si="3"/>
        <v>9.041099922432589E-3</v>
      </c>
      <c r="I46" s="16">
        <v>-4.6771497067061318</v>
      </c>
      <c r="J46" s="16">
        <v>-4.7070714561914695</v>
      </c>
      <c r="K46" s="16">
        <v>-4.7059174113332736</v>
      </c>
      <c r="L46" s="16">
        <v>-4.7059174113332736</v>
      </c>
      <c r="M46" s="23">
        <f t="shared" si="4"/>
        <v>-2.8936068931953077E-4</v>
      </c>
      <c r="N46" s="18">
        <v>-5.4661841379337342E-2</v>
      </c>
    </row>
    <row r="47" spans="1:14" x14ac:dyDescent="0.3">
      <c r="A47" s="12">
        <v>65</v>
      </c>
      <c r="B47" s="12">
        <v>9.5650000000000006E-3</v>
      </c>
      <c r="C47" s="12">
        <v>-4.6496446760899204</v>
      </c>
      <c r="D47" s="16">
        <v>-4.6431784104663656</v>
      </c>
      <c r="E47" s="16">
        <f t="shared" si="0"/>
        <v>4.1812591114366418E-5</v>
      </c>
      <c r="F47" s="16">
        <f t="shared" si="1"/>
        <v>5.5982928139135524E-3</v>
      </c>
      <c r="G47" s="16">
        <f t="shared" si="2"/>
        <v>3.1340882430316123E-5</v>
      </c>
      <c r="H47" s="16">
        <f t="shared" si="3"/>
        <v>9.6270502311209278E-3</v>
      </c>
      <c r="I47" s="16">
        <v>-4.6091797963538879</v>
      </c>
      <c r="J47" s="16">
        <v>-4.6393685979014254</v>
      </c>
      <c r="K47" s="16">
        <v>-4.6431726428217646</v>
      </c>
      <c r="L47" s="16">
        <v>-4.6431726428217646</v>
      </c>
      <c r="M47" s="23">
        <f t="shared" si="4"/>
        <v>-6.4930221312431693E-3</v>
      </c>
      <c r="N47" s="18">
        <v>-8.4362244556978591E-2</v>
      </c>
    </row>
    <row r="48" spans="1:14" x14ac:dyDescent="0.3">
      <c r="A48" s="10">
        <v>66</v>
      </c>
      <c r="B48" s="10">
        <v>1.034E-2</v>
      </c>
      <c r="C48" s="10">
        <v>-4.5717354099018541</v>
      </c>
      <c r="D48" s="16">
        <v>-4.5731967747046331</v>
      </c>
      <c r="E48" s="16">
        <f t="shared" si="0"/>
        <v>2.1355870868013947E-6</v>
      </c>
      <c r="F48" s="16">
        <f t="shared" si="1"/>
        <v>5.4722237731450463E-3</v>
      </c>
      <c r="G48" s="16">
        <f t="shared" si="2"/>
        <v>2.9945233023373806E-5</v>
      </c>
      <c r="H48" s="16">
        <f t="shared" si="3"/>
        <v>1.0324900523548165E-2</v>
      </c>
      <c r="I48" s="16">
        <v>-4.5472744139857735</v>
      </c>
      <c r="J48" s="16">
        <v>-4.5670710492045705</v>
      </c>
      <c r="K48" s="16">
        <v>-4.573288751094692</v>
      </c>
      <c r="L48" s="16">
        <v>-4.573288751094692</v>
      </c>
      <c r="M48" s="23">
        <f t="shared" si="4"/>
        <v>1.5521353828330464E-3</v>
      </c>
      <c r="N48" s="18">
        <v>-9.1559516435980551E-2</v>
      </c>
    </row>
    <row r="49" spans="1:14" x14ac:dyDescent="0.3">
      <c r="A49" s="12">
        <v>67</v>
      </c>
      <c r="B49" s="12">
        <v>1.1150999999999999E-2</v>
      </c>
      <c r="C49" s="12">
        <v>-4.4962260989989122</v>
      </c>
      <c r="D49" s="16">
        <v>-4.4976168461289872</v>
      </c>
      <c r="E49" s="16">
        <f t="shared" si="0"/>
        <v>1.9341775798116288E-6</v>
      </c>
      <c r="F49" s="16">
        <f t="shared" si="1"/>
        <v>6.7368416887587657E-3</v>
      </c>
      <c r="G49" s="16">
        <f t="shared" si="2"/>
        <v>4.5385035939398057E-5</v>
      </c>
      <c r="H49" s="16">
        <f t="shared" si="3"/>
        <v>1.1135502557762094E-2</v>
      </c>
      <c r="I49" s="16">
        <v>-4.4899104773804703</v>
      </c>
      <c r="J49" s="16">
        <v>-4.4894329710854253</v>
      </c>
      <c r="K49" s="16">
        <v>-4.497587063564815</v>
      </c>
      <c r="L49" s="16">
        <v>-4.497587063564815</v>
      </c>
      <c r="M49" s="23">
        <f t="shared" si="4"/>
        <v>1.3600388736202604E-3</v>
      </c>
      <c r="N49" s="18">
        <v>-0.10163834554578721</v>
      </c>
    </row>
    <row r="50" spans="1:14" x14ac:dyDescent="0.3">
      <c r="A50" s="10">
        <v>68</v>
      </c>
      <c r="B50" s="10">
        <v>1.2078999999999999E-2</v>
      </c>
      <c r="C50" s="10">
        <v>-4.416286871358996</v>
      </c>
      <c r="D50" s="16">
        <v>-4.4165646937801961</v>
      </c>
      <c r="E50" s="16">
        <f t="shared" si="0"/>
        <v>7.7185297721493259E-8</v>
      </c>
      <c r="F50" s="16">
        <f t="shared" si="1"/>
        <v>8.2792079461198043E-3</v>
      </c>
      <c r="G50" s="16">
        <f t="shared" si="2"/>
        <v>6.8545284215093302E-5</v>
      </c>
      <c r="H50" s="16">
        <f t="shared" si="3"/>
        <v>1.2075644649091759E-2</v>
      </c>
      <c r="I50" s="16">
        <v>-4.4358947825610349</v>
      </c>
      <c r="J50" s="16">
        <v>-4.4062741703241883</v>
      </c>
      <c r="K50" s="16">
        <v>-4.4164108274262768</v>
      </c>
      <c r="L50" s="16">
        <v>-4.4164108274262768</v>
      </c>
      <c r="M50" s="23">
        <f t="shared" si="4"/>
        <v>1.2394838504515537E-4</v>
      </c>
      <c r="N50" s="18">
        <v>-0.10707495911503784</v>
      </c>
    </row>
    <row r="51" spans="1:14" x14ac:dyDescent="0.3">
      <c r="A51" s="12">
        <v>69</v>
      </c>
      <c r="B51" s="12">
        <v>1.3070999999999999E-2</v>
      </c>
      <c r="C51" s="12">
        <v>-4.3373592431787227</v>
      </c>
      <c r="D51" s="16">
        <v>-4.3287756997426463</v>
      </c>
      <c r="E51" s="16">
        <f t="shared" si="0"/>
        <v>7.3677217919009707E-5</v>
      </c>
      <c r="F51" s="16">
        <f t="shared" si="1"/>
        <v>1.2380249596102288E-3</v>
      </c>
      <c r="G51" s="16">
        <f t="shared" si="2"/>
        <v>1.5327058006179089E-6</v>
      </c>
      <c r="H51" s="16">
        <f t="shared" si="3"/>
        <v>1.3183678394380819E-2</v>
      </c>
      <c r="I51" s="16">
        <v>-4.3827634770503945</v>
      </c>
      <c r="J51" s="16">
        <v>-4.3182102921853698</v>
      </c>
      <c r="K51" s="16">
        <v>-4.3286765441444341</v>
      </c>
      <c r="L51" s="16">
        <v>-4.3286765441444341</v>
      </c>
      <c r="M51" s="23">
        <f t="shared" si="4"/>
        <v>-8.7205029998203912E-3</v>
      </c>
      <c r="N51" s="18">
        <v>-0.11383021172586084</v>
      </c>
    </row>
    <row r="52" spans="1:14" x14ac:dyDescent="0.3">
      <c r="A52" s="10">
        <v>70</v>
      </c>
      <c r="B52" s="10">
        <v>1.4584E-2</v>
      </c>
      <c r="C52" s="10">
        <v>-4.2278302416057754</v>
      </c>
      <c r="D52" s="16">
        <v>-4.2327074977589767</v>
      </c>
      <c r="E52" s="16">
        <f t="shared" si="0"/>
        <v>2.3787627583940302E-5</v>
      </c>
      <c r="F52" s="16">
        <f t="shared" si="1"/>
        <v>-9.2590722595087271E-4</v>
      </c>
      <c r="G52" s="16">
        <f t="shared" si="2"/>
        <v>8.5730419106804045E-7</v>
      </c>
      <c r="H52" s="16">
        <f t="shared" si="3"/>
        <v>1.451304327398362E-2</v>
      </c>
      <c r="I52" s="16">
        <v>-4.3250004139591187</v>
      </c>
      <c r="J52" s="16">
        <v>-4.2264328167587113</v>
      </c>
      <c r="K52" s="16">
        <v>-4.2327997744014212</v>
      </c>
      <c r="L52" s="16">
        <v>-4.2327997744014212</v>
      </c>
      <c r="M52" s="23">
        <f t="shared" si="4"/>
        <v>4.9572050969642492E-3</v>
      </c>
      <c r="N52" s="18">
        <v>-8.7002227221396916E-2</v>
      </c>
    </row>
    <row r="53" spans="1:14" x14ac:dyDescent="0.3">
      <c r="A53" s="12">
        <v>71</v>
      </c>
      <c r="B53" s="12">
        <v>1.6147999999999999E-2</v>
      </c>
      <c r="C53" s="12">
        <v>-4.1259590759914424</v>
      </c>
      <c r="D53" s="16">
        <v>-4.1354012708156969</v>
      </c>
      <c r="E53" s="16">
        <f t="shared" si="0"/>
        <v>8.9155043099177665E-5</v>
      </c>
      <c r="F53" s="16">
        <f t="shared" si="1"/>
        <v>6.3524099044585114E-3</v>
      </c>
      <c r="G53" s="16">
        <f t="shared" si="2"/>
        <v>4.0353111594262597E-5</v>
      </c>
      <c r="H53" s="16">
        <f t="shared" si="3"/>
        <v>1.5996245015517635E-2</v>
      </c>
      <c r="I53" s="16">
        <v>-4.2609531007381785</v>
      </c>
      <c r="J53" s="16">
        <v>-4.134035105852047</v>
      </c>
      <c r="K53" s="16">
        <v>-4.1356120689474878</v>
      </c>
      <c r="L53" s="16">
        <v>-4.1356120689474878</v>
      </c>
      <c r="M53" s="23">
        <f t="shared" si="4"/>
        <v>9.6065523698839438E-3</v>
      </c>
      <c r="N53" s="18">
        <v>-6.9109876526516373E-2</v>
      </c>
    </row>
    <row r="54" spans="1:14" x14ac:dyDescent="0.3">
      <c r="A54" s="10">
        <v>72</v>
      </c>
      <c r="B54" s="10">
        <v>1.7229000000000001E-2</v>
      </c>
      <c r="C54" s="10">
        <v>-4.0611612684318681</v>
      </c>
      <c r="D54" s="16">
        <v>-4.0390209510983679</v>
      </c>
      <c r="E54" s="16">
        <f t="shared" si="0"/>
        <v>4.9019365162808904E-4</v>
      </c>
      <c r="F54" s="16">
        <f t="shared" si="1"/>
        <v>-8.5095755509447812E-3</v>
      </c>
      <c r="G54" s="16">
        <f t="shared" si="2"/>
        <v>7.2412876057237181E-5</v>
      </c>
      <c r="H54" s="16">
        <f t="shared" si="3"/>
        <v>1.7614709638328514E-2</v>
      </c>
      <c r="I54" s="16">
        <v>-4.1834430025817539</v>
      </c>
      <c r="J54" s="16">
        <v>-4.0437017793570407</v>
      </c>
      <c r="K54" s="16">
        <v>-4.0392212863988872</v>
      </c>
      <c r="L54" s="16">
        <v>-4.0392212863988872</v>
      </c>
      <c r="M54" s="23">
        <f t="shared" si="4"/>
        <v>-2.2182433317800166E-2</v>
      </c>
      <c r="N54" s="18">
        <v>-9.1353171708497397E-2</v>
      </c>
    </row>
    <row r="55" spans="1:14" x14ac:dyDescent="0.3">
      <c r="A55" s="12">
        <v>73</v>
      </c>
      <c r="B55" s="12">
        <v>2.0074000000000002E-2</v>
      </c>
      <c r="C55" s="12">
        <v>-3.9083298335905283</v>
      </c>
      <c r="D55" s="16">
        <v>-3.9362882214765809</v>
      </c>
      <c r="E55" s="16">
        <f t="shared" si="0"/>
        <v>7.8167145318696935E-4</v>
      </c>
      <c r="F55" s="16">
        <f t="shared" si="1"/>
        <v>4.5869191636884743E-3</v>
      </c>
      <c r="G55" s="16">
        <f t="shared" si="2"/>
        <v>2.1039827414212571E-5</v>
      </c>
      <c r="H55" s="16">
        <f t="shared" si="3"/>
        <v>1.9520536349050772E-2</v>
      </c>
      <c r="I55" s="16">
        <v>-4.084723587669421</v>
      </c>
      <c r="J55" s="16">
        <v>-3.9573051063347329</v>
      </c>
      <c r="K55" s="16">
        <v>-3.936362292851372</v>
      </c>
      <c r="L55" s="16">
        <v>-3.936362292851372</v>
      </c>
      <c r="M55" s="23">
        <f t="shared" si="4"/>
        <v>2.7643195694141923E-2</v>
      </c>
      <c r="N55" s="18">
        <v>-2.0286224767476477E-2</v>
      </c>
    </row>
    <row r="56" spans="1:14" x14ac:dyDescent="0.3">
      <c r="A56" s="10">
        <v>74</v>
      </c>
      <c r="B56" s="10">
        <v>2.1066000000000001E-2</v>
      </c>
      <c r="C56" s="10">
        <v>-3.8600949125677868</v>
      </c>
      <c r="D56" s="16">
        <v>-3.8420650674057386</v>
      </c>
      <c r="E56" s="16">
        <f t="shared" si="0"/>
        <v>3.2507531656743278E-4</v>
      </c>
      <c r="F56" s="16">
        <f t="shared" si="1"/>
        <v>-3.4642382003946537E-4</v>
      </c>
      <c r="G56" s="16">
        <f t="shared" si="2"/>
        <v>1.2000946309073587E-7</v>
      </c>
      <c r="H56" s="16">
        <f t="shared" si="3"/>
        <v>2.1449261407757231E-2</v>
      </c>
      <c r="I56" s="16">
        <v>-3.9556981365403527</v>
      </c>
      <c r="J56" s="16">
        <v>-3.8780709254354302</v>
      </c>
      <c r="K56" s="16">
        <v>-3.8420161249858871</v>
      </c>
      <c r="L56" s="16">
        <v>-3.8420161249858871</v>
      </c>
      <c r="M56" s="23">
        <f t="shared" si="4"/>
        <v>-1.8243198148881076E-2</v>
      </c>
      <c r="N56" s="18">
        <v>-5.9124304643214692E-2</v>
      </c>
    </row>
    <row r="57" spans="1:14" x14ac:dyDescent="0.3">
      <c r="A57" s="12">
        <v>75</v>
      </c>
      <c r="B57" s="12">
        <v>2.3810999999999999E-2</v>
      </c>
      <c r="C57" s="12">
        <v>-3.737607620205289</v>
      </c>
      <c r="D57" s="16">
        <v>-3.7432549941712079</v>
      </c>
      <c r="E57" s="16">
        <f t="shared" si="0"/>
        <v>3.1892832710938071E-5</v>
      </c>
      <c r="F57" s="16">
        <f t="shared" si="1"/>
        <v>3.6767480032207089E-4</v>
      </c>
      <c r="G57" s="16">
        <f t="shared" si="2"/>
        <v>1.3518475879187472E-7</v>
      </c>
      <c r="H57" s="16">
        <f t="shared" si="3"/>
        <v>2.3676909364855822E-2</v>
      </c>
      <c r="I57" s="16">
        <v>-3.7902719994073513</v>
      </c>
      <c r="J57" s="16">
        <v>-3.8042735171891571</v>
      </c>
      <c r="K57" s="16">
        <v>-3.743118950169519</v>
      </c>
      <c r="L57" s="16">
        <v>-3.743118950169519</v>
      </c>
      <c r="M57" s="23">
        <f t="shared" si="4"/>
        <v>5.4961704477280039E-3</v>
      </c>
      <c r="N57" s="18">
        <v>-2.0853729756752568E-2</v>
      </c>
    </row>
    <row r="58" spans="1:14" x14ac:dyDescent="0.3">
      <c r="A58" s="10">
        <v>76</v>
      </c>
      <c r="B58" s="10">
        <v>2.5933000000000001E-2</v>
      </c>
      <c r="C58" s="10">
        <v>-3.6522389900189443</v>
      </c>
      <c r="D58" s="16">
        <v>-3.6447913447567166</v>
      </c>
      <c r="E58" s="16">
        <f t="shared" si="0"/>
        <v>5.546741995198168E-5</v>
      </c>
      <c r="F58" s="16">
        <f t="shared" si="1"/>
        <v>-6.3658758664426607E-3</v>
      </c>
      <c r="G58" s="16">
        <f t="shared" si="2"/>
        <v>4.0524375546957098E-5</v>
      </c>
      <c r="H58" s="16">
        <f t="shared" si="3"/>
        <v>2.6126860791709807E-2</v>
      </c>
      <c r="I58" s="16">
        <v>-3.5785123392605516</v>
      </c>
      <c r="J58" s="16">
        <v>-3.7321371019497995</v>
      </c>
      <c r="K58" s="16">
        <v>-3.6446287871315337</v>
      </c>
      <c r="L58" s="16">
        <v>-3.6446287871315337</v>
      </c>
      <c r="M58" s="23">
        <f t="shared" si="4"/>
        <v>-7.6392340790963249E-3</v>
      </c>
      <c r="N58" s="18">
        <v>-2.1260261060650081E-2</v>
      </c>
    </row>
    <row r="59" spans="1:14" x14ac:dyDescent="0.3">
      <c r="A59" s="12">
        <v>77</v>
      </c>
      <c r="B59" s="12">
        <v>2.8867E-2</v>
      </c>
      <c r="C59" s="12">
        <v>-3.5450562048044163</v>
      </c>
      <c r="D59" s="16">
        <v>-3.5459600205419033</v>
      </c>
      <c r="E59" s="16">
        <f t="shared" si="0"/>
        <v>8.1688288732915238E-7</v>
      </c>
      <c r="F59" s="16">
        <f t="shared" si="1"/>
        <v>-1.2195538341729151E-2</v>
      </c>
      <c r="G59" s="16">
        <f t="shared" si="2"/>
        <v>1.4873115544458582E-4</v>
      </c>
      <c r="H59" s="16">
        <f t="shared" si="3"/>
        <v>2.8840921338033784E-2</v>
      </c>
      <c r="I59" s="16">
        <v>-3.312845532249034</v>
      </c>
      <c r="J59" s="16">
        <v>-3.6512708277347588</v>
      </c>
      <c r="K59" s="16">
        <v>-3.545817089769475</v>
      </c>
      <c r="L59" s="16">
        <v>-3.545817089769475</v>
      </c>
      <c r="M59" s="23">
        <f t="shared" si="4"/>
        <v>7.6059556549810015E-4</v>
      </c>
      <c r="N59" s="18">
        <v>3.0261324516230942E-4</v>
      </c>
    </row>
    <row r="60" spans="1:14" x14ac:dyDescent="0.3">
      <c r="A60" s="10">
        <v>78</v>
      </c>
      <c r="B60" s="10">
        <v>3.1864999999999997E-2</v>
      </c>
      <c r="C60" s="10">
        <v>-3.4462470502158795</v>
      </c>
      <c r="D60" s="16">
        <v>-3.4534945721935326</v>
      </c>
      <c r="E60" s="16">
        <f t="shared" si="0"/>
        <v>5.2526574816564761E-5</v>
      </c>
      <c r="F60" s="16">
        <f t="shared" si="1"/>
        <v>-1.0777718476408182E-2</v>
      </c>
      <c r="G60" s="16">
        <f t="shared" si="2"/>
        <v>1.1615921555671031E-4</v>
      </c>
      <c r="H60" s="16">
        <f t="shared" si="3"/>
        <v>3.1634892573725357E-2</v>
      </c>
      <c r="I60" s="16">
        <v>-2.987096784884979</v>
      </c>
      <c r="J60" s="16">
        <v>-3.5430505763222069</v>
      </c>
      <c r="K60" s="16">
        <v>-3.4533800395664929</v>
      </c>
      <c r="L60" s="16">
        <v>-3.4533800395664929</v>
      </c>
      <c r="M60" s="23">
        <f t="shared" si="4"/>
        <v>7.1076099615645363E-3</v>
      </c>
      <c r="N60" s="18">
        <v>1.311262600901369E-2</v>
      </c>
    </row>
    <row r="61" spans="1:14" x14ac:dyDescent="0.3">
      <c r="A61" s="12">
        <v>79</v>
      </c>
      <c r="B61" s="12">
        <v>3.5298000000000003E-2</v>
      </c>
      <c r="C61" s="12">
        <v>-3.3439289738717632</v>
      </c>
      <c r="D61" s="16">
        <v>-3.3732246621868911</v>
      </c>
      <c r="E61" s="16">
        <f t="shared" si="0"/>
        <v>8.5823735385711871E-4</v>
      </c>
      <c r="F61" s="16">
        <f t="shared" si="1"/>
        <v>1.9935833326239827E-2</v>
      </c>
      <c r="G61" s="16">
        <f t="shared" si="2"/>
        <v>3.9743745041161452E-4</v>
      </c>
      <c r="H61" s="16">
        <f t="shared" si="3"/>
        <v>3.4278920987673149E-2</v>
      </c>
      <c r="I61" s="16">
        <v>-2.6006586145493147</v>
      </c>
      <c r="J61" s="16">
        <v>-3.378250550740995</v>
      </c>
      <c r="K61" s="16">
        <v>-3.3731489798278207</v>
      </c>
      <c r="L61" s="16">
        <v>-3.3731489798278207</v>
      </c>
      <c r="M61" s="23">
        <f t="shared" si="4"/>
        <v>2.8797229433562933E-2</v>
      </c>
      <c r="N61" s="18">
        <v>2.9108851045606187E-2</v>
      </c>
    </row>
    <row r="62" spans="1:14" x14ac:dyDescent="0.3">
      <c r="A62" s="10">
        <v>80</v>
      </c>
      <c r="B62" s="10">
        <v>3.9782999999999999E-2</v>
      </c>
      <c r="C62" s="10">
        <v>-3.2243155936185657</v>
      </c>
      <c r="D62" s="16">
        <v>-3.3037324706566578</v>
      </c>
      <c r="E62" s="16">
        <f t="shared" si="0"/>
        <v>6.3070403584834372E-3</v>
      </c>
      <c r="F62" s="16">
        <f t="shared" si="1"/>
        <v>0.1300662740249332</v>
      </c>
      <c r="G62" s="16">
        <f t="shared" si="2"/>
        <v>1.6917235638729013E-2</v>
      </c>
      <c r="H62" s="16">
        <f t="shared" si="3"/>
        <v>3.6745758657765699E-2</v>
      </c>
      <c r="I62" s="16">
        <v>-2.1562224304696285</v>
      </c>
      <c r="J62" s="16">
        <v>-3.1179756260548377</v>
      </c>
      <c r="K62" s="16">
        <v>-3.3036807624646145</v>
      </c>
      <c r="L62" s="16">
        <v>-3.3036807624646145</v>
      </c>
      <c r="M62" s="23">
        <f t="shared" si="4"/>
        <v>7.6297444545754517E-2</v>
      </c>
      <c r="N62" s="18">
        <v>6.1168222611245944E-2</v>
      </c>
    </row>
    <row r="63" spans="1:14" x14ac:dyDescent="0.3">
      <c r="A63" s="12">
        <v>81</v>
      </c>
      <c r="B63" s="12">
        <v>4.3970000000000002E-2</v>
      </c>
      <c r="C63" s="12">
        <v>-3.1242476957894181</v>
      </c>
      <c r="D63" s="16">
        <v>-3.2143044458001846</v>
      </c>
      <c r="E63" s="16">
        <f t="shared" si="0"/>
        <v>8.1102182225016948E-3</v>
      </c>
      <c r="F63" s="16">
        <f t="shared" si="1"/>
        <v>0.33025357991678961</v>
      </c>
      <c r="G63" s="16">
        <f t="shared" si="2"/>
        <v>0.10906742704785534</v>
      </c>
      <c r="H63" s="16">
        <f t="shared" si="3"/>
        <v>4.0183273750450318E-2</v>
      </c>
      <c r="I63" s="16">
        <v>-1.667616821947095</v>
      </c>
      <c r="J63" s="16">
        <v>-2.7197904360297933</v>
      </c>
      <c r="K63" s="16">
        <v>-3.2142745118347325</v>
      </c>
      <c r="L63" s="16">
        <v>-3.2142745118347325</v>
      </c>
      <c r="M63" s="23">
        <f t="shared" si="4"/>
        <v>8.6093322420248961E-2</v>
      </c>
      <c r="N63" s="18">
        <v>7.4200439981688376E-2</v>
      </c>
    </row>
    <row r="64" spans="1:14" x14ac:dyDescent="0.3">
      <c r="A64" s="10">
        <v>82</v>
      </c>
      <c r="B64" s="10">
        <v>4.9896999999999997E-2</v>
      </c>
      <c r="C64" s="10">
        <v>-2.9977943982724393</v>
      </c>
      <c r="D64" s="16">
        <v>-2.9948101469187782</v>
      </c>
      <c r="E64" s="16">
        <f t="shared" si="0"/>
        <v>8.9057561418280708E-6</v>
      </c>
      <c r="F64" s="16">
        <f t="shared" si="1"/>
        <v>0.52745676053299162</v>
      </c>
      <c r="G64" s="16">
        <f t="shared" si="2"/>
        <v>0.27821063423195769</v>
      </c>
      <c r="H64" s="16">
        <f t="shared" si="3"/>
        <v>5.0046127596234599E-2</v>
      </c>
      <c r="I64" s="16">
        <v>-1.1599794238808796</v>
      </c>
      <c r="J64" s="16">
        <v>-2.1519581698325219</v>
      </c>
      <c r="K64" s="16">
        <v>-2.994793623689457</v>
      </c>
      <c r="L64" s="16">
        <v>-2.994793623689457</v>
      </c>
      <c r="M64" s="23">
        <f t="shared" si="4"/>
        <v>-3.0052814138981135E-3</v>
      </c>
      <c r="N64" s="18">
        <v>0.11078115422349009</v>
      </c>
    </row>
    <row r="65" spans="1:14" x14ac:dyDescent="0.3">
      <c r="A65" s="12">
        <v>83</v>
      </c>
      <c r="B65" s="12">
        <v>5.6187000000000001E-2</v>
      </c>
      <c r="C65" s="12">
        <v>-2.8790698655663105</v>
      </c>
      <c r="D65" s="16">
        <v>-2.4450622681205822</v>
      </c>
      <c r="E65" s="16">
        <f t="shared" si="0"/>
        <v>0.18836259464061331</v>
      </c>
      <c r="F65" s="16">
        <f t="shared" si="1"/>
        <v>0.2906529894582075</v>
      </c>
      <c r="G65" s="16">
        <f t="shared" si="2"/>
        <v>8.4479160280992879E-2</v>
      </c>
      <c r="H65" s="16">
        <f t="shared" si="3"/>
        <v>8.6720734796434384E-2</v>
      </c>
      <c r="I65" s="16">
        <v>-0.67149472719103653</v>
      </c>
      <c r="J65" s="16">
        <v>-1.4229169983070145</v>
      </c>
      <c r="K65" s="16">
        <v>-2.4450542506464918</v>
      </c>
      <c r="L65" s="16">
        <v>-3.0290218668441411</v>
      </c>
      <c r="M65" s="23">
        <f t="shared" si="4"/>
        <v>-0.54344296866652297</v>
      </c>
      <c r="N65" s="18">
        <v>0.13925070970041398</v>
      </c>
    </row>
    <row r="66" spans="1:14" x14ac:dyDescent="0.3">
      <c r="A66" s="10">
        <v>84</v>
      </c>
      <c r="B66" s="10">
        <v>6.1448000000000003E-2</v>
      </c>
      <c r="C66" s="10">
        <v>-2.7895639902857563</v>
      </c>
      <c r="D66" s="16">
        <v>-1.3678576287893949</v>
      </c>
      <c r="E66" s="16">
        <f t="shared" si="0"/>
        <v>2.0212489783192229</v>
      </c>
      <c r="F66" s="16">
        <f t="shared" si="1"/>
        <v>-1.3678576287893949</v>
      </c>
      <c r="G66" s="16">
        <f t="shared" si="2"/>
        <v>1.8710344926373459</v>
      </c>
      <c r="H66" s="16">
        <f t="shared" si="3"/>
        <v>0.25465193454828927</v>
      </c>
      <c r="I66" s="16">
        <v>-0.25809695936593707</v>
      </c>
      <c r="J66" s="16">
        <v>-0.62605113484825647</v>
      </c>
      <c r="K66" s="16">
        <v>-1.3678564675243992</v>
      </c>
      <c r="L66" s="16">
        <v>-2.9427956551694359</v>
      </c>
      <c r="M66" s="23">
        <f t="shared" si="4"/>
        <v>-3.1441907021683151</v>
      </c>
      <c r="N66" s="18">
        <v>0.14206905368525152</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10AF9-2B79-4867-8F0B-4D81F0E055CF}">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LifeTable</vt:lpstr>
      <vt:lpstr>Analysis</vt:lpstr>
      <vt:lpstr>Visualizations</vt:lpstr>
      <vt:lpstr>Dashboard</vt:lpstr>
      <vt:lpstr>Improvement</vt:lpstr>
      <vt:lpstr>Gompertz</vt:lpstr>
      <vt:lpstr>Makeham</vt:lpstr>
      <vt:lpstr>MAGraduation</vt:lpstr>
      <vt:lpstr>Whittaker</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Kyubin Im</cp:lastModifiedBy>
  <dcterms:created xsi:type="dcterms:W3CDTF">2026-05-27T01:32:10Z</dcterms:created>
  <dcterms:modified xsi:type="dcterms:W3CDTF">2026-06-18T04:28:21Z</dcterms:modified>
</cp:coreProperties>
</file>